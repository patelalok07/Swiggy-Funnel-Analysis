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illovilla\Project\statistics\Swiggy Funnel Analysis\"/>
    </mc:Choice>
  </mc:AlternateContent>
  <xr:revisionPtr revIDLastSave="0" documentId="13_ncr:1_{F7959A38-A91A-4159-AD79-D4A036862666}" xr6:coauthVersionLast="47" xr6:coauthVersionMax="47" xr10:uidLastSave="{00000000-0000-0000-0000-000000000000}"/>
  <bookViews>
    <workbookView xWindow="-110" yWindow="-110" windowWidth="19420" windowHeight="10300" xr2:uid="{C3327BBF-5D7E-B842-AC68-8C3DBE1DE0AE}"/>
  </bookViews>
  <sheets>
    <sheet name="Session Details" sheetId="1" r:id="rId1"/>
    <sheet name="Channel wise traffic" sheetId="2" r:id="rId2"/>
    <sheet name="Sheet1" sheetId="4" r:id="rId3"/>
    <sheet name="Supporting Data" sheetId="3" r:id="rId4"/>
  </sheets>
  <definedNames>
    <definedName name="_xlnm._FilterDatabase" localSheetId="0" hidden="1">'Session Details'!$B$2:$S$368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I199" i="1" a="1"/>
  <c r="I199" i="1"/>
  <c r="M2" i="3"/>
  <c r="N2" i="3"/>
  <c r="L2" i="3"/>
  <c r="K2" i="3"/>
  <c r="S3" i="1" a="1"/>
  <c r="S3" i="1" s="1"/>
  <c r="R3" i="1" a="1"/>
  <c r="R3" i="1" s="1"/>
  <c r="Q3" i="1" a="1"/>
  <c r="Q3" i="1" s="1"/>
  <c r="P3" i="1" a="1"/>
  <c r="P3" i="1" s="1"/>
  <c r="K3" i="1" a="1"/>
  <c r="K3" i="1" s="1"/>
  <c r="G4" i="2" l="1" a="1"/>
  <c r="G4" i="2" s="1"/>
  <c r="G5" i="2" a="1"/>
  <c r="G5" i="2" s="1"/>
  <c r="G6" i="2" a="1"/>
  <c r="G6" i="2" s="1"/>
  <c r="G7" i="2" a="1"/>
  <c r="G7" i="2" s="1"/>
  <c r="G3" i="2" a="1"/>
  <c r="G3" i="2" s="1"/>
  <c r="J4" i="2" a="1"/>
  <c r="J4" i="2" s="1"/>
  <c r="J5" i="2" a="1"/>
  <c r="J5" i="2" s="1"/>
  <c r="J6" i="2" a="1"/>
  <c r="J6" i="2" s="1"/>
  <c r="J7" i="2" a="1"/>
  <c r="J7" i="2" s="1"/>
  <c r="J3" i="2" a="1"/>
  <c r="J3" i="2" s="1"/>
  <c r="I4" i="2" a="1"/>
  <c r="I4" i="2" s="1"/>
  <c r="I5" i="2" a="1"/>
  <c r="I5" i="2" s="1"/>
  <c r="I6" i="2" a="1"/>
  <c r="I6" i="2" s="1"/>
  <c r="I7" i="2" a="1"/>
  <c r="I7" i="2" s="1"/>
  <c r="I3" i="2" a="1"/>
  <c r="I3" i="2" s="1"/>
  <c r="H4" i="2" a="1"/>
  <c r="H4" i="2" s="1"/>
  <c r="H5" i="2" a="1"/>
  <c r="H5" i="2" s="1"/>
  <c r="H6" i="2" a="1"/>
  <c r="H6" i="2" s="1"/>
  <c r="H7" i="2" a="1"/>
  <c r="H7" i="2" s="1"/>
  <c r="H3" i="2" a="1"/>
  <c r="H3" i="2" s="1"/>
  <c r="O4" i="1"/>
  <c r="N4" i="3" s="1"/>
  <c r="O5" i="1"/>
  <c r="N5" i="3" s="1"/>
  <c r="O6" i="1"/>
  <c r="N6" i="3" s="1"/>
  <c r="O7" i="1"/>
  <c r="N7" i="3" s="1"/>
  <c r="O8" i="1"/>
  <c r="N8" i="3" s="1"/>
  <c r="O9" i="1"/>
  <c r="N9" i="3" s="1"/>
  <c r="O10" i="1"/>
  <c r="O11" i="1"/>
  <c r="O12" i="1"/>
  <c r="O13" i="1"/>
  <c r="O14" i="1"/>
  <c r="O15" i="1"/>
  <c r="O16" i="1"/>
  <c r="O17" i="1"/>
  <c r="O18" i="1"/>
  <c r="O19" i="1"/>
  <c r="O20" i="1"/>
  <c r="O21" i="1"/>
  <c r="N44" i="3" s="1"/>
  <c r="O22" i="1"/>
  <c r="O23" i="1"/>
  <c r="N11" i="3" s="1"/>
  <c r="O24" i="1"/>
  <c r="N12" i="3" s="1"/>
  <c r="O25" i="1"/>
  <c r="O26" i="1"/>
  <c r="O27" i="1"/>
  <c r="O28" i="1"/>
  <c r="O29" i="1"/>
  <c r="N50" i="3" s="1"/>
  <c r="O30" i="1"/>
  <c r="O31" i="1"/>
  <c r="O32" i="1"/>
  <c r="O33" i="1"/>
  <c r="O34" i="1"/>
  <c r="O35" i="1"/>
  <c r="O36" i="1"/>
  <c r="O37" i="1"/>
  <c r="N57" i="3" s="1"/>
  <c r="O38" i="1"/>
  <c r="O39" i="1"/>
  <c r="O40" i="1"/>
  <c r="O41" i="1"/>
  <c r="O42" i="1"/>
  <c r="O43" i="1"/>
  <c r="O44" i="1"/>
  <c r="O45" i="1"/>
  <c r="N64" i="3" s="1"/>
  <c r="O46" i="1"/>
  <c r="O47" i="1"/>
  <c r="O48" i="1"/>
  <c r="O49" i="1"/>
  <c r="O50" i="1"/>
  <c r="O51" i="1"/>
  <c r="O52" i="1"/>
  <c r="O53" i="1"/>
  <c r="N72" i="3" s="1"/>
  <c r="O54" i="1"/>
  <c r="O55" i="1"/>
  <c r="O56" i="1"/>
  <c r="O57" i="1"/>
  <c r="O58" i="1"/>
  <c r="O59" i="1"/>
  <c r="O60" i="1"/>
  <c r="O61" i="1"/>
  <c r="N16" i="3" s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N18" i="3" s="1"/>
  <c r="O86" i="1"/>
  <c r="O87" i="1"/>
  <c r="N19" i="3" s="1"/>
  <c r="O88" i="1"/>
  <c r="O89" i="1"/>
  <c r="O90" i="1"/>
  <c r="O91" i="1"/>
  <c r="O92" i="1"/>
  <c r="O93" i="1"/>
  <c r="N107" i="3" s="1"/>
  <c r="O94" i="1"/>
  <c r="O95" i="1"/>
  <c r="O96" i="1"/>
  <c r="O97" i="1"/>
  <c r="O98" i="1"/>
  <c r="O99" i="1"/>
  <c r="O100" i="1"/>
  <c r="O101" i="1"/>
  <c r="N115" i="3" s="1"/>
  <c r="O102" i="1"/>
  <c r="O103" i="1"/>
  <c r="N20" i="3" s="1"/>
  <c r="O104" i="1"/>
  <c r="O105" i="1"/>
  <c r="O106" i="1"/>
  <c r="O107" i="1"/>
  <c r="O108" i="1"/>
  <c r="O109" i="1"/>
  <c r="N121" i="3" s="1"/>
  <c r="O110" i="1"/>
  <c r="N22" i="3" s="1"/>
  <c r="O111" i="1"/>
  <c r="N23" i="3" s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N153" i="3" s="1"/>
  <c r="O144" i="1"/>
  <c r="O145" i="1"/>
  <c r="O146" i="1"/>
  <c r="O147" i="1"/>
  <c r="O148" i="1"/>
  <c r="O149" i="1"/>
  <c r="O150" i="1"/>
  <c r="O151" i="1"/>
  <c r="N161" i="3" s="1"/>
  <c r="O152" i="1"/>
  <c r="O153" i="1"/>
  <c r="O154" i="1"/>
  <c r="O155" i="1"/>
  <c r="O156" i="1"/>
  <c r="O157" i="1"/>
  <c r="O158" i="1"/>
  <c r="O159" i="1"/>
  <c r="N169" i="3" s="1"/>
  <c r="O160" i="1"/>
  <c r="O161" i="1"/>
  <c r="O162" i="1"/>
  <c r="O163" i="1"/>
  <c r="O164" i="1"/>
  <c r="O165" i="1"/>
  <c r="O166" i="1"/>
  <c r="O167" i="1"/>
  <c r="N177" i="3" s="1"/>
  <c r="O168" i="1"/>
  <c r="O169" i="1"/>
  <c r="O170" i="1"/>
  <c r="O171" i="1"/>
  <c r="O172" i="1"/>
  <c r="O173" i="1"/>
  <c r="O174" i="1"/>
  <c r="O175" i="1"/>
  <c r="N185" i="3" s="1"/>
  <c r="O176" i="1"/>
  <c r="O177" i="1"/>
  <c r="O178" i="1"/>
  <c r="O179" i="1"/>
  <c r="O180" i="1"/>
  <c r="O181" i="1"/>
  <c r="O182" i="1"/>
  <c r="O183" i="1"/>
  <c r="O184" i="1"/>
  <c r="N193" i="3" s="1"/>
  <c r="O185" i="1"/>
  <c r="O186" i="1"/>
  <c r="O187" i="1"/>
  <c r="O188" i="1"/>
  <c r="O189" i="1"/>
  <c r="O190" i="1"/>
  <c r="O191" i="1"/>
  <c r="O192" i="1"/>
  <c r="N201" i="3" s="1"/>
  <c r="O193" i="1"/>
  <c r="O194" i="1"/>
  <c r="O195" i="1"/>
  <c r="O196" i="1"/>
  <c r="O197" i="1"/>
  <c r="O198" i="1"/>
  <c r="O199" i="1"/>
  <c r="O200" i="1"/>
  <c r="N209" i="3" s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N221" i="3" s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N237" i="3" s="1"/>
  <c r="O230" i="1"/>
  <c r="O231" i="1"/>
  <c r="O232" i="1"/>
  <c r="N26" i="3" s="1"/>
  <c r="O233" i="1"/>
  <c r="O234" i="1"/>
  <c r="O235" i="1"/>
  <c r="O236" i="1"/>
  <c r="O237" i="1"/>
  <c r="N244" i="3" s="1"/>
  <c r="O238" i="1"/>
  <c r="O239" i="1"/>
  <c r="N246" i="3" s="1"/>
  <c r="O240" i="1"/>
  <c r="O241" i="1"/>
  <c r="O242" i="1"/>
  <c r="N249" i="3" s="1"/>
  <c r="O243" i="1"/>
  <c r="O244" i="1"/>
  <c r="O245" i="1"/>
  <c r="N252" i="3" s="1"/>
  <c r="O246" i="1"/>
  <c r="O247" i="1"/>
  <c r="N254" i="3" s="1"/>
  <c r="O248" i="1"/>
  <c r="O249" i="1"/>
  <c r="O250" i="1"/>
  <c r="N257" i="3" s="1"/>
  <c r="O251" i="1"/>
  <c r="O252" i="1"/>
  <c r="O253" i="1"/>
  <c r="N260" i="3" s="1"/>
  <c r="O254" i="1"/>
  <c r="O255" i="1"/>
  <c r="O256" i="1"/>
  <c r="O257" i="1"/>
  <c r="O258" i="1"/>
  <c r="N265" i="3" s="1"/>
  <c r="O259" i="1"/>
  <c r="O260" i="1"/>
  <c r="O261" i="1"/>
  <c r="N268" i="3" s="1"/>
  <c r="O262" i="1"/>
  <c r="O263" i="1"/>
  <c r="O264" i="1"/>
  <c r="O265" i="1"/>
  <c r="O266" i="1"/>
  <c r="O267" i="1"/>
  <c r="O268" i="1"/>
  <c r="O269" i="1"/>
  <c r="N275" i="3" s="1"/>
  <c r="O270" i="1"/>
  <c r="O271" i="1"/>
  <c r="O272" i="1"/>
  <c r="O273" i="1"/>
  <c r="O274" i="1"/>
  <c r="O275" i="1"/>
  <c r="O276" i="1"/>
  <c r="O277" i="1"/>
  <c r="N283" i="3" s="1"/>
  <c r="O278" i="1"/>
  <c r="O279" i="1"/>
  <c r="O280" i="1"/>
  <c r="O281" i="1"/>
  <c r="O282" i="1"/>
  <c r="O283" i="1"/>
  <c r="O284" i="1"/>
  <c r="N28" i="3" s="1"/>
  <c r="O285" i="1"/>
  <c r="N290" i="3" s="1"/>
  <c r="O286" i="1"/>
  <c r="O287" i="1"/>
  <c r="O288" i="1"/>
  <c r="O289" i="1"/>
  <c r="O290" i="1"/>
  <c r="O291" i="1"/>
  <c r="O292" i="1"/>
  <c r="O293" i="1"/>
  <c r="N298" i="3" s="1"/>
  <c r="O294" i="1"/>
  <c r="O295" i="1"/>
  <c r="O296" i="1"/>
  <c r="O297" i="1"/>
  <c r="O298" i="1"/>
  <c r="O299" i="1"/>
  <c r="O300" i="1"/>
  <c r="O301" i="1"/>
  <c r="N305" i="3" s="1"/>
  <c r="O302" i="1"/>
  <c r="O303" i="1"/>
  <c r="O304" i="1"/>
  <c r="O305" i="1"/>
  <c r="O306" i="1"/>
  <c r="O307" i="1"/>
  <c r="O308" i="1"/>
  <c r="O309" i="1"/>
  <c r="N313" i="3" s="1"/>
  <c r="O310" i="1"/>
  <c r="O311" i="1"/>
  <c r="O312" i="1"/>
  <c r="O313" i="1"/>
  <c r="O314" i="1"/>
  <c r="O315" i="1"/>
  <c r="O316" i="1"/>
  <c r="O317" i="1"/>
  <c r="N320" i="3" s="1"/>
  <c r="O318" i="1"/>
  <c r="O319" i="1"/>
  <c r="O320" i="1"/>
  <c r="O321" i="1"/>
  <c r="O322" i="1"/>
  <c r="O323" i="1"/>
  <c r="O324" i="1"/>
  <c r="O325" i="1"/>
  <c r="N328" i="3" s="1"/>
  <c r="O326" i="1"/>
  <c r="O327" i="1"/>
  <c r="O328" i="1"/>
  <c r="O329" i="1"/>
  <c r="O330" i="1"/>
  <c r="O331" i="1"/>
  <c r="O332" i="1"/>
  <c r="O333" i="1"/>
  <c r="O334" i="1"/>
  <c r="O335" i="1"/>
  <c r="N337" i="3" s="1"/>
  <c r="O336" i="1"/>
  <c r="O337" i="1"/>
  <c r="N32" i="3" s="1"/>
  <c r="O338" i="1"/>
  <c r="O339" i="1"/>
  <c r="O340" i="1"/>
  <c r="O341" i="1"/>
  <c r="O342" i="1"/>
  <c r="O343" i="1"/>
  <c r="O344" i="1"/>
  <c r="N345" i="3" s="1"/>
  <c r="O345" i="1"/>
  <c r="O346" i="1"/>
  <c r="O347" i="1"/>
  <c r="N348" i="3" s="1"/>
  <c r="O348" i="1"/>
  <c r="O349" i="1"/>
  <c r="O350" i="1"/>
  <c r="O351" i="1"/>
  <c r="O352" i="1"/>
  <c r="N353" i="3" s="1"/>
  <c r="O353" i="1"/>
  <c r="O354" i="1"/>
  <c r="O355" i="1"/>
  <c r="O356" i="1"/>
  <c r="O357" i="1"/>
  <c r="O358" i="1"/>
  <c r="O359" i="1"/>
  <c r="N359" i="3" s="1"/>
  <c r="O360" i="1"/>
  <c r="N360" i="3" s="1"/>
  <c r="O361" i="1"/>
  <c r="N361" i="3" s="1"/>
  <c r="O362" i="1"/>
  <c r="N362" i="3" s="1"/>
  <c r="O363" i="1"/>
  <c r="N363" i="3" s="1"/>
  <c r="O364" i="1"/>
  <c r="N364" i="3" s="1"/>
  <c r="O365" i="1"/>
  <c r="N365" i="3" s="1"/>
  <c r="O366" i="1"/>
  <c r="N366" i="3" s="1"/>
  <c r="O367" i="1"/>
  <c r="N367" i="3" s="1"/>
  <c r="O368" i="1"/>
  <c r="N368" i="3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3" i="1" a="1"/>
  <c r="J3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N33" i="3" l="1"/>
  <c r="N25" i="3"/>
  <c r="N17" i="3"/>
  <c r="N312" i="3"/>
  <c r="N304" i="3"/>
  <c r="N297" i="3"/>
  <c r="N24" i="3"/>
  <c r="N296" i="3"/>
  <c r="N289" i="3"/>
  <c r="N281" i="3"/>
  <c r="N273" i="3"/>
  <c r="N266" i="3"/>
  <c r="N258" i="3"/>
  <c r="N250" i="3"/>
  <c r="N242" i="3"/>
  <c r="N235" i="3"/>
  <c r="N227" i="3"/>
  <c r="N113" i="3"/>
  <c r="N105" i="3"/>
  <c r="N280" i="3"/>
  <c r="N288" i="3"/>
  <c r="N170" i="3"/>
  <c r="N162" i="3"/>
  <c r="N154" i="3"/>
  <c r="N146" i="3"/>
  <c r="N81" i="3"/>
  <c r="N79" i="3"/>
  <c r="N342" i="3"/>
  <c r="N214" i="3"/>
  <c r="N198" i="3"/>
  <c r="N151" i="3"/>
  <c r="N127" i="3"/>
  <c r="N93" i="3"/>
  <c r="N86" i="3"/>
  <c r="N37" i="3"/>
  <c r="N334" i="3"/>
  <c r="N327" i="3"/>
  <c r="N319" i="3"/>
  <c r="N282" i="3"/>
  <c r="N274" i="3"/>
  <c r="N267" i="3"/>
  <c r="N259" i="3"/>
  <c r="N251" i="3"/>
  <c r="N243" i="3"/>
  <c r="N182" i="3"/>
  <c r="N174" i="3"/>
  <c r="N166" i="3"/>
  <c r="N158" i="3"/>
  <c r="N150" i="3"/>
  <c r="N142" i="3"/>
  <c r="N134" i="3"/>
  <c r="N126" i="3"/>
  <c r="N120" i="3"/>
  <c r="N183" i="3"/>
  <c r="N143" i="3"/>
  <c r="N303" i="3"/>
  <c r="N31" i="3"/>
  <c r="N318" i="3"/>
  <c r="N310" i="3"/>
  <c r="N302" i="3"/>
  <c r="N295" i="3"/>
  <c r="N27" i="3"/>
  <c r="N241" i="3"/>
  <c r="N218" i="3"/>
  <c r="N112" i="3"/>
  <c r="N104" i="3"/>
  <c r="N83" i="3"/>
  <c r="N54" i="3"/>
  <c r="N47" i="3"/>
  <c r="N358" i="3"/>
  <c r="N335" i="3"/>
  <c r="N190" i="3"/>
  <c r="N167" i="3"/>
  <c r="N30" i="3"/>
  <c r="N119" i="3"/>
  <c r="N294" i="3"/>
  <c r="N287" i="3"/>
  <c r="N279" i="3"/>
  <c r="N111" i="3"/>
  <c r="N103" i="3"/>
  <c r="N14" i="3"/>
  <c r="N350" i="3"/>
  <c r="N206" i="3"/>
  <c r="N175" i="3"/>
  <c r="N159" i="3"/>
  <c r="N135" i="3"/>
  <c r="N326" i="3"/>
  <c r="N311" i="3"/>
  <c r="N15" i="3"/>
  <c r="N338" i="3"/>
  <c r="N286" i="3"/>
  <c r="N278" i="3"/>
  <c r="N271" i="3"/>
  <c r="N263" i="3"/>
  <c r="N255" i="3"/>
  <c r="N247" i="3"/>
  <c r="N138" i="3"/>
  <c r="N110" i="3"/>
  <c r="N102" i="3"/>
  <c r="N75" i="3"/>
  <c r="N67" i="3"/>
  <c r="N59" i="3"/>
  <c r="N347" i="3"/>
  <c r="N352" i="3"/>
  <c r="N330" i="3"/>
  <c r="N322" i="3"/>
  <c r="N315" i="3"/>
  <c r="N307" i="3"/>
  <c r="N300" i="3"/>
  <c r="N292" i="3"/>
  <c r="N285" i="3"/>
  <c r="N277" i="3"/>
  <c r="N270" i="3"/>
  <c r="N262" i="3"/>
  <c r="N239" i="3"/>
  <c r="N231" i="3"/>
  <c r="N223" i="3"/>
  <c r="N215" i="3"/>
  <c r="N208" i="3"/>
  <c r="N200" i="3"/>
  <c r="N192" i="3"/>
  <c r="N145" i="3"/>
  <c r="N137" i="3"/>
  <c r="N129" i="3"/>
  <c r="N109" i="3"/>
  <c r="N95" i="3"/>
  <c r="N87" i="3"/>
  <c r="N80" i="3"/>
  <c r="N74" i="3"/>
  <c r="N66" i="3"/>
  <c r="N58" i="3"/>
  <c r="N52" i="3"/>
  <c r="N39" i="3"/>
  <c r="N356" i="3"/>
  <c r="N344" i="3"/>
  <c r="N351" i="3"/>
  <c r="N343" i="3"/>
  <c r="N336" i="3"/>
  <c r="N329" i="3"/>
  <c r="N321" i="3"/>
  <c r="N314" i="3"/>
  <c r="N306" i="3"/>
  <c r="N299" i="3"/>
  <c r="N291" i="3"/>
  <c r="N284" i="3"/>
  <c r="N276" i="3"/>
  <c r="N269" i="3"/>
  <c r="N261" i="3"/>
  <c r="N253" i="3"/>
  <c r="N245" i="3"/>
  <c r="N238" i="3"/>
  <c r="N230" i="3"/>
  <c r="N222" i="3"/>
  <c r="N207" i="3"/>
  <c r="N199" i="3"/>
  <c r="N191" i="3"/>
  <c r="N184" i="3"/>
  <c r="N176" i="3"/>
  <c r="N168" i="3"/>
  <c r="N160" i="3"/>
  <c r="N152" i="3"/>
  <c r="N144" i="3"/>
  <c r="N136" i="3"/>
  <c r="N128" i="3"/>
  <c r="N116" i="3"/>
  <c r="N108" i="3"/>
  <c r="N101" i="3"/>
  <c r="N94" i="3"/>
  <c r="N73" i="3"/>
  <c r="N65" i="3"/>
  <c r="N51" i="3"/>
  <c r="N45" i="3"/>
  <c r="N38" i="3"/>
  <c r="N236" i="3"/>
  <c r="N228" i="3"/>
  <c r="N220" i="3"/>
  <c r="N213" i="3"/>
  <c r="N205" i="3"/>
  <c r="N197" i="3"/>
  <c r="N114" i="3"/>
  <c r="N106" i="3"/>
  <c r="N100" i="3"/>
  <c r="N92" i="3"/>
  <c r="N85" i="3"/>
  <c r="N78" i="3"/>
  <c r="N71" i="3"/>
  <c r="N63" i="3"/>
  <c r="N56" i="3"/>
  <c r="N49" i="3"/>
  <c r="N43" i="3"/>
  <c r="N36" i="3"/>
  <c r="N229" i="3"/>
  <c r="N349" i="3"/>
  <c r="N340" i="3"/>
  <c r="N219" i="3"/>
  <c r="N212" i="3"/>
  <c r="N204" i="3"/>
  <c r="N196" i="3"/>
  <c r="N189" i="3"/>
  <c r="N181" i="3"/>
  <c r="N173" i="3"/>
  <c r="N165" i="3"/>
  <c r="N157" i="3"/>
  <c r="N149" i="3"/>
  <c r="N141" i="3"/>
  <c r="N133" i="3"/>
  <c r="N125" i="3"/>
  <c r="N99" i="3"/>
  <c r="N91" i="3"/>
  <c r="N84" i="3"/>
  <c r="N70" i="3"/>
  <c r="N62" i="3"/>
  <c r="N55" i="3"/>
  <c r="N48" i="3"/>
  <c r="N10" i="3"/>
  <c r="N35" i="3"/>
  <c r="N357" i="3"/>
  <c r="N355" i="3"/>
  <c r="N339" i="3"/>
  <c r="N325" i="3"/>
  <c r="N234" i="3"/>
  <c r="N211" i="3"/>
  <c r="N203" i="3"/>
  <c r="N195" i="3"/>
  <c r="N188" i="3"/>
  <c r="N180" i="3"/>
  <c r="N172" i="3"/>
  <c r="N164" i="3"/>
  <c r="N156" i="3"/>
  <c r="N148" i="3"/>
  <c r="N140" i="3"/>
  <c r="N132" i="3"/>
  <c r="N124" i="3"/>
  <c r="N21" i="3"/>
  <c r="N98" i="3"/>
  <c r="N90" i="3"/>
  <c r="N77" i="3"/>
  <c r="N69" i="3"/>
  <c r="N61" i="3"/>
  <c r="N42" i="3"/>
  <c r="N34" i="3"/>
  <c r="N341" i="3"/>
  <c r="N333" i="3"/>
  <c r="N226" i="3"/>
  <c r="N354" i="3"/>
  <c r="N346" i="3"/>
  <c r="N332" i="3"/>
  <c r="N324" i="3"/>
  <c r="N317" i="3"/>
  <c r="N309" i="3"/>
  <c r="N301" i="3"/>
  <c r="N272" i="3"/>
  <c r="N264" i="3"/>
  <c r="N256" i="3"/>
  <c r="N248" i="3"/>
  <c r="N240" i="3"/>
  <c r="N233" i="3"/>
  <c r="N225" i="3"/>
  <c r="N217" i="3"/>
  <c r="N210" i="3"/>
  <c r="N202" i="3"/>
  <c r="N194" i="3"/>
  <c r="N187" i="3"/>
  <c r="N179" i="3"/>
  <c r="N171" i="3"/>
  <c r="N163" i="3"/>
  <c r="N155" i="3"/>
  <c r="N147" i="3"/>
  <c r="N139" i="3"/>
  <c r="N131" i="3"/>
  <c r="N123" i="3"/>
  <c r="N118" i="3"/>
  <c r="N97" i="3"/>
  <c r="N89" i="3"/>
  <c r="N82" i="3"/>
  <c r="N76" i="3"/>
  <c r="N68" i="3"/>
  <c r="N60" i="3"/>
  <c r="N13" i="3"/>
  <c r="N46" i="3"/>
  <c r="N41" i="3"/>
  <c r="N331" i="3"/>
  <c r="N323" i="3"/>
  <c r="N316" i="3"/>
  <c r="N308" i="3"/>
  <c r="N29" i="3"/>
  <c r="N293" i="3"/>
  <c r="N232" i="3"/>
  <c r="N224" i="3"/>
  <c r="N216" i="3"/>
  <c r="N186" i="3"/>
  <c r="N178" i="3"/>
  <c r="N130" i="3"/>
  <c r="N122" i="3"/>
  <c r="N117" i="3"/>
  <c r="N96" i="3"/>
  <c r="N88" i="3"/>
  <c r="N53" i="3"/>
  <c r="N40" i="3"/>
  <c r="O3" i="1"/>
  <c r="N3" i="3" s="1"/>
  <c r="N4" i="1"/>
  <c r="M4" i="3" s="1"/>
  <c r="N5" i="1"/>
  <c r="M5" i="3" s="1"/>
  <c r="N6" i="1"/>
  <c r="M6" i="3" s="1"/>
  <c r="N7" i="1"/>
  <c r="M7" i="3" s="1"/>
  <c r="N8" i="1"/>
  <c r="M8" i="3" s="1"/>
  <c r="N9" i="1"/>
  <c r="M9" i="3" s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M45" i="3" s="1"/>
  <c r="N23" i="1"/>
  <c r="N24" i="1"/>
  <c r="M12" i="3" s="1"/>
  <c r="N25" i="1"/>
  <c r="N26" i="1"/>
  <c r="N27" i="1"/>
  <c r="N28" i="1"/>
  <c r="N29" i="1"/>
  <c r="N30" i="1"/>
  <c r="N31" i="1"/>
  <c r="N32" i="1"/>
  <c r="N33" i="1"/>
  <c r="M13" i="3" s="1"/>
  <c r="N34" i="1"/>
  <c r="N35" i="1"/>
  <c r="N36" i="1"/>
  <c r="N37" i="1"/>
  <c r="N38" i="1"/>
  <c r="M14" i="3" s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M18" i="3" s="1"/>
  <c r="N86" i="1"/>
  <c r="N87" i="1"/>
  <c r="N88" i="1"/>
  <c r="N89" i="1"/>
  <c r="M103" i="3" s="1"/>
  <c r="N90" i="1"/>
  <c r="N91" i="1"/>
  <c r="N92" i="1"/>
  <c r="N93" i="1"/>
  <c r="N94" i="1"/>
  <c r="N95" i="1"/>
  <c r="N96" i="1"/>
  <c r="N97" i="1"/>
  <c r="M111" i="3" s="1"/>
  <c r="N98" i="1"/>
  <c r="N99" i="1"/>
  <c r="N100" i="1"/>
  <c r="N101" i="1"/>
  <c r="N102" i="1"/>
  <c r="N103" i="1"/>
  <c r="N104" i="1"/>
  <c r="N105" i="1"/>
  <c r="N106" i="1"/>
  <c r="M21" i="3" s="1"/>
  <c r="N107" i="1"/>
  <c r="N108" i="1"/>
  <c r="N109" i="1"/>
  <c r="N110" i="1"/>
  <c r="M22" i="3" s="1"/>
  <c r="N111" i="1"/>
  <c r="M23" i="3" s="1"/>
  <c r="N112" i="1"/>
  <c r="N113" i="1"/>
  <c r="N114" i="1"/>
  <c r="M124" i="3" s="1"/>
  <c r="N115" i="1"/>
  <c r="N116" i="1"/>
  <c r="N117" i="1"/>
  <c r="N118" i="1"/>
  <c r="N119" i="1"/>
  <c r="N120" i="1"/>
  <c r="N121" i="1"/>
  <c r="N122" i="1"/>
  <c r="M132" i="3" s="1"/>
  <c r="N123" i="1"/>
  <c r="N124" i="1"/>
  <c r="N125" i="1"/>
  <c r="N126" i="1"/>
  <c r="N127" i="1"/>
  <c r="N128" i="1"/>
  <c r="N129" i="1"/>
  <c r="N130" i="1"/>
  <c r="M140" i="3" s="1"/>
  <c r="N131" i="1"/>
  <c r="N132" i="1"/>
  <c r="N133" i="1"/>
  <c r="N134" i="1"/>
  <c r="N135" i="1"/>
  <c r="N136" i="1"/>
  <c r="N137" i="1"/>
  <c r="N138" i="1"/>
  <c r="M148" i="3" s="1"/>
  <c r="N139" i="1"/>
  <c r="N140" i="1"/>
  <c r="N141" i="1"/>
  <c r="N142" i="1"/>
  <c r="N143" i="1"/>
  <c r="N144" i="1"/>
  <c r="N145" i="1"/>
  <c r="N146" i="1"/>
  <c r="M156" i="3" s="1"/>
  <c r="N147" i="1"/>
  <c r="N148" i="1"/>
  <c r="N149" i="1"/>
  <c r="N150" i="1"/>
  <c r="N151" i="1"/>
  <c r="N152" i="1"/>
  <c r="N153" i="1"/>
  <c r="N154" i="1"/>
  <c r="M164" i="3" s="1"/>
  <c r="N155" i="1"/>
  <c r="N156" i="1"/>
  <c r="N157" i="1"/>
  <c r="N158" i="1"/>
  <c r="N159" i="1"/>
  <c r="N160" i="1"/>
  <c r="N161" i="1"/>
  <c r="N162" i="1"/>
  <c r="M172" i="3" s="1"/>
  <c r="N163" i="1"/>
  <c r="M173" i="3" s="1"/>
  <c r="N164" i="1"/>
  <c r="N165" i="1"/>
  <c r="N166" i="1"/>
  <c r="N167" i="1"/>
  <c r="N168" i="1"/>
  <c r="N169" i="1"/>
  <c r="N170" i="1"/>
  <c r="M180" i="3" s="1"/>
  <c r="N171" i="1"/>
  <c r="N172" i="1"/>
  <c r="N173" i="1"/>
  <c r="N174" i="1"/>
  <c r="N175" i="1"/>
  <c r="N176" i="1"/>
  <c r="N177" i="1"/>
  <c r="N178" i="1"/>
  <c r="M188" i="3" s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M26" i="3" s="1"/>
  <c r="N233" i="1"/>
  <c r="N234" i="1"/>
  <c r="N235" i="1"/>
  <c r="N236" i="1"/>
  <c r="N237" i="1"/>
  <c r="N238" i="1"/>
  <c r="N239" i="1"/>
  <c r="N240" i="1"/>
  <c r="M247" i="3" s="1"/>
  <c r="N241" i="1"/>
  <c r="N242" i="1"/>
  <c r="N243" i="1"/>
  <c r="N244" i="1"/>
  <c r="N245" i="1"/>
  <c r="N246" i="1"/>
  <c r="N247" i="1"/>
  <c r="N248" i="1"/>
  <c r="M255" i="3" s="1"/>
  <c r="N249" i="1"/>
  <c r="N250" i="1"/>
  <c r="N251" i="1"/>
  <c r="N252" i="1"/>
  <c r="N253" i="1"/>
  <c r="N254" i="1"/>
  <c r="N255" i="1"/>
  <c r="N256" i="1"/>
  <c r="M263" i="3" s="1"/>
  <c r="N257" i="1"/>
  <c r="N258" i="1"/>
  <c r="N259" i="1"/>
  <c r="N260" i="1"/>
  <c r="N261" i="1"/>
  <c r="N262" i="1"/>
  <c r="N263" i="1"/>
  <c r="N264" i="1"/>
  <c r="M271" i="3" s="1"/>
  <c r="N265" i="1"/>
  <c r="N266" i="1"/>
  <c r="M27" i="3" s="1"/>
  <c r="N267" i="1"/>
  <c r="N268" i="1"/>
  <c r="N269" i="1"/>
  <c r="N270" i="1"/>
  <c r="N271" i="1"/>
  <c r="N272" i="1"/>
  <c r="M278" i="3" s="1"/>
  <c r="N273" i="1"/>
  <c r="M279" i="3" s="1"/>
  <c r="N274" i="1"/>
  <c r="N275" i="1"/>
  <c r="N276" i="1"/>
  <c r="N277" i="1"/>
  <c r="N278" i="1"/>
  <c r="M284" i="3" s="1"/>
  <c r="N279" i="1"/>
  <c r="N280" i="1"/>
  <c r="M286" i="3" s="1"/>
  <c r="N281" i="1"/>
  <c r="M287" i="3" s="1"/>
  <c r="N282" i="1"/>
  <c r="N283" i="1"/>
  <c r="N284" i="1"/>
  <c r="M28" i="3" s="1"/>
  <c r="N285" i="1"/>
  <c r="N286" i="1"/>
  <c r="N287" i="1"/>
  <c r="N288" i="1"/>
  <c r="M293" i="3" s="1"/>
  <c r="N289" i="1"/>
  <c r="M294" i="3" s="1"/>
  <c r="N290" i="1"/>
  <c r="N291" i="1"/>
  <c r="N292" i="1"/>
  <c r="N293" i="1"/>
  <c r="N294" i="1"/>
  <c r="N295" i="1"/>
  <c r="N296" i="1"/>
  <c r="M29" i="3" s="1"/>
  <c r="N297" i="1"/>
  <c r="M301" i="3" s="1"/>
  <c r="N298" i="1"/>
  <c r="N299" i="1"/>
  <c r="N300" i="1"/>
  <c r="N301" i="1"/>
  <c r="N302" i="1"/>
  <c r="N303" i="1"/>
  <c r="N304" i="1"/>
  <c r="M308" i="3" s="1"/>
  <c r="N305" i="1"/>
  <c r="M309" i="3" s="1"/>
  <c r="N306" i="1"/>
  <c r="N307" i="1"/>
  <c r="N308" i="1"/>
  <c r="N309" i="1"/>
  <c r="N310" i="1"/>
  <c r="N311" i="1"/>
  <c r="N312" i="1"/>
  <c r="M316" i="3" s="1"/>
  <c r="N313" i="1"/>
  <c r="M317" i="3" s="1"/>
  <c r="N314" i="1"/>
  <c r="N315" i="1"/>
  <c r="N316" i="1"/>
  <c r="N317" i="1"/>
  <c r="N318" i="1"/>
  <c r="N319" i="1"/>
  <c r="N320" i="1"/>
  <c r="N321" i="1"/>
  <c r="M324" i="3" s="1"/>
  <c r="N322" i="1"/>
  <c r="M325" i="3" s="1"/>
  <c r="N323" i="1"/>
  <c r="N324" i="1"/>
  <c r="N325" i="1"/>
  <c r="N326" i="1"/>
  <c r="N327" i="1"/>
  <c r="N328" i="1"/>
  <c r="N329" i="1"/>
  <c r="M332" i="3" s="1"/>
  <c r="N330" i="1"/>
  <c r="N331" i="1"/>
  <c r="N332" i="1"/>
  <c r="N333" i="1"/>
  <c r="N334" i="1"/>
  <c r="N335" i="1"/>
  <c r="N336" i="1"/>
  <c r="N337" i="1"/>
  <c r="M32" i="3" s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M359" i="3" s="1"/>
  <c r="N360" i="1"/>
  <c r="M360" i="3" s="1"/>
  <c r="N361" i="1"/>
  <c r="M361" i="3" s="1"/>
  <c r="N362" i="1"/>
  <c r="M362" i="3" s="1"/>
  <c r="N363" i="1"/>
  <c r="M363" i="3" s="1"/>
  <c r="N364" i="1"/>
  <c r="M364" i="3" s="1"/>
  <c r="N365" i="1"/>
  <c r="M365" i="3" s="1"/>
  <c r="N366" i="1"/>
  <c r="M366" i="3" s="1"/>
  <c r="N367" i="1"/>
  <c r="M367" i="3" s="1"/>
  <c r="N368" i="1"/>
  <c r="M368" i="3" s="1"/>
  <c r="N3" i="1"/>
  <c r="M3" i="3" s="1"/>
  <c r="M4" i="1"/>
  <c r="L4" i="3" s="1"/>
  <c r="M5" i="1"/>
  <c r="L5" i="3" s="1"/>
  <c r="M6" i="1"/>
  <c r="L6" i="3" s="1"/>
  <c r="M7" i="1"/>
  <c r="L7" i="3" s="1"/>
  <c r="M8" i="1"/>
  <c r="L8" i="3" s="1"/>
  <c r="M9" i="1"/>
  <c r="L9" i="3" s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L47" i="3" s="1"/>
  <c r="M27" i="1"/>
  <c r="L48" i="3" s="1"/>
  <c r="M28" i="1"/>
  <c r="M29" i="1"/>
  <c r="M30" i="1"/>
  <c r="M31" i="1"/>
  <c r="M32" i="1"/>
  <c r="M33" i="1"/>
  <c r="M34" i="1"/>
  <c r="L54" i="3" s="1"/>
  <c r="M35" i="1"/>
  <c r="L55" i="3" s="1"/>
  <c r="M36" i="1"/>
  <c r="M37" i="1"/>
  <c r="M38" i="1"/>
  <c r="L14" i="3" s="1"/>
  <c r="M39" i="1"/>
  <c r="M40" i="1"/>
  <c r="M41" i="1"/>
  <c r="M42" i="1"/>
  <c r="M43" i="1"/>
  <c r="L62" i="3" s="1"/>
  <c r="M44" i="1"/>
  <c r="L63" i="3" s="1"/>
  <c r="M45" i="1"/>
  <c r="M46" i="1"/>
  <c r="M47" i="1"/>
  <c r="M48" i="1"/>
  <c r="M49" i="1"/>
  <c r="M50" i="1"/>
  <c r="M51" i="1"/>
  <c r="L70" i="3" s="1"/>
  <c r="M52" i="1"/>
  <c r="L71" i="3" s="1"/>
  <c r="M53" i="1"/>
  <c r="M54" i="1"/>
  <c r="M55" i="1"/>
  <c r="M56" i="1"/>
  <c r="M57" i="1"/>
  <c r="M58" i="1"/>
  <c r="M59" i="1"/>
  <c r="L15" i="3" s="1"/>
  <c r="M60" i="1"/>
  <c r="L78" i="3" s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L103" i="3" s="1"/>
  <c r="M90" i="1"/>
  <c r="L104" i="3" s="1"/>
  <c r="M91" i="1"/>
  <c r="L105" i="3" s="1"/>
  <c r="M92" i="1"/>
  <c r="M93" i="1"/>
  <c r="M94" i="1"/>
  <c r="M95" i="1"/>
  <c r="M96" i="1"/>
  <c r="M97" i="1"/>
  <c r="L111" i="3" s="1"/>
  <c r="M98" i="1"/>
  <c r="L112" i="3" s="1"/>
  <c r="M99" i="1"/>
  <c r="L113" i="3" s="1"/>
  <c r="M100" i="1"/>
  <c r="M101" i="1"/>
  <c r="M102" i="1"/>
  <c r="M103" i="1"/>
  <c r="M104" i="1"/>
  <c r="M105" i="1"/>
  <c r="L118" i="3" s="1"/>
  <c r="M106" i="1"/>
  <c r="M107" i="1"/>
  <c r="L119" i="3" s="1"/>
  <c r="M108" i="1"/>
  <c r="M109" i="1"/>
  <c r="M110" i="1"/>
  <c r="L22" i="3" s="1"/>
  <c r="M111" i="1"/>
  <c r="L23" i="3" s="1"/>
  <c r="M112" i="1"/>
  <c r="M113" i="1"/>
  <c r="M114" i="1"/>
  <c r="M115" i="1"/>
  <c r="L125" i="3" s="1"/>
  <c r="M116" i="1"/>
  <c r="L126" i="3" s="1"/>
  <c r="M117" i="1"/>
  <c r="M118" i="1"/>
  <c r="M119" i="1"/>
  <c r="M120" i="1"/>
  <c r="M121" i="1"/>
  <c r="M122" i="1"/>
  <c r="M123" i="1"/>
  <c r="L133" i="3" s="1"/>
  <c r="M124" i="1"/>
  <c r="L134" i="3" s="1"/>
  <c r="M125" i="1"/>
  <c r="L135" i="3" s="1"/>
  <c r="M126" i="1"/>
  <c r="M127" i="1"/>
  <c r="M128" i="1"/>
  <c r="M129" i="1"/>
  <c r="M130" i="1"/>
  <c r="M131" i="1"/>
  <c r="L141" i="3" s="1"/>
  <c r="M132" i="1"/>
  <c r="L142" i="3" s="1"/>
  <c r="M133" i="1"/>
  <c r="L143" i="3" s="1"/>
  <c r="M134" i="1"/>
  <c r="M135" i="1"/>
  <c r="M136" i="1"/>
  <c r="M137" i="1"/>
  <c r="M138" i="1"/>
  <c r="M139" i="1"/>
  <c r="L149" i="3" s="1"/>
  <c r="M140" i="1"/>
  <c r="L150" i="3" s="1"/>
  <c r="M141" i="1"/>
  <c r="L151" i="3" s="1"/>
  <c r="M142" i="1"/>
  <c r="M143" i="1"/>
  <c r="M144" i="1"/>
  <c r="M145" i="1"/>
  <c r="M146" i="1"/>
  <c r="M147" i="1"/>
  <c r="M148" i="1"/>
  <c r="L158" i="3" s="1"/>
  <c r="M149" i="1"/>
  <c r="L159" i="3" s="1"/>
  <c r="M150" i="1"/>
  <c r="M151" i="1"/>
  <c r="M152" i="1"/>
  <c r="M153" i="1"/>
  <c r="M154" i="1"/>
  <c r="M155" i="1"/>
  <c r="M156" i="1"/>
  <c r="L166" i="3" s="1"/>
  <c r="M157" i="1"/>
  <c r="L167" i="3" s="1"/>
  <c r="M158" i="1"/>
  <c r="M159" i="1"/>
  <c r="M160" i="1"/>
  <c r="M161" i="1"/>
  <c r="M162" i="1"/>
  <c r="M163" i="1"/>
  <c r="M164" i="1"/>
  <c r="L174" i="3" s="1"/>
  <c r="M165" i="1"/>
  <c r="L175" i="3" s="1"/>
  <c r="M166" i="1"/>
  <c r="M167" i="1"/>
  <c r="M168" i="1"/>
  <c r="M169" i="1"/>
  <c r="M170" i="1"/>
  <c r="M171" i="1"/>
  <c r="M172" i="1"/>
  <c r="L182" i="3" s="1"/>
  <c r="M173" i="1"/>
  <c r="L183" i="3" s="1"/>
  <c r="M174" i="1"/>
  <c r="M175" i="1"/>
  <c r="M176" i="1"/>
  <c r="M177" i="1"/>
  <c r="M178" i="1"/>
  <c r="M179" i="1"/>
  <c r="M180" i="1"/>
  <c r="M181" i="1"/>
  <c r="L190" i="3" s="1"/>
  <c r="M182" i="1"/>
  <c r="M183" i="1"/>
  <c r="M184" i="1"/>
  <c r="M185" i="1"/>
  <c r="M186" i="1"/>
  <c r="M187" i="1"/>
  <c r="M188" i="1"/>
  <c r="M189" i="1"/>
  <c r="L198" i="3" s="1"/>
  <c r="M190" i="1"/>
  <c r="M191" i="1"/>
  <c r="M192" i="1"/>
  <c r="M193" i="1"/>
  <c r="M194" i="1"/>
  <c r="M195" i="1"/>
  <c r="M196" i="1"/>
  <c r="M197" i="1"/>
  <c r="L206" i="3" s="1"/>
  <c r="M198" i="1"/>
  <c r="M199" i="1"/>
  <c r="M200" i="1"/>
  <c r="M201" i="1"/>
  <c r="M202" i="1"/>
  <c r="M203" i="1"/>
  <c r="M204" i="1"/>
  <c r="M205" i="1"/>
  <c r="L214" i="3" s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L240" i="3" s="1"/>
  <c r="M234" i="1"/>
  <c r="M235" i="1"/>
  <c r="L242" i="3" s="1"/>
  <c r="M236" i="1"/>
  <c r="M237" i="1"/>
  <c r="M238" i="1"/>
  <c r="M239" i="1"/>
  <c r="L246" i="3" s="1"/>
  <c r="M240" i="1"/>
  <c r="M241" i="1"/>
  <c r="L248" i="3" s="1"/>
  <c r="M242" i="1"/>
  <c r="M243" i="1"/>
  <c r="L250" i="3" s="1"/>
  <c r="M244" i="1"/>
  <c r="M245" i="1"/>
  <c r="M246" i="1"/>
  <c r="M247" i="1"/>
  <c r="L254" i="3" s="1"/>
  <c r="M248" i="1"/>
  <c r="M249" i="1"/>
  <c r="L256" i="3" s="1"/>
  <c r="M250" i="1"/>
  <c r="M251" i="1"/>
  <c r="L258" i="3" s="1"/>
  <c r="M252" i="1"/>
  <c r="M253" i="1"/>
  <c r="M254" i="1"/>
  <c r="M255" i="1"/>
  <c r="L262" i="3" s="1"/>
  <c r="M256" i="1"/>
  <c r="M257" i="1"/>
  <c r="L264" i="3" s="1"/>
  <c r="M258" i="1"/>
  <c r="L265" i="3" s="1"/>
  <c r="M259" i="1"/>
  <c r="L266" i="3" s="1"/>
  <c r="M260" i="1"/>
  <c r="M261" i="1"/>
  <c r="M262" i="1"/>
  <c r="M263" i="1"/>
  <c r="L270" i="3" s="1"/>
  <c r="M264" i="1"/>
  <c r="M265" i="1"/>
  <c r="L272" i="3" s="1"/>
  <c r="M266" i="1"/>
  <c r="M267" i="1"/>
  <c r="L273" i="3" s="1"/>
  <c r="M268" i="1"/>
  <c r="M269" i="1"/>
  <c r="M270" i="1"/>
  <c r="M271" i="1"/>
  <c r="M272" i="1"/>
  <c r="M273" i="1"/>
  <c r="L279" i="3" s="1"/>
  <c r="M274" i="1"/>
  <c r="L280" i="3" s="1"/>
  <c r="M275" i="1"/>
  <c r="L281" i="3" s="1"/>
  <c r="M276" i="1"/>
  <c r="M277" i="1"/>
  <c r="M278" i="1"/>
  <c r="M279" i="1"/>
  <c r="M280" i="1"/>
  <c r="M281" i="1"/>
  <c r="L287" i="3" s="1"/>
  <c r="M282" i="1"/>
  <c r="L288" i="3" s="1"/>
  <c r="M283" i="1"/>
  <c r="L289" i="3" s="1"/>
  <c r="M284" i="1"/>
  <c r="L28" i="3" s="1"/>
  <c r="M285" i="1"/>
  <c r="M286" i="1"/>
  <c r="M287" i="1"/>
  <c r="M288" i="1"/>
  <c r="M289" i="1"/>
  <c r="L294" i="3" s="1"/>
  <c r="M290" i="1"/>
  <c r="L295" i="3" s="1"/>
  <c r="M291" i="1"/>
  <c r="L296" i="3" s="1"/>
  <c r="M292" i="1"/>
  <c r="M293" i="1"/>
  <c r="M294" i="1"/>
  <c r="M295" i="1"/>
  <c r="M296" i="1"/>
  <c r="M297" i="1"/>
  <c r="M298" i="1"/>
  <c r="L302" i="3" s="1"/>
  <c r="M299" i="1"/>
  <c r="L303" i="3" s="1"/>
  <c r="M300" i="1"/>
  <c r="M301" i="1"/>
  <c r="M302" i="1"/>
  <c r="M303" i="1"/>
  <c r="M304" i="1"/>
  <c r="M305" i="1"/>
  <c r="M306" i="1"/>
  <c r="L310" i="3" s="1"/>
  <c r="M307" i="1"/>
  <c r="L311" i="3" s="1"/>
  <c r="M308" i="1"/>
  <c r="M309" i="1"/>
  <c r="M310" i="1"/>
  <c r="M311" i="1"/>
  <c r="M312" i="1"/>
  <c r="M313" i="1"/>
  <c r="M314" i="1"/>
  <c r="L318" i="3" s="1"/>
  <c r="M315" i="1"/>
  <c r="L30" i="3" s="1"/>
  <c r="M316" i="1"/>
  <c r="L319" i="3" s="1"/>
  <c r="M317" i="1"/>
  <c r="M318" i="1"/>
  <c r="M319" i="1"/>
  <c r="M320" i="1"/>
  <c r="M321" i="1"/>
  <c r="M322" i="1"/>
  <c r="M323" i="1"/>
  <c r="L326" i="3" s="1"/>
  <c r="M324" i="1"/>
  <c r="L327" i="3" s="1"/>
  <c r="M325" i="1"/>
  <c r="M326" i="1"/>
  <c r="M327" i="1"/>
  <c r="M328" i="1"/>
  <c r="M329" i="1"/>
  <c r="M330" i="1"/>
  <c r="L31" i="3" s="1"/>
  <c r="M331" i="1"/>
  <c r="M332" i="1"/>
  <c r="L334" i="3" s="1"/>
  <c r="M333" i="1"/>
  <c r="M334" i="1"/>
  <c r="M335" i="1"/>
  <c r="M336" i="1"/>
  <c r="M337" i="1"/>
  <c r="L32" i="3" s="1"/>
  <c r="M338" i="1"/>
  <c r="M339" i="1"/>
  <c r="M340" i="1"/>
  <c r="M341" i="1"/>
  <c r="L342" i="3" s="1"/>
  <c r="M342" i="1"/>
  <c r="M343" i="1"/>
  <c r="M344" i="1"/>
  <c r="M345" i="1"/>
  <c r="M346" i="1"/>
  <c r="M347" i="1"/>
  <c r="M348" i="1"/>
  <c r="M349" i="1"/>
  <c r="L350" i="3" s="1"/>
  <c r="M350" i="1"/>
  <c r="M351" i="1"/>
  <c r="M352" i="1"/>
  <c r="M353" i="1"/>
  <c r="M354" i="1"/>
  <c r="M355" i="1"/>
  <c r="M356" i="1"/>
  <c r="M357" i="1"/>
  <c r="L358" i="3" s="1"/>
  <c r="M358" i="1"/>
  <c r="M359" i="1"/>
  <c r="L359" i="3" s="1"/>
  <c r="M360" i="1"/>
  <c r="L360" i="3" s="1"/>
  <c r="M361" i="1"/>
  <c r="L361" i="3" s="1"/>
  <c r="M362" i="1"/>
  <c r="L362" i="3" s="1"/>
  <c r="M363" i="1"/>
  <c r="L363" i="3" s="1"/>
  <c r="M364" i="1"/>
  <c r="L364" i="3" s="1"/>
  <c r="M365" i="1"/>
  <c r="L365" i="3" s="1"/>
  <c r="M366" i="1"/>
  <c r="L366" i="3" s="1"/>
  <c r="M367" i="1"/>
  <c r="L367" i="3" s="1"/>
  <c r="M368" i="1"/>
  <c r="L368" i="3" s="1"/>
  <c r="M3" i="1"/>
  <c r="L3" i="3" s="1"/>
  <c r="K4" i="3"/>
  <c r="L5" i="1"/>
  <c r="K5" i="3" s="1"/>
  <c r="L6" i="1"/>
  <c r="K6" i="3" s="1"/>
  <c r="L7" i="1"/>
  <c r="K7" i="3" s="1"/>
  <c r="L8" i="1"/>
  <c r="K8" i="3" s="1"/>
  <c r="L9" i="1"/>
  <c r="K9" i="3" s="1"/>
  <c r="L10" i="1"/>
  <c r="L11" i="1"/>
  <c r="L12" i="1"/>
  <c r="L13" i="1"/>
  <c r="L14" i="1"/>
  <c r="L15" i="1"/>
  <c r="L16" i="1"/>
  <c r="L17" i="1"/>
  <c r="L18" i="1"/>
  <c r="L19" i="1"/>
  <c r="K10" i="3" s="1"/>
  <c r="L20" i="1"/>
  <c r="L21" i="1"/>
  <c r="K44" i="3" s="1"/>
  <c r="L22" i="1"/>
  <c r="L23" i="1"/>
  <c r="L24" i="1"/>
  <c r="L25" i="1"/>
  <c r="L26" i="1"/>
  <c r="L27" i="1"/>
  <c r="K48" i="3" s="1"/>
  <c r="L28" i="1"/>
  <c r="K49" i="3" s="1"/>
  <c r="L29" i="1"/>
  <c r="K50" i="3" s="1"/>
  <c r="L30" i="1"/>
  <c r="L31" i="1"/>
  <c r="L32" i="1"/>
  <c r="L33" i="1"/>
  <c r="L34" i="1"/>
  <c r="L35" i="1"/>
  <c r="L36" i="1"/>
  <c r="K56" i="3" s="1"/>
  <c r="L37" i="1"/>
  <c r="K57" i="3" s="1"/>
  <c r="L38" i="1"/>
  <c r="K14" i="3" s="1"/>
  <c r="L39" i="1"/>
  <c r="L40" i="1"/>
  <c r="L41" i="1"/>
  <c r="L42" i="1"/>
  <c r="L43" i="1"/>
  <c r="L44" i="1"/>
  <c r="L45" i="1"/>
  <c r="K64" i="3" s="1"/>
  <c r="L46" i="1"/>
  <c r="K65" i="3" s="1"/>
  <c r="L47" i="1"/>
  <c r="L48" i="1"/>
  <c r="L49" i="1"/>
  <c r="L50" i="1"/>
  <c r="L51" i="1"/>
  <c r="L52" i="1"/>
  <c r="L53" i="1"/>
  <c r="K72" i="3" s="1"/>
  <c r="L54" i="1"/>
  <c r="K73" i="3" s="1"/>
  <c r="L55" i="1"/>
  <c r="L56" i="1"/>
  <c r="L57" i="1"/>
  <c r="L58" i="1"/>
  <c r="L59" i="1"/>
  <c r="L60" i="1"/>
  <c r="L61" i="1"/>
  <c r="K16" i="3" s="1"/>
  <c r="L62" i="1"/>
  <c r="L63" i="1"/>
  <c r="K80" i="3" s="1"/>
  <c r="L64" i="1"/>
  <c r="L65" i="1"/>
  <c r="L66" i="1"/>
  <c r="L67" i="1"/>
  <c r="L68" i="1"/>
  <c r="L69" i="1"/>
  <c r="L70" i="1"/>
  <c r="K17" i="3" s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K18" i="3" s="1"/>
  <c r="L86" i="1"/>
  <c r="L87" i="1"/>
  <c r="L88" i="1"/>
  <c r="L89" i="1"/>
  <c r="L90" i="1"/>
  <c r="K104" i="3" s="1"/>
  <c r="L91" i="1"/>
  <c r="L92" i="1"/>
  <c r="K106" i="3" s="1"/>
  <c r="L93" i="1"/>
  <c r="K107" i="3" s="1"/>
  <c r="L94" i="1"/>
  <c r="L95" i="1"/>
  <c r="L96" i="1"/>
  <c r="L97" i="1"/>
  <c r="L98" i="1"/>
  <c r="L99" i="1"/>
  <c r="L100" i="1"/>
  <c r="K114" i="3" s="1"/>
  <c r="L101" i="1"/>
  <c r="K115" i="3" s="1"/>
  <c r="L102" i="1"/>
  <c r="L103" i="1"/>
  <c r="L104" i="1"/>
  <c r="L105" i="1"/>
  <c r="L106" i="1"/>
  <c r="L107" i="1"/>
  <c r="L108" i="1"/>
  <c r="K120" i="3" s="1"/>
  <c r="L109" i="1"/>
  <c r="K121" i="3" s="1"/>
  <c r="L110" i="1"/>
  <c r="K22" i="3" s="1"/>
  <c r="L111" i="1"/>
  <c r="K23" i="3" s="1"/>
  <c r="L112" i="1"/>
  <c r="L113" i="1"/>
  <c r="L114" i="1"/>
  <c r="L115" i="1"/>
  <c r="L116" i="1"/>
  <c r="L117" i="1"/>
  <c r="L118" i="1"/>
  <c r="K128" i="3" s="1"/>
  <c r="L119" i="1"/>
  <c r="L120" i="1"/>
  <c r="L121" i="1"/>
  <c r="L122" i="1"/>
  <c r="L123" i="1"/>
  <c r="L124" i="1"/>
  <c r="L125" i="1"/>
  <c r="L126" i="1"/>
  <c r="K136" i="3" s="1"/>
  <c r="L127" i="1"/>
  <c r="L128" i="1"/>
  <c r="L129" i="1"/>
  <c r="L130" i="1"/>
  <c r="L131" i="1"/>
  <c r="L132" i="1"/>
  <c r="L133" i="1"/>
  <c r="L134" i="1"/>
  <c r="K144" i="3" s="1"/>
  <c r="L135" i="1"/>
  <c r="K145" i="3" s="1"/>
  <c r="L136" i="1"/>
  <c r="L137" i="1"/>
  <c r="L138" i="1"/>
  <c r="L139" i="1"/>
  <c r="L140" i="1"/>
  <c r="L141" i="1"/>
  <c r="L142" i="1"/>
  <c r="K152" i="3" s="1"/>
  <c r="L143" i="1"/>
  <c r="K153" i="3" s="1"/>
  <c r="L144" i="1"/>
  <c r="L145" i="1"/>
  <c r="L146" i="1"/>
  <c r="L147" i="1"/>
  <c r="L148" i="1"/>
  <c r="L149" i="1"/>
  <c r="L150" i="1"/>
  <c r="K160" i="3" s="1"/>
  <c r="L151" i="1"/>
  <c r="K161" i="3" s="1"/>
  <c r="L152" i="1"/>
  <c r="L153" i="1"/>
  <c r="L154" i="1"/>
  <c r="L155" i="1"/>
  <c r="L156" i="1"/>
  <c r="L157" i="1"/>
  <c r="L158" i="1"/>
  <c r="K168" i="3" s="1"/>
  <c r="L159" i="1"/>
  <c r="K169" i="3" s="1"/>
  <c r="L160" i="1"/>
  <c r="L161" i="1"/>
  <c r="L162" i="1"/>
  <c r="L163" i="1"/>
  <c r="L164" i="1"/>
  <c r="L165" i="1"/>
  <c r="L166" i="1"/>
  <c r="K176" i="3" s="1"/>
  <c r="L167" i="1"/>
  <c r="K177" i="3" s="1"/>
  <c r="L168" i="1"/>
  <c r="L169" i="1"/>
  <c r="L170" i="1"/>
  <c r="L171" i="1"/>
  <c r="L172" i="1"/>
  <c r="L173" i="1"/>
  <c r="L174" i="1"/>
  <c r="K184" i="3" s="1"/>
  <c r="L175" i="1"/>
  <c r="K185" i="3" s="1"/>
  <c r="L176" i="1"/>
  <c r="L177" i="1"/>
  <c r="L178" i="1"/>
  <c r="L179" i="1"/>
  <c r="L180" i="1"/>
  <c r="K24" i="3" s="1"/>
  <c r="L181" i="1"/>
  <c r="L182" i="1"/>
  <c r="L183" i="1"/>
  <c r="K192" i="3" s="1"/>
  <c r="L184" i="1"/>
  <c r="L185" i="1"/>
  <c r="L186" i="1"/>
  <c r="L187" i="1"/>
  <c r="L188" i="1"/>
  <c r="L189" i="1"/>
  <c r="L190" i="1"/>
  <c r="L191" i="1"/>
  <c r="K200" i="3" s="1"/>
  <c r="L192" i="1"/>
  <c r="L193" i="1"/>
  <c r="L194" i="1"/>
  <c r="L195" i="1"/>
  <c r="L196" i="1"/>
  <c r="L197" i="1"/>
  <c r="L198" i="1"/>
  <c r="L199" i="1"/>
  <c r="K208" i="3" s="1"/>
  <c r="L200" i="1"/>
  <c r="L201" i="1"/>
  <c r="L202" i="1"/>
  <c r="L203" i="1"/>
  <c r="L204" i="1"/>
  <c r="L205" i="1"/>
  <c r="L206" i="1"/>
  <c r="K25" i="3" s="1"/>
  <c r="L207" i="1"/>
  <c r="L208" i="1"/>
  <c r="L209" i="1"/>
  <c r="L210" i="1"/>
  <c r="L211" i="1"/>
  <c r="L212" i="1"/>
  <c r="L213" i="1"/>
  <c r="K221" i="3" s="1"/>
  <c r="L214" i="1"/>
  <c r="L215" i="1"/>
  <c r="L216" i="1"/>
  <c r="L217" i="1"/>
  <c r="L218" i="1"/>
  <c r="L219" i="1"/>
  <c r="L220" i="1"/>
  <c r="L221" i="1"/>
  <c r="K229" i="3" s="1"/>
  <c r="L222" i="1"/>
  <c r="L223" i="1"/>
  <c r="L224" i="1"/>
  <c r="L225" i="1"/>
  <c r="L226" i="1"/>
  <c r="L227" i="1"/>
  <c r="L228" i="1"/>
  <c r="L229" i="1"/>
  <c r="L230" i="1"/>
  <c r="L231" i="1"/>
  <c r="L232" i="1"/>
  <c r="L233" i="1"/>
  <c r="K240" i="3" s="1"/>
  <c r="L234" i="1"/>
  <c r="L235" i="1"/>
  <c r="K242" i="3" s="1"/>
  <c r="L236" i="1"/>
  <c r="L237" i="1"/>
  <c r="K244" i="3" s="1"/>
  <c r="L238" i="1"/>
  <c r="L239" i="1"/>
  <c r="L240" i="1"/>
  <c r="L241" i="1"/>
  <c r="K248" i="3" s="1"/>
  <c r="L242" i="1"/>
  <c r="L243" i="1"/>
  <c r="K250" i="3" s="1"/>
  <c r="L244" i="1"/>
  <c r="L245" i="1"/>
  <c r="K252" i="3" s="1"/>
  <c r="L246" i="1"/>
  <c r="L247" i="1"/>
  <c r="L248" i="1"/>
  <c r="L249" i="1"/>
  <c r="K256" i="3" s="1"/>
  <c r="L250" i="1"/>
  <c r="L251" i="1"/>
  <c r="K258" i="3" s="1"/>
  <c r="L252" i="1"/>
  <c r="L253" i="1"/>
  <c r="K260" i="3" s="1"/>
  <c r="L254" i="1"/>
  <c r="L255" i="1"/>
  <c r="L256" i="1"/>
  <c r="L257" i="1"/>
  <c r="K264" i="3" s="1"/>
  <c r="L258" i="1"/>
  <c r="L259" i="1"/>
  <c r="K266" i="3" s="1"/>
  <c r="L260" i="1"/>
  <c r="L261" i="1"/>
  <c r="K268" i="3" s="1"/>
  <c r="L262" i="1"/>
  <c r="L263" i="1"/>
  <c r="L264" i="1"/>
  <c r="L265" i="1"/>
  <c r="K272" i="3" s="1"/>
  <c r="L266" i="1"/>
  <c r="L267" i="1"/>
  <c r="L268" i="1"/>
  <c r="K274" i="3" s="1"/>
  <c r="L269" i="1"/>
  <c r="K275" i="3" s="1"/>
  <c r="L270" i="1"/>
  <c r="L271" i="1"/>
  <c r="L272" i="1"/>
  <c r="L273" i="1"/>
  <c r="L274" i="1"/>
  <c r="K280" i="3" s="1"/>
  <c r="L275" i="1"/>
  <c r="L276" i="1"/>
  <c r="K282" i="3" s="1"/>
  <c r="L277" i="1"/>
  <c r="K283" i="3" s="1"/>
  <c r="L278" i="1"/>
  <c r="L279" i="1"/>
  <c r="L280" i="1"/>
  <c r="L281" i="1"/>
  <c r="L282" i="1"/>
  <c r="K288" i="3" s="1"/>
  <c r="L283" i="1"/>
  <c r="L284" i="1"/>
  <c r="K28" i="3" s="1"/>
  <c r="L285" i="1"/>
  <c r="K290" i="3" s="1"/>
  <c r="L286" i="1"/>
  <c r="L287" i="1"/>
  <c r="L288" i="1"/>
  <c r="L289" i="1"/>
  <c r="L290" i="1"/>
  <c r="L291" i="1"/>
  <c r="K296" i="3" s="1"/>
  <c r="L292" i="1"/>
  <c r="L293" i="1"/>
  <c r="K298" i="3" s="1"/>
  <c r="L294" i="1"/>
  <c r="L295" i="1"/>
  <c r="L296" i="1"/>
  <c r="L297" i="1"/>
  <c r="L298" i="1"/>
  <c r="L299" i="1"/>
  <c r="L300" i="1"/>
  <c r="K304" i="3" s="1"/>
  <c r="L301" i="1"/>
  <c r="K305" i="3" s="1"/>
  <c r="L302" i="1"/>
  <c r="L303" i="1"/>
  <c r="L304" i="1"/>
  <c r="L305" i="1"/>
  <c r="L306" i="1"/>
  <c r="L307" i="1"/>
  <c r="L308" i="1"/>
  <c r="K312" i="3" s="1"/>
  <c r="L309" i="1"/>
  <c r="K313" i="3" s="1"/>
  <c r="L310" i="1"/>
  <c r="L311" i="1"/>
  <c r="L312" i="1"/>
  <c r="L313" i="1"/>
  <c r="L314" i="1"/>
  <c r="L315" i="1"/>
  <c r="L316" i="1"/>
  <c r="L317" i="1"/>
  <c r="K320" i="3" s="1"/>
  <c r="L318" i="1"/>
  <c r="K321" i="3" s="1"/>
  <c r="L319" i="1"/>
  <c r="L320" i="1"/>
  <c r="L321" i="1"/>
  <c r="L322" i="1"/>
  <c r="L323" i="1"/>
  <c r="L324" i="1"/>
  <c r="L325" i="1"/>
  <c r="K328" i="3" s="1"/>
  <c r="L326" i="1"/>
  <c r="K329" i="3" s="1"/>
  <c r="L327" i="1"/>
  <c r="L328" i="1"/>
  <c r="L329" i="1"/>
  <c r="L330" i="1"/>
  <c r="L331" i="1"/>
  <c r="L332" i="1"/>
  <c r="L333" i="1"/>
  <c r="L334" i="1"/>
  <c r="K336" i="3" s="1"/>
  <c r="L335" i="1"/>
  <c r="K337" i="3" s="1"/>
  <c r="L336" i="1"/>
  <c r="L337" i="1"/>
  <c r="K32" i="3" s="1"/>
  <c r="L338" i="1"/>
  <c r="L339" i="1"/>
  <c r="L340" i="1"/>
  <c r="L341" i="1"/>
  <c r="L342" i="1"/>
  <c r="L343" i="1"/>
  <c r="K344" i="3" s="1"/>
  <c r="L344" i="1"/>
  <c r="L345" i="1"/>
  <c r="L346" i="1"/>
  <c r="L347" i="1"/>
  <c r="L348" i="1"/>
  <c r="L349" i="1"/>
  <c r="L350" i="1"/>
  <c r="L351" i="1"/>
  <c r="K352" i="3" s="1"/>
  <c r="L352" i="1"/>
  <c r="L353" i="1"/>
  <c r="L354" i="1"/>
  <c r="L355" i="1"/>
  <c r="L356" i="1"/>
  <c r="L357" i="1"/>
  <c r="L358" i="1"/>
  <c r="K33" i="3" s="1"/>
  <c r="L359" i="1"/>
  <c r="K359" i="3" s="1"/>
  <c r="L360" i="1"/>
  <c r="K360" i="3" s="1"/>
  <c r="L361" i="1"/>
  <c r="K361" i="3" s="1"/>
  <c r="L362" i="1"/>
  <c r="K362" i="3" s="1"/>
  <c r="L363" i="1"/>
  <c r="K363" i="3" s="1"/>
  <c r="L364" i="1"/>
  <c r="K364" i="3" s="1"/>
  <c r="L365" i="1"/>
  <c r="K365" i="3" s="1"/>
  <c r="L366" i="1"/>
  <c r="K366" i="3" s="1"/>
  <c r="L367" i="1"/>
  <c r="K367" i="3" s="1"/>
  <c r="L368" i="1"/>
  <c r="K368" i="3" s="1"/>
  <c r="L3" i="1"/>
  <c r="K3" i="3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" i="1"/>
  <c r="S37" i="1" a="1"/>
  <c r="S126" i="1" a="1"/>
  <c r="S287" i="1" a="1"/>
  <c r="S345" i="1" a="1"/>
  <c r="S27" i="1" a="1"/>
  <c r="S182" i="1" a="1"/>
  <c r="R22" i="1" a="1"/>
  <c r="R125" i="1" a="1"/>
  <c r="R194" i="1" a="1"/>
  <c r="R11" i="1" a="1"/>
  <c r="S189" i="1" a="1"/>
  <c r="S264" i="1" a="1"/>
  <c r="S111" i="1" a="1"/>
  <c r="S97" i="1" a="1"/>
  <c r="S279" i="1" a="1"/>
  <c r="R36" i="1" a="1"/>
  <c r="R129" i="1" a="1"/>
  <c r="R335" i="1" a="1"/>
  <c r="R208" i="1" a="1"/>
  <c r="S221" i="1" a="1"/>
  <c r="S280" i="1" a="1"/>
  <c r="S122" i="1" a="1"/>
  <c r="S325" i="1" a="1"/>
  <c r="S359" i="1" a="1"/>
  <c r="R44" i="1" a="1"/>
  <c r="R147" i="1" a="1"/>
  <c r="R348" i="1" a="1"/>
  <c r="R245" i="1" a="1"/>
  <c r="R238" i="1" a="1"/>
  <c r="R59" i="1" a="1"/>
  <c r="Q10" i="1" a="1"/>
  <c r="Q75" i="1" a="1"/>
  <c r="Q337" i="1" a="1"/>
  <c r="Q279" i="1" a="1"/>
  <c r="S4" i="1" a="1"/>
  <c r="S286" i="1" a="1"/>
  <c r="S229" i="1" a="1"/>
  <c r="S170" i="1" a="1"/>
  <c r="S11" i="1" a="1"/>
  <c r="S268" i="1" a="1"/>
  <c r="R80" i="1" a="1"/>
  <c r="R220" i="1" a="1"/>
  <c r="R213" i="1" a="1"/>
  <c r="R154" i="1" a="1"/>
  <c r="R343" i="1" a="1"/>
  <c r="R301" i="1" a="1"/>
  <c r="Q46" i="1" a="1"/>
  <c r="Q123" i="1" a="1"/>
  <c r="Q263" i="1" a="1"/>
  <c r="Q355" i="1" a="1"/>
  <c r="S40" i="1" a="1"/>
  <c r="S348" i="1" a="1"/>
  <c r="S63" i="1" a="1"/>
  <c r="S218" i="1" a="1"/>
  <c r="S219" i="1" a="1"/>
  <c r="S92" i="1" a="1"/>
  <c r="R37" i="1" a="1"/>
  <c r="R289" i="1" a="1"/>
  <c r="S69" i="1" a="1"/>
  <c r="S168" i="1" a="1"/>
  <c r="S365" i="1" a="1"/>
  <c r="S118" i="1" a="1"/>
  <c r="S162" i="1" a="1"/>
  <c r="S252" i="1" a="1"/>
  <c r="R54" i="1" a="1"/>
  <c r="R189" i="1" a="1"/>
  <c r="R258" i="1" a="1"/>
  <c r="R214" i="1" a="1"/>
  <c r="S317" i="1" a="1"/>
  <c r="S34" i="1" a="1"/>
  <c r="S154" i="1" a="1"/>
  <c r="S129" i="1" a="1"/>
  <c r="S98" i="1" a="1"/>
  <c r="R68" i="1" a="1"/>
  <c r="R193" i="1" a="1"/>
  <c r="R135" i="1" a="1"/>
  <c r="R131" i="1" a="1"/>
  <c r="S270" i="1" a="1"/>
  <c r="S133" i="1" a="1"/>
  <c r="S164" i="1" a="1"/>
  <c r="S284" i="1" a="1"/>
  <c r="S214" i="1" a="1"/>
  <c r="R76" i="1" a="1"/>
  <c r="R211" i="1" a="1"/>
  <c r="R190" i="1" a="1"/>
  <c r="R145" i="1" a="1"/>
  <c r="R334" i="1" a="1"/>
  <c r="R279" i="1" a="1"/>
  <c r="Q42" i="1" a="1"/>
  <c r="Q118" i="1" a="1"/>
  <c r="Q258" i="1" a="1"/>
  <c r="Q347" i="1" a="1"/>
  <c r="S36" i="1" a="1"/>
  <c r="S344" i="1" a="1"/>
  <c r="S55" i="1" a="1"/>
  <c r="S212" i="1" a="1"/>
  <c r="S188" i="1" a="1"/>
  <c r="S80" i="1" a="1"/>
  <c r="R33" i="1" a="1"/>
  <c r="R284" i="1" a="1"/>
  <c r="R31" i="1" a="1"/>
  <c r="R218" i="1" a="1"/>
  <c r="R336" i="1" a="1"/>
  <c r="R123" i="1" a="1"/>
  <c r="Q117" i="1" a="1"/>
  <c r="Q166" i="1" a="1"/>
  <c r="Q359" i="1" a="1"/>
  <c r="Q318" i="1" a="1"/>
  <c r="S72" i="1" a="1"/>
  <c r="S277" i="1" a="1"/>
  <c r="S185" i="1" a="1"/>
  <c r="S260" i="1" a="1"/>
  <c r="S267" i="1" a="1"/>
  <c r="S251" i="1" a="1"/>
  <c r="R69" i="1" a="1"/>
  <c r="R117" i="1" a="1"/>
  <c r="R116" i="1" a="1"/>
  <c r="R291" i="1" a="1"/>
  <c r="R247" i="1" a="1"/>
  <c r="R150" i="1" a="1"/>
  <c r="Q261" i="1" a="1"/>
  <c r="Q214" i="1" a="1"/>
  <c r="Q312" i="1" a="1"/>
  <c r="Q77" i="1" a="1"/>
  <c r="S33" i="1" a="1"/>
  <c r="S101" i="1" a="1"/>
  <c r="S226" i="1" a="1"/>
  <c r="R58" i="1" a="1"/>
  <c r="R250" i="1" a="1"/>
  <c r="R27" i="1" a="1"/>
  <c r="Q283" i="1" a="1"/>
  <c r="Q306" i="1" a="1"/>
  <c r="Q99" i="1" a="1"/>
  <c r="Q170" i="1" a="1"/>
  <c r="P236" i="1" a="1"/>
  <c r="P233" i="1" a="1"/>
  <c r="P101" i="1" a="1"/>
  <c r="P139" i="1" a="1"/>
  <c r="P144" i="1" a="1"/>
  <c r="P158" i="1" a="1"/>
  <c r="Q248" i="1" a="1"/>
  <c r="S184" i="1" a="1"/>
  <c r="S332" i="1" a="1"/>
  <c r="R188" i="1" a="1"/>
  <c r="R75" i="1" a="1"/>
  <c r="R354" i="1" a="1"/>
  <c r="Q307" i="1" a="1"/>
  <c r="Q348" i="1" a="1"/>
  <c r="Q168" i="1" a="1"/>
  <c r="Q276" i="1" a="1"/>
  <c r="P305" i="1" a="1"/>
  <c r="P147" i="1" a="1"/>
  <c r="P174" i="1" a="1"/>
  <c r="P212" i="1" a="1"/>
  <c r="P284" i="1" a="1"/>
  <c r="K10" i="1" a="1"/>
  <c r="Q82" i="1" a="1"/>
  <c r="S74" i="1" a="1"/>
  <c r="S290" i="1" a="1"/>
  <c r="R199" i="1" a="1"/>
  <c r="R366" i="1" a="1"/>
  <c r="R355" i="1" a="1"/>
  <c r="Q96" i="1" a="1"/>
  <c r="Q114" i="1" a="1"/>
  <c r="Q328" i="1" a="1"/>
  <c r="Q319" i="1" a="1"/>
  <c r="P37" i="1" a="1"/>
  <c r="P73" i="1" a="1"/>
  <c r="P247" i="1" a="1"/>
  <c r="P281" i="1" a="1"/>
  <c r="P221" i="1" a="1"/>
  <c r="S116" i="1" a="1"/>
  <c r="Q185" i="1" a="1"/>
  <c r="S265" i="1" a="1"/>
  <c r="S354" i="1" a="1"/>
  <c r="R262" i="1" a="1"/>
  <c r="R306" i="1" a="1"/>
  <c r="Q40" i="1" a="1"/>
  <c r="Q176" i="1" a="1"/>
  <c r="Q183" i="1" a="1"/>
  <c r="Q121" i="1" a="1"/>
  <c r="P15" i="1" a="1"/>
  <c r="P104" i="1" a="1"/>
  <c r="P146" i="1" a="1"/>
  <c r="P320" i="1" a="1"/>
  <c r="S54" i="1" a="1"/>
  <c r="S211" i="1" a="1"/>
  <c r="S149" i="1" a="1"/>
  <c r="S258" i="1" a="1"/>
  <c r="S305" i="1" a="1"/>
  <c r="S242" i="1" a="1"/>
  <c r="R86" i="1" a="1"/>
  <c r="R253" i="1" a="1"/>
  <c r="R322" i="1" a="1"/>
  <c r="S24" i="1" a="1"/>
  <c r="S328" i="1" a="1"/>
  <c r="S31" i="1" a="1"/>
  <c r="S196" i="1" a="1"/>
  <c r="S146" i="1" a="1"/>
  <c r="S230" i="1" a="1"/>
  <c r="R21" i="1" a="1"/>
  <c r="R257" i="1" a="1"/>
  <c r="R7" i="1" a="1"/>
  <c r="S32" i="1" a="1"/>
  <c r="S339" i="1" a="1"/>
  <c r="S47" i="1" a="1"/>
  <c r="S207" i="1" a="1"/>
  <c r="S176" i="1" a="1"/>
  <c r="S59" i="1" a="1"/>
  <c r="R29" i="1" a="1"/>
  <c r="R275" i="1" a="1"/>
  <c r="R23" i="1" a="1"/>
  <c r="R209" i="1" a="1"/>
  <c r="R318" i="1" a="1"/>
  <c r="R110" i="1" a="1"/>
  <c r="Q101" i="1" a="1"/>
  <c r="Q160" i="1" a="1"/>
  <c r="Q351" i="1" a="1"/>
  <c r="Q286" i="1" a="1"/>
  <c r="S68" i="1" a="1"/>
  <c r="S197" i="1" a="1"/>
  <c r="S169" i="1" a="1"/>
  <c r="S255" i="1" a="1"/>
  <c r="S341" i="1" a="1"/>
  <c r="S220" i="1" a="1"/>
  <c r="R65" i="1" a="1"/>
  <c r="R368" i="1" a="1"/>
  <c r="R107" i="1" a="1"/>
  <c r="R282" i="1" a="1"/>
  <c r="R200" i="1" a="1"/>
  <c r="R329" i="1" a="1"/>
  <c r="Q245" i="1" a="1"/>
  <c r="Q208" i="1" a="1"/>
  <c r="Q291" i="1" a="1"/>
  <c r="Q60" i="1" a="1"/>
  <c r="S29" i="1" a="1"/>
  <c r="S115" i="1" a="1"/>
  <c r="S313" i="1" a="1"/>
  <c r="S330" i="1" a="1"/>
  <c r="S256" i="1" a="1"/>
  <c r="S108" i="1" a="1"/>
  <c r="R14" i="1" a="1"/>
  <c r="R111" i="1" a="1"/>
  <c r="R180" i="1" a="1"/>
  <c r="R104" i="1" a="1"/>
  <c r="R155" i="1" a="1"/>
  <c r="R365" i="1" a="1"/>
  <c r="Q251" i="1" a="1"/>
  <c r="Q304" i="1" a="1"/>
  <c r="Q66" i="1" a="1"/>
  <c r="Q205" i="1" a="1"/>
  <c r="S65" i="1" a="1"/>
  <c r="S174" i="1" a="1"/>
  <c r="S304" i="1" a="1"/>
  <c r="R170" i="1" a="1"/>
  <c r="R43" i="1" a="1"/>
  <c r="R346" i="1" a="1"/>
  <c r="Q280" i="1" a="1"/>
  <c r="Q334" i="1" a="1"/>
  <c r="Q158" i="1" a="1"/>
  <c r="Q244" i="1" a="1"/>
  <c r="P300" i="1" a="1"/>
  <c r="P83" i="1" a="1"/>
  <c r="P165" i="1" a="1"/>
  <c r="P203" i="1" a="1"/>
  <c r="P29" i="1" a="1"/>
  <c r="S275" i="1" a="1"/>
  <c r="Q94" i="1" a="1"/>
  <c r="S364" i="1" a="1"/>
  <c r="S204" i="1" a="1"/>
  <c r="R149" i="1" a="1"/>
  <c r="R358" i="1" a="1"/>
  <c r="R292" i="1" a="1"/>
  <c r="Q91" i="1" a="1"/>
  <c r="Q92" i="1" a="1"/>
  <c r="Q302" i="1" a="1"/>
  <c r="Q353" i="1" a="1"/>
  <c r="P26" i="1" a="1"/>
  <c r="P68" i="1" a="1"/>
  <c r="P238" i="1" a="1"/>
  <c r="P276" i="1" a="1"/>
  <c r="P184" i="1" a="1"/>
  <c r="S357" i="1" a="1"/>
  <c r="Q254" i="1" a="1"/>
  <c r="S233" i="1" a="1"/>
  <c r="S128" i="1" a="1"/>
  <c r="R248" i="1" a="1"/>
  <c r="R297" i="1" a="1"/>
  <c r="Q36" i="1" a="1"/>
  <c r="Q155" i="1" a="1"/>
  <c r="Q172" i="1" a="1"/>
  <c r="Q105" i="1" a="1"/>
  <c r="P11" i="1" a="1"/>
  <c r="P95" i="1" a="1"/>
  <c r="P137" i="1" a="1"/>
  <c r="P311" i="1" a="1"/>
  <c r="P9" i="1" a="1"/>
  <c r="S157" i="1" a="1"/>
  <c r="S254" i="1" a="1"/>
  <c r="S100" i="1" a="1"/>
  <c r="S363" i="1" a="1"/>
  <c r="S194" i="1" a="1"/>
  <c r="R28" i="1" a="1"/>
  <c r="R115" i="1" a="1"/>
  <c r="R317" i="1" a="1"/>
  <c r="R158" i="1" a="1"/>
  <c r="S56" i="1" a="1"/>
  <c r="S42" i="1" a="1"/>
  <c r="S121" i="1" a="1"/>
  <c r="S239" i="1" a="1"/>
  <c r="S289" i="1" a="1"/>
  <c r="S178" i="1" a="1"/>
  <c r="R53" i="1" a="1"/>
  <c r="R321" i="1" a="1"/>
  <c r="R71" i="1" a="1"/>
  <c r="S64" i="1" a="1"/>
  <c r="S165" i="1" a="1"/>
  <c r="S153" i="1" a="1"/>
  <c r="S250" i="1" a="1"/>
  <c r="S316" i="1" a="1"/>
  <c r="S208" i="1" a="1"/>
  <c r="R61" i="1" a="1"/>
  <c r="R339" i="1" a="1"/>
  <c r="R92" i="1" a="1"/>
  <c r="R273" i="1" a="1"/>
  <c r="R114" i="1" a="1"/>
  <c r="R256" i="1" a="1"/>
  <c r="Q229" i="1" a="1"/>
  <c r="Q203" i="1" a="1"/>
  <c r="Q270" i="1" a="1"/>
  <c r="Q43" i="1" a="1"/>
  <c r="S25" i="1" a="1"/>
  <c r="S110" i="1" a="1"/>
  <c r="S297" i="1" a="1"/>
  <c r="S319" i="1" a="1"/>
  <c r="S171" i="1" a="1"/>
  <c r="S96" i="1" a="1"/>
  <c r="R10" i="1" a="1"/>
  <c r="R102" i="1" a="1"/>
  <c r="R171" i="1" a="1"/>
  <c r="R88" i="1" a="1"/>
  <c r="R142" i="1" a="1"/>
  <c r="R341" i="1" a="1"/>
  <c r="Q240" i="1" a="1"/>
  <c r="Q288" i="1" a="1"/>
  <c r="Q31" i="1" a="1"/>
  <c r="Q189" i="1" a="1"/>
  <c r="S61" i="1" a="1"/>
  <c r="S158" i="1" a="1"/>
  <c r="S349" i="1" a="1"/>
  <c r="S51" i="1" a="1"/>
  <c r="S119" i="1" a="1"/>
  <c r="S155" i="1" a="1"/>
  <c r="R46" i="1" a="1"/>
  <c r="R175" i="1" a="1"/>
  <c r="R244" i="1" a="1"/>
  <c r="R164" i="1" a="1"/>
  <c r="R351" i="1" a="1"/>
  <c r="Q32" i="1" a="1"/>
  <c r="Q315" i="1" a="1"/>
  <c r="Q212" i="1" a="1"/>
  <c r="Q108" i="1" a="1"/>
  <c r="Q333" i="1" a="1"/>
  <c r="S46" i="1" a="1"/>
  <c r="S318" i="1" a="1"/>
  <c r="S177" i="1" a="1"/>
  <c r="R330" i="1" a="1"/>
  <c r="R350" i="1" a="1"/>
  <c r="R223" i="1" a="1"/>
  <c r="Q70" i="1" a="1"/>
  <c r="Q87" i="1" a="1"/>
  <c r="Q275" i="1" a="1"/>
  <c r="Q314" i="1" a="1"/>
  <c r="P21" i="1" a="1"/>
  <c r="P48" i="1" a="1"/>
  <c r="P229" i="1" a="1"/>
  <c r="P267" i="1" a="1"/>
  <c r="P166" i="1" a="1"/>
  <c r="S274" i="1" a="1"/>
  <c r="Q164" i="1" a="1"/>
  <c r="S201" i="1" a="1"/>
  <c r="S283" i="1" a="1"/>
  <c r="R216" i="1" a="1"/>
  <c r="R287" i="1" a="1"/>
  <c r="Q20" i="1" a="1"/>
  <c r="Q150" i="1" a="1"/>
  <c r="Q167" i="1" a="1"/>
  <c r="Q89" i="1" a="1"/>
  <c r="P7" i="1" a="1"/>
  <c r="P86" i="1" a="1"/>
  <c r="P132" i="1" a="1"/>
  <c r="P302" i="1" a="1"/>
  <c r="P340" i="1" a="1"/>
  <c r="P341" i="1" a="1"/>
  <c r="S87" i="1" a="1"/>
  <c r="Q228" i="1" a="1"/>
  <c r="S85" i="1" a="1"/>
  <c r="S306" i="1" a="1"/>
  <c r="R167" i="1" a="1"/>
  <c r="R288" i="1" a="1"/>
  <c r="Q29" i="1" a="1"/>
  <c r="Q235" i="1" a="1"/>
  <c r="Q316" i="1" a="1"/>
  <c r="Q233" i="1" a="1"/>
  <c r="P43" i="1" a="1"/>
  <c r="P159" i="1" a="1"/>
  <c r="P201" i="1" a="1"/>
  <c r="P359" i="1" a="1"/>
  <c r="P71" i="1" a="1"/>
  <c r="P309" i="1" a="1"/>
  <c r="R344" i="1" a="1"/>
  <c r="P291" i="1" a="1"/>
  <c r="S180" i="1" a="1"/>
  <c r="S337" i="1" a="1"/>
  <c r="R153" i="1" a="1"/>
  <c r="R51" i="1" a="1"/>
  <c r="Q30" i="1" a="1"/>
  <c r="Q19" i="1" a="1"/>
  <c r="Q360" i="1" a="1"/>
  <c r="Q56" i="1" a="1"/>
  <c r="P67" i="1" a="1"/>
  <c r="P232" i="1" a="1"/>
  <c r="P329" i="1" a="1"/>
  <c r="P92" i="1" a="1"/>
  <c r="S352" i="1" a="1"/>
  <c r="S299" i="1" a="1"/>
  <c r="R60" i="1" a="1"/>
  <c r="R364" i="1" a="1"/>
  <c r="S13" i="1" a="1"/>
  <c r="S249" i="1" a="1"/>
  <c r="S210" i="1" a="1"/>
  <c r="R85" i="1" a="1"/>
  <c r="R148" i="1" a="1"/>
  <c r="S104" i="1" a="1"/>
  <c r="S308" i="1" a="1"/>
  <c r="S81" i="1" a="1"/>
  <c r="R97" i="1" a="1"/>
  <c r="R337" i="1" a="1"/>
  <c r="R293" i="1" a="1"/>
  <c r="Q272" i="1" a="1"/>
  <c r="Q173" i="1" a="1"/>
  <c r="S152" i="1" a="1"/>
  <c r="S261" i="1" a="1"/>
  <c r="S82" i="1" a="1"/>
  <c r="R166" i="1" a="1"/>
  <c r="R151" i="1" a="1"/>
  <c r="Q28" i="1" a="1"/>
  <c r="Q352" i="1" a="1"/>
  <c r="Q317" i="1" a="1"/>
  <c r="S200" i="1" a="1"/>
  <c r="S215" i="1" a="1"/>
  <c r="S114" i="1" a="1"/>
  <c r="R239" i="1" a="1"/>
  <c r="R163" i="1" a="1"/>
  <c r="R347" i="1" a="1"/>
  <c r="Q133" i="1" a="1"/>
  <c r="Q194" i="1" a="1"/>
  <c r="Q88" i="1" a="1"/>
  <c r="S9" i="1" a="1"/>
  <c r="S193" i="1" a="1"/>
  <c r="R108" i="1" a="1"/>
  <c r="Q6" i="1" a="1"/>
  <c r="Q162" i="1" a="1"/>
  <c r="Q84" i="1" a="1"/>
  <c r="P141" i="1" a="1"/>
  <c r="P38" i="1" a="1"/>
  <c r="P117" i="1" a="1"/>
  <c r="R50" i="1" a="1"/>
  <c r="S205" i="1" a="1"/>
  <c r="S241" i="1" a="1"/>
  <c r="R259" i="1" a="1"/>
  <c r="Q69" i="1" a="1"/>
  <c r="Q311" i="1" a="1"/>
  <c r="Q132" i="1" a="1"/>
  <c r="P214" i="1" a="1"/>
  <c r="P110" i="1" a="1"/>
  <c r="P277" i="1" a="1"/>
  <c r="R40" i="1" a="1"/>
  <c r="S88" i="1" a="1"/>
  <c r="R72" i="1" a="1"/>
  <c r="R100" i="1" a="1"/>
  <c r="Q309" i="1" a="1"/>
  <c r="Q264" i="1" a="1"/>
  <c r="Q180" i="1" a="1"/>
  <c r="P287" i="1" a="1"/>
  <c r="P183" i="1" a="1"/>
  <c r="P208" i="1" a="1"/>
  <c r="S368" i="1" a="1"/>
  <c r="S49" i="1" a="1"/>
  <c r="S91" i="1" a="1"/>
  <c r="R263" i="1" a="1"/>
  <c r="R169" i="1" a="1"/>
  <c r="Q336" i="1" a="1"/>
  <c r="Q119" i="1" a="1"/>
  <c r="Q100" i="1" a="1"/>
  <c r="P259" i="1" a="1"/>
  <c r="P82" i="1" a="1"/>
  <c r="P8" i="1" a="1"/>
  <c r="P339" i="1" a="1"/>
  <c r="P79" i="1" a="1"/>
  <c r="R349" i="1" a="1"/>
  <c r="S73" i="1" a="1"/>
  <c r="S335" i="1" a="1"/>
  <c r="R17" i="1" a="1"/>
  <c r="R87" i="1" a="1"/>
  <c r="R192" i="1" a="1"/>
  <c r="S16" i="1" a="1"/>
  <c r="S15" i="1" a="1"/>
  <c r="S103" i="1" a="1"/>
  <c r="R13" i="1" a="1"/>
  <c r="R277" i="1" a="1"/>
  <c r="S45" i="1" a="1"/>
  <c r="S303" i="1" a="1"/>
  <c r="S257" i="1" a="1"/>
  <c r="R30" i="1" a="1"/>
  <c r="R212" i="1" a="1"/>
  <c r="S147" i="1" a="1"/>
  <c r="S213" i="1" a="1"/>
  <c r="S343" i="1" a="1"/>
  <c r="R157" i="1" a="1"/>
  <c r="R141" i="1" a="1"/>
  <c r="Q24" i="1" a="1"/>
  <c r="Q296" i="1" a="1"/>
  <c r="Q301" i="1" a="1"/>
  <c r="S195" i="1" a="1"/>
  <c r="S203" i="1" a="1"/>
  <c r="S362" i="1" a="1"/>
  <c r="R230" i="1" a="1"/>
  <c r="R296" i="1" a="1"/>
  <c r="Q9" i="1" a="1"/>
  <c r="Q97" i="1" a="1"/>
  <c r="Q83" i="1" a="1"/>
  <c r="S243" i="1" a="1"/>
  <c r="S347" i="1" a="1"/>
  <c r="R20" i="1" a="1"/>
  <c r="R303" i="1" a="1"/>
  <c r="R227" i="1" a="1"/>
  <c r="R146" i="1" a="1"/>
  <c r="Q238" i="1" a="1"/>
  <c r="Q274" i="1" a="1"/>
  <c r="Q131" i="1" a="1"/>
  <c r="S173" i="1" a="1"/>
  <c r="S86" i="1" a="1"/>
  <c r="R191" i="1" a="1"/>
  <c r="Q58" i="1" a="1"/>
  <c r="Q268" i="1" a="1"/>
  <c r="Q127" i="1" a="1"/>
  <c r="P205" i="1" a="1"/>
  <c r="P293" i="1" a="1"/>
  <c r="P266" i="1" a="1"/>
  <c r="R231" i="1" a="1"/>
  <c r="S78" i="1" a="1"/>
  <c r="R64" i="1" a="1"/>
  <c r="R229" i="1" a="1"/>
  <c r="Q293" i="1" a="1"/>
  <c r="Q243" i="1" a="1"/>
  <c r="Q175" i="1" a="1"/>
  <c r="P278" i="1" a="1"/>
  <c r="P355" i="1" a="1"/>
  <c r="P34" i="1" a="1"/>
  <c r="R63" i="1" a="1"/>
  <c r="S206" i="1" a="1"/>
  <c r="R81" i="1" a="1"/>
  <c r="R19" i="1" a="1"/>
  <c r="Q326" i="1" a="1"/>
  <c r="Q125" i="1" a="1"/>
  <c r="Q298" i="1" a="1"/>
  <c r="P346" i="1" a="1"/>
  <c r="P74" i="1" a="1"/>
  <c r="P199" i="1" a="1"/>
  <c r="S198" i="1" a="1"/>
  <c r="S333" i="1" a="1"/>
  <c r="S295" i="1" a="1"/>
  <c r="R254" i="1" a="1"/>
  <c r="R197" i="1" a="1"/>
  <c r="Q344" i="1" a="1"/>
  <c r="Q322" i="1" a="1"/>
  <c r="Q143" i="1" a="1"/>
  <c r="P323" i="1" a="1"/>
  <c r="P210" i="1" a="1"/>
  <c r="P98" i="1" a="1"/>
  <c r="P298" i="1" a="1"/>
  <c r="P335" i="1" a="1"/>
  <c r="Q213" i="1" a="1"/>
  <c r="S323" i="1" a="1"/>
  <c r="S300" i="1" a="1"/>
  <c r="R18" i="1" a="1"/>
  <c r="R186" i="1" a="1"/>
  <c r="R174" i="1" a="1"/>
  <c r="Q341" i="1" a="1"/>
  <c r="Q236" i="1" a="1"/>
  <c r="Q62" i="1" a="1"/>
  <c r="Q148" i="1" a="1"/>
  <c r="P204" i="1" a="1"/>
  <c r="P354" i="1" a="1"/>
  <c r="P69" i="1" a="1"/>
  <c r="P107" i="1" a="1"/>
  <c r="P312" i="1" a="1"/>
  <c r="P357" i="1" a="1"/>
  <c r="S48" i="1" a="1"/>
  <c r="S89" i="1" a="1"/>
  <c r="S262" i="1" a="1"/>
  <c r="R45" i="1" a="1"/>
  <c r="R55" i="1" a="1"/>
  <c r="S6" i="1" a="1"/>
  <c r="S18" i="1" a="1"/>
  <c r="S192" i="1" a="1"/>
  <c r="R62" i="1" a="1"/>
  <c r="R276" i="1" a="1"/>
  <c r="S190" i="1" a="1"/>
  <c r="S172" i="1" a="1"/>
  <c r="S311" i="1" a="1"/>
  <c r="R221" i="1" a="1"/>
  <c r="R286" i="1" a="1"/>
  <c r="Q5" i="1" a="1"/>
  <c r="Q81" i="1" a="1"/>
  <c r="Q78" i="1" a="1"/>
  <c r="S238" i="1" a="1"/>
  <c r="S338" i="1" a="1"/>
  <c r="R16" i="1" a="1"/>
  <c r="R294" i="1" a="1"/>
  <c r="R302" i="1" a="1"/>
  <c r="Q41" i="1" a="1"/>
  <c r="Q225" i="1" a="1"/>
  <c r="Q126" i="1" a="1"/>
  <c r="S307" i="1" a="1"/>
  <c r="S140" i="1" a="1"/>
  <c r="R52" i="1" a="1"/>
  <c r="R356" i="1" a="1"/>
  <c r="R333" i="1" a="1"/>
  <c r="R310" i="1" a="1"/>
  <c r="Q255" i="1" a="1"/>
  <c r="Q363" i="1" a="1"/>
  <c r="S12" i="1" a="1"/>
  <c r="S137" i="1" a="1"/>
  <c r="R56" i="1" a="1"/>
  <c r="R182" i="1" a="1"/>
  <c r="Q277" i="1" a="1"/>
  <c r="Q222" i="1" a="1"/>
  <c r="Q335" i="1" a="1"/>
  <c r="P269" i="1" a="1"/>
  <c r="P351" i="1" a="1"/>
  <c r="P295" i="1" a="1"/>
  <c r="R132" i="1" a="1"/>
  <c r="S26" i="1" a="1"/>
  <c r="R73" i="1" a="1"/>
  <c r="R357" i="1" a="1"/>
  <c r="Q294" i="1" a="1"/>
  <c r="Q109" i="1" a="1"/>
  <c r="P39" i="1" a="1"/>
  <c r="P342" i="1" a="1"/>
  <c r="P65" i="1" a="1"/>
  <c r="P181" i="1" a="1"/>
  <c r="R363" i="1" a="1"/>
  <c r="S159" i="1" a="1"/>
  <c r="R82" i="1" a="1"/>
  <c r="R119" i="1" a="1"/>
  <c r="Q323" i="1" a="1"/>
  <c r="Q23" i="1" a="1"/>
  <c r="P52" i="1" a="1"/>
  <c r="P265" i="1" a="1"/>
  <c r="P225" i="1" a="1"/>
  <c r="P344" i="1" a="1"/>
  <c r="R178" i="1" a="1"/>
  <c r="S99" i="1" a="1"/>
  <c r="S320" i="1" a="1"/>
  <c r="R331" i="1" a="1"/>
  <c r="R219" i="1" a="1"/>
  <c r="Q102" i="1" a="1"/>
  <c r="Q141" i="1" a="1"/>
  <c r="Q186" i="1" a="1"/>
  <c r="P42" i="1" a="1"/>
  <c r="P252" i="1" a="1"/>
  <c r="P162" i="1" a="1"/>
  <c r="P254" i="1" a="1"/>
  <c r="P231" i="1" a="1"/>
  <c r="Q342" i="1" a="1"/>
  <c r="S120" i="1" a="1"/>
  <c r="S134" i="1" a="1"/>
  <c r="R98" i="1" a="1"/>
  <c r="R314" i="1" a="1"/>
  <c r="R232" i="1" a="1"/>
  <c r="Q346" i="1" a="1"/>
  <c r="Q190" i="1" a="1"/>
  <c r="Q136" i="1" a="1"/>
  <c r="Q191" i="1" a="1"/>
  <c r="P268" i="1" a="1"/>
  <c r="P297" i="1" a="1"/>
  <c r="P133" i="1" a="1"/>
  <c r="P171" i="1" a="1"/>
  <c r="P303" i="1" a="1"/>
  <c r="P263" i="1" a="1"/>
  <c r="Q200" i="1" a="1"/>
  <c r="S248" i="1" a="1"/>
  <c r="S144" i="1" a="1"/>
  <c r="R266" i="1" a="1"/>
  <c r="R261" i="1" a="1"/>
  <c r="R196" i="1" a="1"/>
  <c r="Q7" i="1" a="1"/>
  <c r="Q71" i="1" a="1"/>
  <c r="Q216" i="1" a="1"/>
  <c r="Q340" i="1" a="1"/>
  <c r="P337" i="1" a="1"/>
  <c r="P234" i="1" a="1"/>
  <c r="P206" i="1" a="1"/>
  <c r="P244" i="1" a="1"/>
  <c r="P345" i="1" a="1"/>
  <c r="S60" i="1" a="1"/>
  <c r="Q35" i="1" a="1"/>
  <c r="S71" i="1" a="1"/>
  <c r="S224" i="1" a="1"/>
  <c r="R152" i="1" a="1"/>
  <c r="R165" i="1" a="1"/>
  <c r="Q8" i="1" a="1"/>
  <c r="Q134" i="1" a="1"/>
  <c r="Q135" i="1" a="1"/>
  <c r="Q271" i="1" a="1"/>
  <c r="Q361" i="1" a="1"/>
  <c r="P63" i="1" a="1"/>
  <c r="P105" i="1" a="1"/>
  <c r="P279" i="1" a="1"/>
  <c r="P313" i="1" a="1"/>
  <c r="P304" i="1" a="1"/>
  <c r="R184" i="1" a="1"/>
  <c r="P264" i="1" a="1"/>
  <c r="P61" i="1" a="1"/>
  <c r="S5" i="1" a="1"/>
  <c r="S217" i="1" a="1"/>
  <c r="S367" i="1" a="1"/>
  <c r="R77" i="1" a="1"/>
  <c r="R130" i="1" a="1"/>
  <c r="S70" i="1" a="1"/>
  <c r="S245" i="1" a="1"/>
  <c r="S331" i="1" a="1"/>
  <c r="R94" i="1" a="1"/>
  <c r="R340" i="1" a="1"/>
  <c r="S232" i="1" a="1"/>
  <c r="S327" i="1" a="1"/>
  <c r="R12" i="1" a="1"/>
  <c r="R285" i="1" a="1"/>
  <c r="R210" i="1" a="1"/>
  <c r="Q37" i="1" a="1"/>
  <c r="Q209" i="1" a="1"/>
  <c r="Q120" i="1" a="1"/>
  <c r="S296" i="1" a="1"/>
  <c r="S113" i="1" a="1"/>
  <c r="R48" i="1" a="1"/>
  <c r="R352" i="1" a="1"/>
  <c r="R251" i="1" a="1"/>
  <c r="Q14" i="1" a="1"/>
  <c r="Q178" i="1" a="1"/>
  <c r="S8" i="1" a="1"/>
  <c r="S293" i="1" a="1"/>
  <c r="S75" i="1" a="1"/>
  <c r="R5" i="1" a="1"/>
  <c r="R240" i="1" a="1"/>
  <c r="R101" i="1" a="1"/>
  <c r="R136" i="1" a="1"/>
  <c r="Q86" i="1" a="1"/>
  <c r="Q151" i="1" a="1"/>
  <c r="S44" i="1" a="1"/>
  <c r="S10" i="1" a="1"/>
  <c r="R57" i="1" a="1"/>
  <c r="R304" i="1" a="1"/>
  <c r="Q144" i="1" a="1"/>
  <c r="Q93" i="1" a="1"/>
  <c r="P35" i="1" a="1"/>
  <c r="P333" i="1" a="1"/>
  <c r="P60" i="1" a="1"/>
  <c r="P330" i="1" a="1"/>
  <c r="Q12" i="1" a="1"/>
  <c r="S148" i="1" a="1"/>
  <c r="R66" i="1" a="1"/>
  <c r="R265" i="1" a="1"/>
  <c r="Q230" i="1" a="1"/>
  <c r="Q285" i="1" a="1"/>
  <c r="P36" i="1" a="1"/>
  <c r="P251" i="1" a="1"/>
  <c r="P202" i="1" a="1"/>
  <c r="P272" i="1" a="1"/>
  <c r="Q27" i="1" a="1"/>
  <c r="S276" i="1" a="1"/>
  <c r="R202" i="1" a="1"/>
  <c r="R137" i="1" a="1"/>
  <c r="Q266" i="1" a="1"/>
  <c r="Q110" i="1" a="1"/>
  <c r="P122" i="1" a="1"/>
  <c r="P170" i="1" a="1"/>
  <c r="P89" i="1" a="1"/>
  <c r="P352" i="1" a="1"/>
  <c r="R328" i="1" a="1"/>
  <c r="S216" i="1" a="1"/>
  <c r="S19" i="1" a="1"/>
  <c r="R172" i="1" a="1"/>
  <c r="R173" i="1" a="1"/>
  <c r="Q246" i="1" a="1"/>
  <c r="Q55" i="1" a="1"/>
  <c r="Q303" i="1" a="1"/>
  <c r="P168" i="1" a="1"/>
  <c r="P64" i="1" a="1"/>
  <c r="P226" i="1" a="1"/>
  <c r="P111" i="1" a="1"/>
  <c r="S77" i="1" a="1"/>
  <c r="Q156" i="1" a="1"/>
  <c r="S227" i="1" a="1"/>
  <c r="S326" i="1" a="1"/>
  <c r="R252" i="1" a="1"/>
  <c r="R224" i="1" a="1"/>
  <c r="R183" i="1" a="1"/>
  <c r="Q287" i="1" a="1"/>
  <c r="Q260" i="1" a="1"/>
  <c r="Q195" i="1" a="1"/>
  <c r="Q345" i="1" a="1"/>
  <c r="P332" i="1" a="1"/>
  <c r="P211" i="1" a="1"/>
  <c r="P197" i="1" a="1"/>
  <c r="P235" i="1" a="1"/>
  <c r="P245" i="1" a="1"/>
  <c r="S163" i="1" a="1"/>
  <c r="Q313" i="1" a="1"/>
  <c r="S39" i="1" a="1"/>
  <c r="S151" i="1" a="1"/>
  <c r="R134" i="1" a="1"/>
  <c r="R128" i="1" a="1"/>
  <c r="Q4" i="1" a="1"/>
  <c r="Q112" i="1" a="1"/>
  <c r="Q130" i="1" a="1"/>
  <c r="Q239" i="1" a="1"/>
  <c r="Q324" i="1" a="1"/>
  <c r="P58" i="1" a="1"/>
  <c r="P100" i="1" a="1"/>
  <c r="P270" i="1" a="1"/>
  <c r="P308" i="1" a="1"/>
  <c r="P280" i="1" a="1"/>
  <c r="S150" i="1" a="1"/>
  <c r="Q330" i="1" a="1"/>
  <c r="S314" i="1" a="1"/>
  <c r="S123" i="1" a="1"/>
  <c r="R326" i="1" a="1"/>
  <c r="R367" i="1" a="1"/>
  <c r="Q52" i="1" a="1"/>
  <c r="Q192" i="1" a="1"/>
  <c r="Q242" i="1" a="1"/>
  <c r="Q169" i="1" a="1"/>
  <c r="P27" i="1" a="1"/>
  <c r="P127" i="1" a="1"/>
  <c r="P169" i="1" a="1"/>
  <c r="P343" i="1" a="1"/>
  <c r="P41" i="1" a="1"/>
  <c r="P321" i="1" a="1"/>
  <c r="R342" i="1" a="1"/>
  <c r="P200" i="1" a="1"/>
  <c r="P317" i="1" a="1"/>
  <c r="S83" i="1" a="1"/>
  <c r="S294" i="1" a="1"/>
  <c r="R305" i="1" a="1"/>
  <c r="S288" i="1" a="1"/>
  <c r="R271" i="1" a="1"/>
  <c r="S79" i="1" a="1"/>
  <c r="R84" i="1" a="1"/>
  <c r="R283" i="1" a="1"/>
  <c r="Q188" i="1" a="1"/>
  <c r="S127" i="1" a="1"/>
  <c r="R156" i="1" a="1"/>
  <c r="R133" i="1" a="1"/>
  <c r="Q290" i="1" a="1"/>
  <c r="S175" i="1" a="1"/>
  <c r="R225" i="1" a="1"/>
  <c r="R345" i="1" a="1"/>
  <c r="Q241" i="1" a="1"/>
  <c r="S302" i="1" a="1"/>
  <c r="R267" i="1" a="1"/>
  <c r="Q321" i="1" a="1"/>
  <c r="P77" i="1" a="1"/>
  <c r="P57" i="1" a="1"/>
  <c r="S17" i="1" a="1"/>
  <c r="R122" i="1" a="1"/>
  <c r="Q332" i="1" a="1"/>
  <c r="P150" i="1" a="1"/>
  <c r="P50" i="1" a="1"/>
  <c r="S301" i="1" a="1"/>
  <c r="R268" i="1" a="1"/>
  <c r="Q368" i="1" a="1"/>
  <c r="P223" i="1" a="1"/>
  <c r="P326" i="1" a="1"/>
  <c r="Q349" i="1" a="1"/>
  <c r="R234" i="1" a="1"/>
  <c r="Q325" i="1" a="1"/>
  <c r="Q249" i="1" a="1"/>
  <c r="P188" i="1" a="1"/>
  <c r="P125" i="1" a="1"/>
  <c r="R109" i="1" a="1"/>
  <c r="S191" i="1" a="1"/>
  <c r="R185" i="1" a="1"/>
  <c r="Q34" i="1" a="1"/>
  <c r="Q220" i="1" a="1"/>
  <c r="Q106" i="1" a="1"/>
  <c r="P173" i="1" a="1"/>
  <c r="P261" i="1" a="1"/>
  <c r="P143" i="1" a="1"/>
  <c r="R49" i="1" a="1"/>
  <c r="S14" i="1" a="1"/>
  <c r="S161" i="1" a="1"/>
  <c r="R15" i="1" a="1"/>
  <c r="R242" i="1" a="1"/>
  <c r="Q354" i="1" a="1"/>
  <c r="Q338" i="1" a="1"/>
  <c r="Q111" i="1" a="1"/>
  <c r="P273" i="1" a="1"/>
  <c r="P228" i="1" a="1"/>
  <c r="P40" i="1" a="1"/>
  <c r="P316" i="1" a="1"/>
  <c r="R236" i="1" a="1"/>
  <c r="S356" i="1" a="1"/>
  <c r="S315" i="1" a="1"/>
  <c r="R217" i="1" a="1"/>
  <c r="R260" i="1" a="1"/>
  <c r="Q39" i="1" a="1"/>
  <c r="Q282" i="1" a="1"/>
  <c r="Q159" i="1" a="1"/>
  <c r="P5" i="1" a="1"/>
  <c r="P138" i="1" a="1"/>
  <c r="P121" i="1" a="1"/>
  <c r="P18" i="1" a="1"/>
  <c r="Q259" i="1" a="1"/>
  <c r="P135" i="1" a="1"/>
  <c r="P207" i="1" a="1"/>
  <c r="P366" i="1" a="1"/>
  <c r="P361" i="1" a="1"/>
  <c r="G63" i="2" a="1"/>
  <c r="G183" i="2" a="1"/>
  <c r="G325" i="2" a="1"/>
  <c r="G107" i="2" a="1"/>
  <c r="G240" i="2" a="1"/>
  <c r="G66" i="2" a="1"/>
  <c r="J252" i="2" a="1"/>
  <c r="J67" i="2" a="1"/>
  <c r="J154" i="2" a="1"/>
  <c r="J161" i="2" a="1"/>
  <c r="J326" i="2" a="1"/>
  <c r="I16" i="2" a="1"/>
  <c r="I198" i="2" a="1"/>
  <c r="I322" i="2" a="1"/>
  <c r="I67" i="2" a="1"/>
  <c r="I214" i="2" a="1"/>
  <c r="I73" i="2" a="1"/>
  <c r="H104" i="2" a="1"/>
  <c r="H187" i="2" a="1"/>
  <c r="H170" i="2" a="1"/>
  <c r="H289" i="2" a="1"/>
  <c r="H94" i="2" a="1"/>
  <c r="H282" i="2" a="1"/>
  <c r="K167" i="1" a="1"/>
  <c r="J301" i="1" a="1"/>
  <c r="K345" i="1" a="1"/>
  <c r="K197" i="1" a="1"/>
  <c r="I368" i="1" a="1"/>
  <c r="J304" i="1" a="1"/>
  <c r="I191" i="1" a="1"/>
  <c r="J69" i="1" a="1"/>
  <c r="K222" i="1" a="1"/>
  <c r="J290" i="1" a="1"/>
  <c r="I245" i="1" a="1"/>
  <c r="K122" i="1" a="1"/>
  <c r="J152" i="1" a="1"/>
  <c r="K24" i="1" a="1"/>
  <c r="K244" i="1" a="1"/>
  <c r="I304" i="1" a="1"/>
  <c r="K304" i="1" a="1"/>
  <c r="G191" i="2" a="1"/>
  <c r="J226" i="2" a="1"/>
  <c r="J143" i="2" a="1"/>
  <c r="I101" i="2" a="1"/>
  <c r="I218" i="2" a="1"/>
  <c r="H39" i="2" a="1"/>
  <c r="H261" i="2" a="1"/>
  <c r="G21" i="2" a="1"/>
  <c r="G338" i="2" a="1"/>
  <c r="G138" i="2" a="1"/>
  <c r="G326" i="2" a="1"/>
  <c r="S143" i="1" a="1"/>
  <c r="R179" i="1" a="1"/>
  <c r="S94" i="1" a="1"/>
  <c r="S321" i="1" a="1"/>
  <c r="S21" i="1" a="1"/>
  <c r="S67" i="1" a="1"/>
  <c r="R162" i="1" a="1"/>
  <c r="Q224" i="1" a="1"/>
  <c r="S57" i="1" a="1"/>
  <c r="S107" i="1" a="1"/>
  <c r="R235" i="1" a="1"/>
  <c r="Q310" i="1" a="1"/>
  <c r="S38" i="1" a="1"/>
  <c r="S278" i="1" a="1"/>
  <c r="R39" i="1" a="1"/>
  <c r="Q13" i="1" a="1"/>
  <c r="Q210" i="1" a="1"/>
  <c r="S138" i="1" a="1"/>
  <c r="R228" i="1" a="1"/>
  <c r="Q269" i="1" a="1"/>
  <c r="P123" i="1" a="1"/>
  <c r="P190" i="1" a="1"/>
  <c r="S266" i="1" a="1"/>
  <c r="R35" i="1" a="1"/>
  <c r="Q104" i="1" a="1"/>
  <c r="P196" i="1" a="1"/>
  <c r="P294" i="1" a="1"/>
  <c r="S246" i="1" a="1"/>
  <c r="R206" i="1" a="1"/>
  <c r="Q179" i="1" a="1"/>
  <c r="P306" i="1" a="1"/>
  <c r="P307" i="1" a="1"/>
  <c r="S7" i="1" a="1"/>
  <c r="R300" i="1" a="1"/>
  <c r="Q193" i="1" a="1"/>
  <c r="Q357" i="1" a="1"/>
  <c r="P128" i="1" a="1"/>
  <c r="P239" i="1" a="1"/>
  <c r="Q152" i="1" a="1"/>
  <c r="S342" i="1" a="1"/>
  <c r="R118" i="1" a="1"/>
  <c r="Q165" i="1" a="1"/>
  <c r="Q327" i="1" a="1"/>
  <c r="Q365" i="1" a="1"/>
  <c r="P237" i="1" a="1"/>
  <c r="P325" i="1" a="1"/>
  <c r="P349" i="1" a="1"/>
  <c r="R249" i="1" a="1"/>
  <c r="S334" i="1" a="1"/>
  <c r="S272" i="1" a="1"/>
  <c r="R203" i="1" a="1"/>
  <c r="R187" i="1" a="1"/>
  <c r="Q187" i="1" a="1"/>
  <c r="Q250" i="1" a="1"/>
  <c r="Q154" i="1" a="1"/>
  <c r="P118" i="1" a="1"/>
  <c r="P129" i="1" a="1"/>
  <c r="P116" i="1" a="1"/>
  <c r="P189" i="1" a="1"/>
  <c r="R215" i="1" a="1"/>
  <c r="S142" i="1" a="1"/>
  <c r="S310" i="1" a="1"/>
  <c r="R176" i="1" a="1"/>
  <c r="R319" i="1" a="1"/>
  <c r="Q331" i="1" a="1"/>
  <c r="Q237" i="1" a="1"/>
  <c r="Q202" i="1" a="1"/>
  <c r="P191" i="1" a="1"/>
  <c r="P22" i="1" a="1"/>
  <c r="P185" i="1" a="1"/>
  <c r="P167" i="1" a="1"/>
  <c r="Q295" i="1" a="1"/>
  <c r="P126" i="1" a="1"/>
  <c r="P248" i="1" a="1"/>
  <c r="P96" i="1" a="1"/>
  <c r="P114" i="1" a="1"/>
  <c r="G77" i="2" a="1"/>
  <c r="G247" i="2" a="1"/>
  <c r="G58" i="2" a="1"/>
  <c r="G171" i="2" a="1"/>
  <c r="G304" i="2" a="1"/>
  <c r="G209" i="2" a="1"/>
  <c r="J295" i="2" a="1"/>
  <c r="J110" i="2" a="1"/>
  <c r="J212" i="2" a="1"/>
  <c r="J27" i="2" a="1"/>
  <c r="J362" i="2" a="1"/>
  <c r="I74" i="2" a="1"/>
  <c r="I262" i="2" a="1"/>
  <c r="I62" i="2" a="1"/>
  <c r="I131" i="2" a="1"/>
  <c r="I278" i="2" a="1"/>
  <c r="I233" i="2" a="1"/>
  <c r="H168" i="2" a="1"/>
  <c r="H301" i="2" a="1"/>
  <c r="H234" i="2" a="1"/>
  <c r="H348" i="2" a="1"/>
  <c r="H158" i="2" a="1"/>
  <c r="H333" i="2" a="1"/>
  <c r="K25" i="1" a="1"/>
  <c r="K206" i="1" a="1"/>
  <c r="I296" i="1" a="1"/>
  <c r="I111" i="1" a="1"/>
  <c r="K298" i="1" a="1"/>
  <c r="I222" i="1" a="1"/>
  <c r="I286" i="1" a="1"/>
  <c r="K185" i="1" a="1"/>
  <c r="I224" i="1" a="1"/>
  <c r="I20" i="1" a="1"/>
  <c r="J127" i="1" a="1"/>
  <c r="K273" i="1" a="1"/>
  <c r="J337" i="1" a="1"/>
  <c r="J134" i="1" a="1"/>
  <c r="J103" i="1" a="1"/>
  <c r="K203" i="1" a="1"/>
  <c r="G75" i="2" a="1"/>
  <c r="G194" i="2" a="1"/>
  <c r="J351" i="2" a="1"/>
  <c r="J325" i="2" a="1"/>
  <c r="I293" i="2" a="1"/>
  <c r="I49" i="2" a="1"/>
  <c r="H191" i="2" a="1"/>
  <c r="H56" i="2" a="1"/>
  <c r="G53" i="2" a="1"/>
  <c r="G56" i="2" a="1"/>
  <c r="G202" i="2" a="1"/>
  <c r="G368" i="2" a="1"/>
  <c r="G121" i="2" a="1"/>
  <c r="G259" i="2" a="1"/>
  <c r="J172" i="2" a="1"/>
  <c r="J285" i="2" a="1"/>
  <c r="J153" i="2" a="1"/>
  <c r="J165" i="2" a="1"/>
  <c r="J246" i="2" a="1"/>
  <c r="J324" i="2" a="1"/>
  <c r="I79" i="2" a="1"/>
  <c r="I203" i="2" a="1"/>
  <c r="I346" i="2" a="1"/>
  <c r="I95" i="2" a="1"/>
  <c r="I269" i="2" a="1"/>
  <c r="H31" i="2" a="1"/>
  <c r="H59" i="2" a="1"/>
  <c r="H49" i="2" a="1"/>
  <c r="H166" i="2" a="1"/>
  <c r="H308" i="2" a="1"/>
  <c r="H181" i="2" a="1"/>
  <c r="J45" i="1" a="1"/>
  <c r="K178" i="1" a="1"/>
  <c r="J151" i="1" a="1"/>
  <c r="J363" i="1" a="1"/>
  <c r="J277" i="1" a="1"/>
  <c r="K217" i="1" a="1"/>
  <c r="I230" i="1" a="1"/>
  <c r="I28" i="1" a="1"/>
  <c r="J212" i="1" a="1"/>
  <c r="K294" i="1" a="1"/>
  <c r="I327" i="1" a="1"/>
  <c r="J234" i="1" a="1"/>
  <c r="K36" i="1" a="1"/>
  <c r="K349" i="1" a="1"/>
  <c r="I159" i="1" a="1"/>
  <c r="J108" i="1" a="1"/>
  <c r="G152" i="2" a="1"/>
  <c r="G346" i="2" a="1"/>
  <c r="J175" i="2" a="1"/>
  <c r="I165" i="2" a="1"/>
  <c r="I154" i="2" a="1"/>
  <c r="H141" i="2" a="1"/>
  <c r="G25" i="2" a="1"/>
  <c r="G118" i="2" a="1"/>
  <c r="G147" i="2" a="1"/>
  <c r="G335" i="2" a="1"/>
  <c r="G40" i="2" a="1"/>
  <c r="G204" i="2" a="1"/>
  <c r="J135" i="2" a="1"/>
  <c r="J173" i="2" a="1"/>
  <c r="J41" i="2" a="1"/>
  <c r="J53" i="2" a="1"/>
  <c r="J208" i="2" a="1"/>
  <c r="J321" i="2" a="1"/>
  <c r="I151" i="2" a="1"/>
  <c r="I148" i="2" a="1"/>
  <c r="I336" i="2" a="1"/>
  <c r="I40" i="2" a="1"/>
  <c r="I210" i="2" a="1"/>
  <c r="S186" i="1" a="1"/>
  <c r="R243" i="1" a="1"/>
  <c r="S136" i="1" a="1"/>
  <c r="S236" i="1" a="1"/>
  <c r="S53" i="1" a="1"/>
  <c r="S35" i="1" a="1"/>
  <c r="R226" i="1" a="1"/>
  <c r="Q299" i="1" a="1"/>
  <c r="S30" i="1" a="1"/>
  <c r="S247" i="1" a="1"/>
  <c r="R299" i="1" a="1"/>
  <c r="Q211" i="1" a="1"/>
  <c r="S125" i="1" a="1"/>
  <c r="S366" i="1" a="1"/>
  <c r="R308" i="1" a="1"/>
  <c r="Q45" i="1" a="1"/>
  <c r="Q300" i="1" a="1"/>
  <c r="S244" i="1" a="1"/>
  <c r="R338" i="1" a="1"/>
  <c r="Q73" i="1" a="1"/>
  <c r="P187" i="1" a="1"/>
  <c r="P240" i="1" a="1"/>
  <c r="S160" i="1" a="1"/>
  <c r="R159" i="1" a="1"/>
  <c r="Q217" i="1" a="1"/>
  <c r="P292" i="1" a="1"/>
  <c r="P356" i="1" a="1"/>
  <c r="S199" i="1" a="1"/>
  <c r="R362" i="1" a="1"/>
  <c r="Q47" i="1" a="1"/>
  <c r="P243" i="1" a="1"/>
  <c r="P348" i="1" a="1"/>
  <c r="S181" i="1" a="1"/>
  <c r="R201" i="1" a="1"/>
  <c r="Q226" i="1" a="1"/>
  <c r="P47" i="1" a="1"/>
  <c r="P192" i="1" a="1"/>
  <c r="P364" i="1" a="1"/>
  <c r="Q79" i="1" a="1"/>
  <c r="S187" i="1" a="1"/>
  <c r="R315" i="1" a="1"/>
  <c r="Q107" i="1" a="1"/>
  <c r="Q218" i="1" a="1"/>
  <c r="P19" i="1" a="1"/>
  <c r="P301" i="1" a="1"/>
  <c r="P367" i="1" a="1"/>
  <c r="P257" i="1" a="1"/>
  <c r="R361" i="1" a="1"/>
  <c r="S131" i="1" a="1"/>
  <c r="S209" i="1" a="1"/>
  <c r="R144" i="1" a="1"/>
  <c r="R269" i="1" a="1"/>
  <c r="Q320" i="1" a="1"/>
  <c r="Q221" i="1" a="1"/>
  <c r="Q196" i="1" a="1"/>
  <c r="P182" i="1" a="1"/>
  <c r="P17" i="1" a="1"/>
  <c r="P180" i="1" a="1"/>
  <c r="P149" i="1" a="1"/>
  <c r="Q17" i="1" a="1"/>
  <c r="S259" i="1" a="1"/>
  <c r="R32" i="1" a="1"/>
  <c r="R204" i="1" a="1"/>
  <c r="R233" i="1" a="1"/>
  <c r="Q65" i="1" a="1"/>
  <c r="Q72" i="1" a="1"/>
  <c r="Q308" i="1" a="1"/>
  <c r="P255" i="1" a="1"/>
  <c r="P87" i="1" a="1"/>
  <c r="P249" i="1" a="1"/>
  <c r="P271" i="1" a="1"/>
  <c r="Q253" i="1" a="1"/>
  <c r="P194" i="1" a="1"/>
  <c r="P160" i="1" a="1"/>
  <c r="P130" i="1" a="1"/>
  <c r="P178" i="1" a="1"/>
  <c r="G141" i="2" a="1"/>
  <c r="G311" i="2" a="1"/>
  <c r="G129" i="2" a="1"/>
  <c r="G235" i="2" a="1"/>
  <c r="G357" i="2" a="1"/>
  <c r="J13" i="2" a="1"/>
  <c r="J338" i="2" a="1"/>
  <c r="J152" i="2" a="1"/>
  <c r="J31" i="2" a="1"/>
  <c r="J70" i="2" a="1"/>
  <c r="J177" i="2" a="1"/>
  <c r="I138" i="2" a="1"/>
  <c r="I326" i="2" a="1"/>
  <c r="I126" i="2" a="1"/>
  <c r="I195" i="2" a="1"/>
  <c r="I350" i="2" a="1"/>
  <c r="I110" i="2" a="1"/>
  <c r="H232" i="2" a="1"/>
  <c r="H105" i="2" a="1"/>
  <c r="H298" i="2" a="1"/>
  <c r="H25" i="2" a="1"/>
  <c r="H222" i="2" a="1"/>
  <c r="I55" i="1" a="1"/>
  <c r="I119" i="1" a="1"/>
  <c r="I23" i="1" a="1"/>
  <c r="I171" i="1" a="1"/>
  <c r="J52" i="1" a="1"/>
  <c r="I138" i="1" a="1"/>
  <c r="I61" i="1" a="1"/>
  <c r="K118" i="1" a="1"/>
  <c r="I68" i="1" a="1"/>
  <c r="K354" i="1" a="1"/>
  <c r="J38" i="1" a="1"/>
  <c r="J368" i="1" a="1"/>
  <c r="K150" i="1" a="1"/>
  <c r="J35" i="1" a="1"/>
  <c r="K84" i="1" a="1"/>
  <c r="K14" i="1" a="1"/>
  <c r="I269" i="1" a="1"/>
  <c r="G292" i="2" a="1"/>
  <c r="G182" i="2" a="1"/>
  <c r="J189" i="2" a="1"/>
  <c r="J43" i="2" a="1"/>
  <c r="I161" i="2" a="1"/>
  <c r="I177" i="2" a="1"/>
  <c r="H362" i="2" a="1"/>
  <c r="H184" i="2" a="1"/>
  <c r="G35" i="2" a="1"/>
  <c r="G128" i="2" a="1"/>
  <c r="G266" i="2" a="1"/>
  <c r="G46" i="2" a="1"/>
  <c r="G185" i="2" a="1"/>
  <c r="G323" i="2" a="1"/>
  <c r="J215" i="2" a="1"/>
  <c r="J30" i="2" a="1"/>
  <c r="J281" i="2" a="1"/>
  <c r="J293" i="2" a="1"/>
  <c r="J288" i="2" a="1"/>
  <c r="I11" i="2" a="1"/>
  <c r="I143" i="2" a="1"/>
  <c r="I267" i="2" a="1"/>
  <c r="I183" i="2" a="1"/>
  <c r="I159" i="2" a="1"/>
  <c r="I333" i="2" a="1"/>
  <c r="H28" i="2" a="1"/>
  <c r="H123" i="2" a="1"/>
  <c r="H115" i="2" a="1"/>
  <c r="H230" i="2" a="1"/>
  <c r="H45" i="2" a="1"/>
  <c r="H300" i="2" a="1"/>
  <c r="I175" i="1" a="1"/>
  <c r="K64" i="1" a="1"/>
  <c r="I135" i="1" a="1"/>
  <c r="K168" i="1" a="1"/>
  <c r="J23" i="1" a="1"/>
  <c r="I190" i="1" a="1"/>
  <c r="I357" i="1" a="1"/>
  <c r="I168" i="1" a="1"/>
  <c r="K162" i="1" a="1"/>
  <c r="J347" i="1" a="1"/>
  <c r="J318" i="1" a="1"/>
  <c r="J230" i="1" a="1"/>
  <c r="I265" i="1" a="1"/>
  <c r="I313" i="1" a="1"/>
  <c r="I105" i="1" a="1"/>
  <c r="I110" i="1" a="1"/>
  <c r="K367" i="1" a="1"/>
  <c r="G280" i="2" a="1"/>
  <c r="J98" i="2" a="1"/>
  <c r="J90" i="2" a="1"/>
  <c r="I97" i="2" a="1"/>
  <c r="I310" i="2" a="1"/>
  <c r="H128" i="2" a="1"/>
  <c r="G57" i="2" a="1"/>
  <c r="G62" i="2" a="1"/>
  <c r="G211" i="2" a="1"/>
  <c r="G145" i="2" a="1"/>
  <c r="G126" i="2" a="1"/>
  <c r="G268" i="2" a="1"/>
  <c r="J178" i="2" a="1"/>
  <c r="J301" i="2" a="1"/>
  <c r="J169" i="2" a="1"/>
  <c r="J181" i="2" a="1"/>
  <c r="J251" i="2" a="1"/>
  <c r="J353" i="2" a="1"/>
  <c r="I88" i="2" a="1"/>
  <c r="I212" i="2" a="1"/>
  <c r="I354" i="2" a="1"/>
  <c r="I104" i="2" a="1"/>
  <c r="I274" i="2" a="1"/>
  <c r="H35" i="2" a="1"/>
  <c r="H68" i="2" a="1"/>
  <c r="H60" i="2" a="1"/>
  <c r="H175" i="2" a="1"/>
  <c r="H317" i="2" a="1"/>
  <c r="H213" i="2" a="1"/>
  <c r="I158" i="1" a="1"/>
  <c r="J295" i="1" a="1"/>
  <c r="I236" i="1" a="1"/>
  <c r="K261" i="1" a="1"/>
  <c r="J139" i="1" a="1"/>
  <c r="J48" i="1" a="1"/>
  <c r="J256" i="1" a="1"/>
  <c r="K189" i="1" a="1"/>
  <c r="I16" i="1" a="1"/>
  <c r="J275" i="1" a="1"/>
  <c r="I329" i="1" a="1"/>
  <c r="J20" i="1" a="1"/>
  <c r="K61" i="1" a="1"/>
  <c r="J261" i="1" a="1"/>
  <c r="J250" i="1" a="1"/>
  <c r="I247" i="1" a="1"/>
  <c r="G29" i="2" a="1"/>
  <c r="G220" i="2" a="1"/>
  <c r="G341" i="2" a="1"/>
  <c r="J47" i="2" a="1"/>
  <c r="I229" i="2" a="1"/>
  <c r="I282" i="2" a="1"/>
  <c r="H255" i="2" a="1"/>
  <c r="H130" i="2" a="1"/>
  <c r="G109" i="2" a="1"/>
  <c r="G279" i="2" a="1"/>
  <c r="G97" i="2" a="1"/>
  <c r="G203" i="2" a="1"/>
  <c r="G336" i="2" a="1"/>
  <c r="G358" i="2" a="1"/>
  <c r="J316" i="2" a="1"/>
  <c r="J131" i="2" a="1"/>
  <c r="J239" i="2" a="1"/>
  <c r="J48" i="2" a="1"/>
  <c r="J65" i="2" a="1"/>
  <c r="I106" i="2" a="1"/>
  <c r="I294" i="2" a="1"/>
  <c r="I94" i="2" a="1"/>
  <c r="I163" i="2" a="1"/>
  <c r="I319" i="2" a="1"/>
  <c r="I288" i="2" a="1"/>
  <c r="H200" i="2" a="1"/>
  <c r="H73" i="2" a="1"/>
  <c r="H266" i="2" a="1"/>
  <c r="S228" i="1" a="1"/>
  <c r="R307" i="1" a="1"/>
  <c r="S179" i="1" a="1"/>
  <c r="S183" i="1" a="1"/>
  <c r="S22" i="1" a="1"/>
  <c r="S235" i="1" a="1"/>
  <c r="R290" i="1" a="1"/>
  <c r="Q366" i="1" a="1"/>
  <c r="S109" i="1" a="1"/>
  <c r="S358" i="1" a="1"/>
  <c r="R112" i="1" a="1"/>
  <c r="Q223" i="1" a="1"/>
  <c r="S253" i="1" a="1"/>
  <c r="S124" i="1" a="1"/>
  <c r="R126" i="1" a="1"/>
  <c r="Q18" i="1" a="1"/>
  <c r="Q367" i="1" a="1"/>
  <c r="S130" i="1" a="1"/>
  <c r="Q16" i="1" a="1"/>
  <c r="Q201" i="1" a="1"/>
  <c r="P274" i="1" a="1"/>
  <c r="P285" i="1" a="1"/>
  <c r="S336" i="1" a="1"/>
  <c r="Q25" i="1" a="1"/>
  <c r="Q15" i="1" a="1"/>
  <c r="P220" i="1" a="1"/>
  <c r="P275" i="1" a="1"/>
  <c r="S112" i="1" a="1"/>
  <c r="Q26" i="1" a="1"/>
  <c r="Q95" i="1" a="1"/>
  <c r="P54" i="1" a="1"/>
  <c r="P286" i="1" a="1"/>
  <c r="S292" i="1" a="1"/>
  <c r="R67" i="1" a="1"/>
  <c r="Q163" i="1" a="1"/>
  <c r="P131" i="1" a="1"/>
  <c r="P256" i="1" a="1"/>
  <c r="P289" i="1" a="1"/>
  <c r="P4" i="1" a="1"/>
  <c r="S139" i="1" a="1"/>
  <c r="R160" i="1" a="1"/>
  <c r="Q182" i="1" a="1"/>
  <c r="Q157" i="1" a="1"/>
  <c r="P51" i="1" a="1"/>
  <c r="P91" i="1" a="1"/>
  <c r="P97" i="1" a="1"/>
  <c r="P70" i="1" a="1"/>
  <c r="Q61" i="1" a="1"/>
  <c r="S298" i="1" a="1"/>
  <c r="R24" i="1" a="1"/>
  <c r="R195" i="1" a="1"/>
  <c r="Q48" i="1" a="1"/>
  <c r="Q59" i="1" a="1"/>
  <c r="Q67" i="1" a="1"/>
  <c r="P23" i="1" a="1"/>
  <c r="P246" i="1" a="1"/>
  <c r="P78" i="1" a="1"/>
  <c r="P30" i="1" a="1"/>
  <c r="P134" i="1" a="1"/>
  <c r="Q198" i="1" a="1"/>
  <c r="S106" i="1" a="1"/>
  <c r="R41" i="1" a="1"/>
  <c r="R332" i="1" a="1"/>
  <c r="Q57" i="1" a="1"/>
  <c r="Q289" i="1" a="1"/>
  <c r="Q147" i="1" a="1"/>
  <c r="P59" i="1" a="1"/>
  <c r="P319" i="1" a="1"/>
  <c r="P151" i="1" a="1"/>
  <c r="P103" i="1" a="1"/>
  <c r="P230" i="1" a="1"/>
  <c r="Q122" i="1" a="1"/>
  <c r="P365" i="1" a="1"/>
  <c r="P32" i="1" a="1"/>
  <c r="P120" i="1" a="1"/>
  <c r="P260" i="1" a="1"/>
  <c r="G205" i="2" a="1"/>
  <c r="G359" i="2" a="1"/>
  <c r="G193" i="2" a="1"/>
  <c r="G299" i="2" a="1"/>
  <c r="G60" i="2" a="1"/>
  <c r="J39" i="2" a="1"/>
  <c r="J222" i="2" a="1"/>
  <c r="J195" i="2" a="1"/>
  <c r="J74" i="2" a="1"/>
  <c r="J112" i="2" a="1"/>
  <c r="J345" i="2" a="1"/>
  <c r="I202" i="2" a="1"/>
  <c r="I368" i="2" a="1"/>
  <c r="I190" i="2" a="1"/>
  <c r="I259" i="2" a="1"/>
  <c r="I68" i="2" a="1"/>
  <c r="I265" i="2" a="1"/>
  <c r="H296" i="2" a="1"/>
  <c r="H169" i="2" a="1"/>
  <c r="H117" i="2" a="1"/>
  <c r="H107" i="2" a="1"/>
  <c r="H286" i="2" a="1"/>
  <c r="I333" i="1" a="1"/>
  <c r="K32" i="1" a="1"/>
  <c r="J53" i="1" a="1"/>
  <c r="I142" i="1" a="1"/>
  <c r="I217" i="1" a="1"/>
  <c r="K195" i="1" a="1"/>
  <c r="I84" i="1" a="1"/>
  <c r="I108" i="1" a="1"/>
  <c r="K158" i="1" a="1"/>
  <c r="K357" i="1" a="1"/>
  <c r="I102" i="1" a="1"/>
  <c r="J242" i="1" a="1"/>
  <c r="J253" i="1" a="1"/>
  <c r="I181" i="1" a="1"/>
  <c r="I363" i="1" a="1"/>
  <c r="J361" i="1" a="1"/>
  <c r="I276" i="1" a="1"/>
  <c r="G142" i="2" a="1"/>
  <c r="G199" i="2" a="1"/>
  <c r="J83" i="2" a="1"/>
  <c r="J128" i="2" a="1"/>
  <c r="I348" i="2" a="1"/>
  <c r="I25" i="2" a="1"/>
  <c r="H77" i="2" a="1"/>
  <c r="H360" i="2" a="1"/>
  <c r="G67" i="2" a="1"/>
  <c r="G192" i="2" a="1"/>
  <c r="G330" i="2" a="1"/>
  <c r="G116" i="2" a="1"/>
  <c r="G249" i="2" a="1"/>
  <c r="G81" i="2" a="1"/>
  <c r="J258" i="2" a="1"/>
  <c r="J72" i="2" a="1"/>
  <c r="J159" i="2" a="1"/>
  <c r="J193" i="2" a="1"/>
  <c r="J331" i="2" a="1"/>
  <c r="I21" i="2" a="1"/>
  <c r="I207" i="2" a="1"/>
  <c r="I331" i="2" a="1"/>
  <c r="I76" i="2" a="1"/>
  <c r="I223" i="2" a="1"/>
  <c r="I78" i="2" a="1"/>
  <c r="H113" i="2" a="1"/>
  <c r="H196" i="2" a="1"/>
  <c r="H179" i="2" a="1"/>
  <c r="H294" i="2" a="1"/>
  <c r="H103" i="2" a="1"/>
  <c r="H367" i="2" a="1"/>
  <c r="K364" i="1" a="1"/>
  <c r="K305" i="1" a="1"/>
  <c r="K353" i="1" a="1"/>
  <c r="K343" i="1" a="1"/>
  <c r="J283" i="1" a="1"/>
  <c r="K181" i="1" a="1"/>
  <c r="I156" i="1" a="1"/>
  <c r="K306" i="1" a="1"/>
  <c r="J317" i="1" a="1"/>
  <c r="K56" i="1" a="1"/>
  <c r="K46" i="1" a="1"/>
  <c r="J296" i="1" a="1"/>
  <c r="I353" i="1" a="1"/>
  <c r="I98" i="1" a="1"/>
  <c r="K78" i="1" a="1"/>
  <c r="J75" i="1" a="1"/>
  <c r="I210" i="1" a="1"/>
  <c r="G64" i="2" a="1"/>
  <c r="J183" i="2" a="1"/>
  <c r="J197" i="2" a="1"/>
  <c r="I289" i="2" a="1"/>
  <c r="I241" i="2" a="1"/>
  <c r="H69" i="2" a="1"/>
  <c r="G39" i="2" a="1"/>
  <c r="G137" i="2" a="1"/>
  <c r="G275" i="2" a="1"/>
  <c r="G52" i="2" a="1"/>
  <c r="G190" i="2" a="1"/>
  <c r="G332" i="2" a="1"/>
  <c r="J220" i="2" a="1"/>
  <c r="J35" i="2" a="1"/>
  <c r="J297" i="2" a="1"/>
  <c r="J309" i="2" a="1"/>
  <c r="J294" i="2" a="1"/>
  <c r="I15" i="2" a="1"/>
  <c r="I152" i="2" a="1"/>
  <c r="I276" i="2" a="1"/>
  <c r="I13" i="2" a="1"/>
  <c r="I168" i="2" a="1"/>
  <c r="I338" i="2" a="1"/>
  <c r="H53" i="2" a="1"/>
  <c r="H132" i="2" a="1"/>
  <c r="H124" i="2" a="1"/>
  <c r="H239" i="2" a="1"/>
  <c r="H52" i="2" a="1"/>
  <c r="H306" i="2" a="1"/>
  <c r="K272" i="1" a="1"/>
  <c r="K296" i="1" a="1"/>
  <c r="J133" i="1" a="1"/>
  <c r="K324" i="1" a="1"/>
  <c r="J136" i="1" a="1"/>
  <c r="I162" i="1" a="1"/>
  <c r="I295" i="1" a="1"/>
  <c r="J34" i="1" a="1"/>
  <c r="I283" i="1" a="1"/>
  <c r="I127" i="1" a="1"/>
  <c r="J289" i="1" a="1"/>
  <c r="I345" i="1" a="1"/>
  <c r="K256" i="1" a="1"/>
  <c r="J104" i="1" a="1"/>
  <c r="I259" i="1" a="1"/>
  <c r="K45" i="1" a="1"/>
  <c r="G11" i="2" a="1"/>
  <c r="G88" i="2" a="1"/>
  <c r="J11" i="2" a="1"/>
  <c r="J69" i="2" a="1"/>
  <c r="I22" i="2" a="1"/>
  <c r="I113" i="2" a="1"/>
  <c r="H283" i="2" a="1"/>
  <c r="H258" i="2" a="1"/>
  <c r="G173" i="2" a="1"/>
  <c r="G343" i="2" a="1"/>
  <c r="G161" i="2" a="1"/>
  <c r="G267" i="2" a="1"/>
  <c r="G342" i="2" a="1"/>
  <c r="J18" i="2" a="1"/>
  <c r="J355" i="2" a="1"/>
  <c r="J174" i="2" a="1"/>
  <c r="J52" i="2" a="1"/>
  <c r="J91" i="2" a="1"/>
  <c r="J305" i="2" a="1"/>
  <c r="I170" i="2" a="1"/>
  <c r="I352" i="2" a="1"/>
  <c r="I158" i="2" a="1"/>
  <c r="I227" i="2" a="1"/>
  <c r="I36" i="2" a="1"/>
  <c r="I256" i="2" a="1"/>
  <c r="H264" i="2" a="1"/>
  <c r="H137" i="2" a="1"/>
  <c r="R181" i="1" a="1"/>
  <c r="R4" i="1" a="1"/>
  <c r="S350" i="1" a="1"/>
  <c r="Q364" i="1" a="1"/>
  <c r="S43" i="1" a="1"/>
  <c r="Q80" i="1" a="1"/>
  <c r="S346" i="1" a="1"/>
  <c r="Q50" i="1" a="1"/>
  <c r="S167" i="1" a="1"/>
  <c r="Q329" i="1" a="1"/>
  <c r="P262" i="1" a="1"/>
  <c r="Q22" i="1" a="1"/>
  <c r="P49" i="1" a="1"/>
  <c r="S156" i="1" a="1"/>
  <c r="Q138" i="1" a="1"/>
  <c r="P213" i="1" a="1"/>
  <c r="R95" i="1" a="1"/>
  <c r="P195" i="1" a="1"/>
  <c r="P318" i="1" a="1"/>
  <c r="R8" i="1" a="1"/>
  <c r="Q256" i="1" a="1"/>
  <c r="P76" i="1" a="1"/>
  <c r="P24" i="1" a="1"/>
  <c r="Q129" i="1" a="1"/>
  <c r="R25" i="1" a="1"/>
  <c r="Q53" i="1" a="1"/>
  <c r="Q142" i="1" a="1"/>
  <c r="P310" i="1" a="1"/>
  <c r="P94" i="1" a="1"/>
  <c r="Q252" i="1" a="1"/>
  <c r="R34" i="1" a="1"/>
  <c r="Q54" i="1" a="1"/>
  <c r="Q232" i="1" a="1"/>
  <c r="P362" i="1" a="1"/>
  <c r="P216" i="1" a="1"/>
  <c r="P163" i="1" a="1"/>
  <c r="P258" i="1" a="1"/>
  <c r="P44" i="1" a="1"/>
  <c r="G68" i="2" a="1"/>
  <c r="G113" i="2" a="1"/>
  <c r="J82" i="2" a="1"/>
  <c r="J243" i="2" a="1"/>
  <c r="J155" i="2" a="1"/>
  <c r="I266" i="2" a="1"/>
  <c r="I254" i="2" a="1"/>
  <c r="I132" i="2" a="1"/>
  <c r="H350" i="2" a="1"/>
  <c r="H12" i="2" a="1"/>
  <c r="H349" i="2" a="1"/>
  <c r="K301" i="1" a="1"/>
  <c r="K287" i="1" a="1"/>
  <c r="J173" i="1" a="1"/>
  <c r="K153" i="1" a="1"/>
  <c r="K262" i="1" a="1"/>
  <c r="I72" i="1" a="1"/>
  <c r="I64" i="1" a="1"/>
  <c r="I294" i="1" a="1"/>
  <c r="G334" i="2" a="1"/>
  <c r="J211" i="2" a="1"/>
  <c r="I157" i="2" a="1"/>
  <c r="H219" i="2" a="1"/>
  <c r="G82" i="2" a="1"/>
  <c r="G74" i="2" a="1"/>
  <c r="G34" i="2" a="1"/>
  <c r="J44" i="2" a="1"/>
  <c r="J115" i="2" a="1"/>
  <c r="J127" i="2" a="1"/>
  <c r="J209" i="2" a="1"/>
  <c r="I339" i="2" a="1"/>
  <c r="I199" i="2" a="1"/>
  <c r="I287" i="2" a="1"/>
  <c r="H10" i="2" a="1"/>
  <c r="H110" i="2" a="1"/>
  <c r="H102" i="2" a="1"/>
  <c r="H295" i="2" a="1"/>
  <c r="J89" i="1" a="1"/>
  <c r="J13" i="1" a="1"/>
  <c r="I328" i="1" a="1"/>
  <c r="J345" i="1" a="1"/>
  <c r="J272" i="1" a="1"/>
  <c r="I325" i="1" a="1"/>
  <c r="I211" i="1" a="1"/>
  <c r="J325" i="1" a="1"/>
  <c r="I100" i="1" a="1"/>
  <c r="J28" i="1" a="1"/>
  <c r="G164" i="2" a="1"/>
  <c r="G85" i="2" a="1"/>
  <c r="J214" i="2" a="1"/>
  <c r="I366" i="2" a="1"/>
  <c r="H66" i="2" a="1"/>
  <c r="G201" i="2" a="1"/>
  <c r="G207" i="2" a="1"/>
  <c r="G318" i="2" a="1"/>
  <c r="J92" i="2" a="1"/>
  <c r="J163" i="2" a="1"/>
  <c r="J225" i="2" a="1"/>
  <c r="J266" i="2" a="1"/>
  <c r="I280" i="2" a="1"/>
  <c r="I272" i="2" a="1"/>
  <c r="I20" i="2" a="1"/>
  <c r="H46" i="2" a="1"/>
  <c r="H36" i="2" a="1"/>
  <c r="H172" i="2" a="1"/>
  <c r="H253" i="2" a="1"/>
  <c r="J166" i="1" a="1"/>
  <c r="K292" i="1" a="1"/>
  <c r="K365" i="1" a="1"/>
  <c r="I53" i="1" a="1"/>
  <c r="J145" i="1" a="1"/>
  <c r="J30" i="1" a="1"/>
  <c r="K80" i="1" a="1"/>
  <c r="J333" i="1" a="1"/>
  <c r="J65" i="1" a="1"/>
  <c r="K104" i="1" a="1"/>
  <c r="J341" i="1" a="1"/>
  <c r="I178" i="1" a="1"/>
  <c r="J358" i="1" a="1"/>
  <c r="G223" i="2" a="1"/>
  <c r="G149" i="2" a="1"/>
  <c r="J171" i="2" a="1"/>
  <c r="I153" i="2" a="1"/>
  <c r="H127" i="2" a="1"/>
  <c r="H313" i="2" a="1"/>
  <c r="G87" i="2" a="1"/>
  <c r="G296" i="2" a="1"/>
  <c r="G214" i="2" a="1"/>
  <c r="G282" i="2" a="1"/>
  <c r="J274" i="2" a="1"/>
  <c r="J280" i="2" a="1"/>
  <c r="J213" i="2" a="1"/>
  <c r="J346" i="2" a="1"/>
  <c r="I298" i="2" a="1"/>
  <c r="I226" i="2" a="1"/>
  <c r="I99" i="2" a="1"/>
  <c r="I164" i="2" a="1"/>
  <c r="H43" i="2" a="1"/>
  <c r="H237" i="2" a="1"/>
  <c r="H195" i="2" a="1"/>
  <c r="H139" i="2" a="1"/>
  <c r="H318" i="2" a="1"/>
  <c r="J214" i="1" a="1"/>
  <c r="J159" i="1" a="1"/>
  <c r="I15" i="1" a="1"/>
  <c r="J154" i="1" a="1"/>
  <c r="I172" i="1" a="1"/>
  <c r="K188" i="1" a="1"/>
  <c r="J357" i="1" a="1"/>
  <c r="K278" i="1" a="1"/>
  <c r="J194" i="1" a="1"/>
  <c r="J120" i="1" a="1"/>
  <c r="I277" i="1" a="1"/>
  <c r="I67" i="1" a="1"/>
  <c r="K240" i="1" a="1"/>
  <c r="I125" i="1" a="1"/>
  <c r="K114" i="1" a="1"/>
  <c r="K316" i="1" a="1"/>
  <c r="J218" i="1" a="1"/>
  <c r="G18" i="2" a="1"/>
  <c r="G356" i="2" a="1"/>
  <c r="G300" i="2" a="1"/>
  <c r="J12" i="2" a="1"/>
  <c r="J97" i="2" a="1"/>
  <c r="I31" i="2" a="1"/>
  <c r="I308" i="2" a="1"/>
  <c r="I200" i="2" a="1"/>
  <c r="H51" i="2" a="1"/>
  <c r="G242" i="2" a="1"/>
  <c r="G12" i="2" a="1"/>
  <c r="G230" i="2" a="1"/>
  <c r="G340" i="2" a="1"/>
  <c r="G99" i="2" a="1"/>
  <c r="J66" i="2" a="1"/>
  <c r="S285" i="1" a="1"/>
  <c r="R113" i="1" a="1"/>
  <c r="R222" i="1" a="1"/>
  <c r="R6" i="1" a="1"/>
  <c r="Q292" i="1" a="1"/>
  <c r="R42" i="1" a="1"/>
  <c r="Q103" i="1" a="1"/>
  <c r="R78" i="1" a="1"/>
  <c r="Q128" i="1" a="1"/>
  <c r="R198" i="1" a="1"/>
  <c r="P20" i="1" a="1"/>
  <c r="Q64" i="1" a="1"/>
  <c r="Q358" i="1" a="1"/>
  <c r="P84" i="1" a="1"/>
  <c r="R139" i="1" a="1"/>
  <c r="P186" i="1" a="1"/>
  <c r="Q278" i="1" a="1"/>
  <c r="R127" i="1" a="1"/>
  <c r="P296" i="1" a="1"/>
  <c r="S234" i="1" a="1"/>
  <c r="R120" i="1" a="1"/>
  <c r="Q51" i="1" a="1"/>
  <c r="P140" i="1" a="1"/>
  <c r="P299" i="1" a="1"/>
  <c r="P31" i="1" a="1"/>
  <c r="R26" i="1" a="1"/>
  <c r="Q38" i="1" a="1"/>
  <c r="Q153" i="1" a="1"/>
  <c r="P358" i="1" a="1"/>
  <c r="P198" i="1" a="1"/>
  <c r="P10" i="1" a="1"/>
  <c r="R124" i="1" a="1"/>
  <c r="Q197" i="1" a="1"/>
  <c r="Q297" i="1" a="1"/>
  <c r="P324" i="1" a="1"/>
  <c r="P152" i="1" a="1"/>
  <c r="P161" i="1" a="1"/>
  <c r="P322" i="1" a="1"/>
  <c r="G17" i="2" a="1"/>
  <c r="G133" i="2" a="1"/>
  <c r="G8" i="2" a="1"/>
  <c r="J124" i="2" a="1"/>
  <c r="J328" i="2" a="1"/>
  <c r="J198" i="2" a="1"/>
  <c r="I330" i="2" a="1"/>
  <c r="I318" i="2" a="1"/>
  <c r="I196" i="2" a="1"/>
  <c r="H242" i="2" a="1"/>
  <c r="H97" i="2" a="1"/>
  <c r="H58" i="2" a="1"/>
  <c r="K322" i="1" a="1"/>
  <c r="K142" i="1" a="1"/>
  <c r="I346" i="1" a="1"/>
  <c r="I352" i="1" a="1"/>
  <c r="J125" i="1" a="1"/>
  <c r="I77" i="1" a="1"/>
  <c r="J339" i="1" a="1"/>
  <c r="I116" i="1" a="1"/>
  <c r="G156" i="2" a="1"/>
  <c r="J270" i="2" a="1"/>
  <c r="I18" i="2" a="1"/>
  <c r="H192" i="2" a="1"/>
  <c r="G146" i="2" a="1"/>
  <c r="G134" i="2" a="1"/>
  <c r="G313" i="2" a="1"/>
  <c r="J87" i="2" a="1"/>
  <c r="J158" i="2" a="1"/>
  <c r="J37" i="2" a="1"/>
  <c r="J356" i="2" a="1"/>
  <c r="I271" i="2" a="1"/>
  <c r="I263" i="2" a="1"/>
  <c r="I362" i="2" a="1"/>
  <c r="H42" i="2" a="1"/>
  <c r="H174" i="2" a="1"/>
  <c r="H352" i="2" a="1"/>
  <c r="H353" i="2" a="1"/>
  <c r="J262" i="1" a="1"/>
  <c r="I56" i="1" a="1"/>
  <c r="K194" i="1" a="1"/>
  <c r="K31" i="1" a="1"/>
  <c r="J366" i="1" a="1"/>
  <c r="J138" i="1" a="1"/>
  <c r="J40" i="1" a="1"/>
  <c r="J279" i="1" a="1"/>
  <c r="J82" i="1" a="1"/>
  <c r="K283" i="1" a="1"/>
  <c r="G78" i="2" a="1"/>
  <c r="G277" i="2" a="1"/>
  <c r="J342" i="2" a="1"/>
  <c r="I91" i="2" a="1"/>
  <c r="H57" i="2" a="1"/>
  <c r="G265" i="2" a="1"/>
  <c r="G271" i="2" a="1"/>
  <c r="G200" i="2" a="1"/>
  <c r="J263" i="2" a="1"/>
  <c r="J206" i="2" a="1"/>
  <c r="J38" i="2" a="1"/>
  <c r="J360" i="2" a="1"/>
  <c r="I344" i="2" a="1"/>
  <c r="I85" i="2" a="1"/>
  <c r="I82" i="2" a="1"/>
  <c r="H118" i="2" a="1"/>
  <c r="H119" i="2" a="1"/>
  <c r="H44" i="2" a="1"/>
  <c r="H112" i="2" a="1"/>
  <c r="K176" i="1" a="1"/>
  <c r="K65" i="1" a="1"/>
  <c r="K318" i="1" a="1"/>
  <c r="I215" i="1" a="1"/>
  <c r="J264" i="1" a="1"/>
  <c r="I34" i="1" a="1"/>
  <c r="I356" i="1" a="1"/>
  <c r="K96" i="1" a="1"/>
  <c r="K35" i="1" a="1"/>
  <c r="K183" i="1" a="1"/>
  <c r="J287" i="1" a="1"/>
  <c r="I37" i="1" a="1"/>
  <c r="K149" i="1" a="1"/>
  <c r="G206" i="2" a="1"/>
  <c r="J140" i="2" a="1"/>
  <c r="J299" i="2" a="1"/>
  <c r="I345" i="2" a="1"/>
  <c r="H64" i="2" a="1"/>
  <c r="G33" i="2" a="1"/>
  <c r="G151" i="2" a="1"/>
  <c r="G225" i="2" a="1"/>
  <c r="G80" i="2" a="1"/>
  <c r="G10" i="2" a="1"/>
  <c r="J291" i="2" a="1"/>
  <c r="J73" i="2" a="1"/>
  <c r="J341" i="2" a="1"/>
  <c r="J357" i="2" a="1"/>
  <c r="I38" i="2" a="1"/>
  <c r="I290" i="2" a="1"/>
  <c r="I291" i="2" a="1"/>
  <c r="I228" i="2" a="1"/>
  <c r="H72" i="2" a="1"/>
  <c r="H201" i="2" a="1"/>
  <c r="H65" i="2" a="1"/>
  <c r="H203" i="2" a="1"/>
  <c r="H365" i="2" a="1"/>
  <c r="I281" i="1" a="1"/>
  <c r="J364" i="1" a="1"/>
  <c r="I169" i="1" a="1"/>
  <c r="I46" i="1" a="1"/>
  <c r="J101" i="1" a="1"/>
  <c r="J146" i="1" a="1"/>
  <c r="J64" i="1" a="1"/>
  <c r="J191" i="1" a="1"/>
  <c r="J223" i="1" a="1"/>
  <c r="K356" i="1" a="1"/>
  <c r="J80" i="1" a="1"/>
  <c r="K160" i="1" a="1"/>
  <c r="I167" i="1" a="1"/>
  <c r="I344" i="1" a="1"/>
  <c r="J291" i="1" a="1"/>
  <c r="K79" i="1" a="1"/>
  <c r="I57" i="1" a="1"/>
  <c r="G169" i="2" a="1"/>
  <c r="G93" i="2" a="1"/>
  <c r="G159" i="2" a="1"/>
  <c r="J99" i="2" a="1"/>
  <c r="J59" i="2" a="1"/>
  <c r="I124" i="2" a="1"/>
  <c r="I112" i="2" a="1"/>
  <c r="I337" i="2" a="1"/>
  <c r="H150" i="2" a="1"/>
  <c r="G306" i="2" a="1"/>
  <c r="G106" i="2" a="1"/>
  <c r="G294" i="2" a="1"/>
  <c r="G273" i="2" a="1"/>
  <c r="G163" i="2" a="1"/>
  <c r="J108" i="2" a="1"/>
  <c r="J93" i="2" a="1"/>
  <c r="J296" i="2" a="1"/>
  <c r="J186" i="2" a="1"/>
  <c r="J182" i="2" a="1"/>
  <c r="J339" i="2" a="1"/>
  <c r="I307" i="2" a="1"/>
  <c r="I107" i="2" a="1"/>
  <c r="I295" i="2" a="1"/>
  <c r="I160" i="2" a="1"/>
  <c r="I173" i="2" a="1"/>
  <c r="H26" i="2" a="1"/>
  <c r="H164" i="2" a="1"/>
  <c r="H270" i="2" a="1"/>
  <c r="H70" i="2" a="1"/>
  <c r="H212" i="2" a="1"/>
  <c r="H8" i="2" a="1"/>
  <c r="J153" i="1" a="1"/>
  <c r="K108" i="1" a="1"/>
  <c r="J288" i="1" a="1"/>
  <c r="S312" i="1" a="1"/>
  <c r="R177" i="1" a="1"/>
  <c r="R143" i="1" a="1"/>
  <c r="R38" i="1" a="1"/>
  <c r="Q98" i="1" a="1"/>
  <c r="R74" i="1" a="1"/>
  <c r="Q146" i="1" a="1"/>
  <c r="R96" i="1" a="1"/>
  <c r="Q171" i="1" a="1"/>
  <c r="R360" i="1" a="1"/>
  <c r="P108" i="1" a="1"/>
  <c r="P99" i="1" a="1"/>
  <c r="Q161" i="1" a="1"/>
  <c r="P148" i="1" a="1"/>
  <c r="R313" i="1" a="1"/>
  <c r="P250" i="1" a="1"/>
  <c r="Q305" i="1" a="1"/>
  <c r="Q33" i="1" a="1"/>
  <c r="P350" i="1" a="1"/>
  <c r="S322" i="1" a="1"/>
  <c r="R280" i="1" a="1"/>
  <c r="Q257" i="1" a="1"/>
  <c r="P53" i="1" a="1"/>
  <c r="P25" i="1" a="1"/>
  <c r="P72" i="1" a="1"/>
  <c r="R106" i="1" a="1"/>
  <c r="Q181" i="1" a="1"/>
  <c r="Q281" i="1" a="1"/>
  <c r="P315" i="1" a="1"/>
  <c r="P360" i="1" a="1"/>
  <c r="S52" i="1" a="1"/>
  <c r="R298" i="1" a="1"/>
  <c r="Q267" i="1" a="1"/>
  <c r="Q74" i="1" a="1"/>
  <c r="P16" i="1" a="1"/>
  <c r="P93" i="1" a="1"/>
  <c r="P156" i="1" a="1"/>
  <c r="P46" i="1" a="1"/>
  <c r="G49" i="2" a="1"/>
  <c r="G197" i="2" a="1"/>
  <c r="G112" i="2" a="1"/>
  <c r="J167" i="2" a="1"/>
  <c r="J137" i="2" a="1"/>
  <c r="J240" i="2" a="1"/>
  <c r="I70" i="2" a="1"/>
  <c r="I365" i="2" a="1"/>
  <c r="I260" i="2" a="1"/>
  <c r="H54" i="2" a="1"/>
  <c r="H161" i="2" a="1"/>
  <c r="H163" i="2" a="1"/>
  <c r="I232" i="1" a="1"/>
  <c r="K209" i="1" a="1"/>
  <c r="J26" i="1" a="1"/>
  <c r="K328" i="1" a="1"/>
  <c r="J236" i="1" a="1"/>
  <c r="I306" i="1" a="1"/>
  <c r="K132" i="1" a="1"/>
  <c r="K228" i="1" a="1"/>
  <c r="G241" i="2" a="1"/>
  <c r="J313" i="2" a="1"/>
  <c r="I217" i="2" a="1"/>
  <c r="H320" i="2" a="1"/>
  <c r="G210" i="2" a="1"/>
  <c r="G198" i="2" a="1"/>
  <c r="G365" i="2" a="1"/>
  <c r="J130" i="2" a="1"/>
  <c r="J200" i="2" a="1"/>
  <c r="J32" i="2" a="1"/>
  <c r="J349" i="2" a="1"/>
  <c r="I335" i="2" a="1"/>
  <c r="I327" i="2" a="1"/>
  <c r="I77" i="2" a="1"/>
  <c r="H177" i="2" a="1"/>
  <c r="H238" i="2" a="1"/>
  <c r="H32" i="2" a="1"/>
  <c r="H67" i="2" a="1"/>
  <c r="J220" i="1" a="1"/>
  <c r="I134" i="1" a="1"/>
  <c r="J114" i="1" a="1"/>
  <c r="J306" i="1" a="1"/>
  <c r="I17" i="1" a="1"/>
  <c r="K235" i="1" a="1"/>
  <c r="J141" i="1" a="1"/>
  <c r="J162" i="1" a="1"/>
  <c r="K289" i="1" a="1"/>
  <c r="K68" i="1" a="1"/>
  <c r="G270" i="2" a="1"/>
  <c r="J268" i="2" a="1"/>
  <c r="J282" i="2" a="1"/>
  <c r="I283" i="2" a="1"/>
  <c r="H249" i="2" a="1"/>
  <c r="G329" i="2" a="1"/>
  <c r="G125" i="2" a="1"/>
  <c r="G76" i="2" a="1"/>
  <c r="J306" i="2" a="1"/>
  <c r="J259" i="2" a="1"/>
  <c r="J80" i="2" a="1"/>
  <c r="I32" i="2" a="1"/>
  <c r="I17" i="2" a="1"/>
  <c r="I149" i="2" a="1"/>
  <c r="I146" i="2" a="1"/>
  <c r="H182" i="2" a="1"/>
  <c r="H183" i="2" a="1"/>
  <c r="H111" i="2" a="1"/>
  <c r="H176" i="2" a="1"/>
  <c r="J224" i="1" a="1"/>
  <c r="K152" i="1" a="1"/>
  <c r="J86" i="1" a="1"/>
  <c r="I198" i="1" a="1"/>
  <c r="K265" i="1" a="1"/>
  <c r="I177" i="1" a="1"/>
  <c r="I65" i="1" a="1"/>
  <c r="J249" i="1" a="1"/>
  <c r="K81" i="1" a="1"/>
  <c r="J31" i="1" a="1"/>
  <c r="J240" i="1" a="1"/>
  <c r="K330" i="1" a="1"/>
  <c r="I348" i="1" a="1"/>
  <c r="G264" i="2" a="1"/>
  <c r="J311" i="2" a="1"/>
  <c r="J273" i="2" a="1"/>
  <c r="I90" i="2" a="1"/>
  <c r="H256" i="2" a="1"/>
  <c r="G15" i="2" a="1"/>
  <c r="G215" i="2" a="1"/>
  <c r="G289" i="2" a="1"/>
  <c r="G144" i="2" a="1"/>
  <c r="G127" i="2" a="1"/>
  <c r="J77" i="2" a="1"/>
  <c r="J201" i="2" a="1"/>
  <c r="J289" i="2" a="1"/>
  <c r="J319" i="2" a="1"/>
  <c r="I102" i="2" a="1"/>
  <c r="I34" i="2" a="1"/>
  <c r="I358" i="2" a="1"/>
  <c r="I292" i="2" a="1"/>
  <c r="H136" i="2" a="1"/>
  <c r="H265" i="2" a="1"/>
  <c r="H129" i="2" a="1"/>
  <c r="H267" i="2" a="1"/>
  <c r="H99" i="2" a="1"/>
  <c r="I120" i="1" a="1"/>
  <c r="I38" i="1" a="1"/>
  <c r="I45" i="1" a="1"/>
  <c r="I66" i="1" a="1"/>
  <c r="K139" i="1" a="1"/>
  <c r="J115" i="1" a="1"/>
  <c r="K177" i="1" a="1"/>
  <c r="K74" i="1" a="1"/>
  <c r="I196" i="1" a="1"/>
  <c r="J309" i="1" a="1"/>
  <c r="J243" i="1" a="1"/>
  <c r="I242" i="1" a="1"/>
  <c r="K327" i="1" a="1"/>
  <c r="J340" i="1" a="1"/>
  <c r="J44" i="1" a="1"/>
  <c r="K129" i="1" a="1"/>
  <c r="K170" i="1" a="1"/>
  <c r="G297" i="2" a="1"/>
  <c r="G221" i="2" a="1"/>
  <c r="J28" i="2" a="1"/>
  <c r="J184" i="2" a="1"/>
  <c r="J144" i="2" a="1"/>
  <c r="I252" i="2" a="1"/>
  <c r="I240" i="2" a="1"/>
  <c r="I114" i="2" a="1"/>
  <c r="G37" i="2" a="1"/>
  <c r="G337" i="2" a="1"/>
  <c r="G170" i="2" a="1"/>
  <c r="G352" i="2" a="1"/>
  <c r="G89" i="2" a="1"/>
  <c r="G227" i="2" a="1"/>
  <c r="J151" i="2" a="1"/>
  <c r="J221" i="2" a="1"/>
  <c r="J89" i="2" a="1"/>
  <c r="J101" i="2" a="1"/>
  <c r="J224" i="2" a="1"/>
  <c r="J298" i="2" a="1"/>
  <c r="I47" i="2" a="1"/>
  <c r="I171" i="2" a="1"/>
  <c r="I353" i="2" a="1"/>
  <c r="I63" i="2" a="1"/>
  <c r="I237" i="2" a="1"/>
  <c r="H15" i="2" a="1"/>
  <c r="H16" i="2" a="1"/>
  <c r="H334" i="2" a="1"/>
  <c r="H134" i="2" a="1"/>
  <c r="H276" i="2" a="1"/>
  <c r="H122" i="2" a="1"/>
  <c r="I367" i="1" a="1"/>
  <c r="I223" i="1" a="1"/>
  <c r="J286" i="1" a="1"/>
  <c r="J227" i="1" a="1"/>
  <c r="J237" i="1" a="1"/>
  <c r="K295" i="1" a="1"/>
  <c r="I293" i="1" a="1"/>
  <c r="J270" i="1" a="1"/>
  <c r="K106" i="1" a="1"/>
  <c r="I21" i="1" a="1"/>
  <c r="J353" i="1" a="1"/>
  <c r="J174" i="1" a="1"/>
  <c r="K23" i="1" a="1"/>
  <c r="K234" i="1" a="1"/>
  <c r="K127" i="1" a="1"/>
  <c r="K246" i="1" a="1"/>
  <c r="I90" i="1" a="1"/>
  <c r="G315" i="2" a="1"/>
  <c r="G303" i="2" a="1"/>
  <c r="G108" i="2" a="1"/>
  <c r="J312" i="2" a="1"/>
  <c r="J63" i="2" a="1"/>
  <c r="J303" i="2" a="1"/>
  <c r="I360" i="2" a="1"/>
  <c r="I245" i="2" a="1"/>
  <c r="I224" i="2" a="1"/>
  <c r="G177" i="2" a="1"/>
  <c r="I57" i="2" a="1"/>
  <c r="H229" i="2" a="1"/>
  <c r="J204" i="1" a="1"/>
  <c r="J100" i="1" a="1"/>
  <c r="J268" i="1" a="1"/>
  <c r="K329" i="1" a="1"/>
  <c r="J312" i="1" a="1"/>
  <c r="K205" i="1" a="1"/>
  <c r="I214" i="1" a="1"/>
  <c r="I219" i="1" a="1"/>
  <c r="K293" i="1" a="1"/>
  <c r="G132" i="2" a="1"/>
  <c r="J26" i="2" a="1"/>
  <c r="I343" i="2" a="1"/>
  <c r="H285" i="2" a="1"/>
  <c r="I59" i="1" a="1"/>
  <c r="I216" i="1" a="1"/>
  <c r="I278" i="1" a="1"/>
  <c r="K115" i="1" a="1"/>
  <c r="J96" i="1" a="1"/>
  <c r="I314" i="1" a="1"/>
  <c r="J278" i="2" a="1"/>
  <c r="I71" i="1" a="1"/>
  <c r="H205" i="2" a="1"/>
  <c r="K71" i="1" a="1"/>
  <c r="J34" i="2" a="1"/>
  <c r="I185" i="2" a="1"/>
  <c r="H293" i="2" a="1"/>
  <c r="I324" i="1" a="1"/>
  <c r="J221" i="1" a="1"/>
  <c r="I183" i="1" a="1"/>
  <c r="K179" i="1" a="1"/>
  <c r="J354" i="1" a="1"/>
  <c r="I26" i="1" a="1"/>
  <c r="G110" i="2" a="1"/>
  <c r="I78" i="1" a="1"/>
  <c r="H33" i="2" a="1"/>
  <c r="J298" i="1" a="1"/>
  <c r="J238" i="2" a="1"/>
  <c r="S360" i="1" a="1"/>
  <c r="R241" i="1" a="1"/>
  <c r="R207" i="1" a="1"/>
  <c r="R70" i="1" a="1"/>
  <c r="Q140" i="1" a="1"/>
  <c r="R91" i="1" a="1"/>
  <c r="Q199" i="1" a="1"/>
  <c r="R161" i="1" a="1"/>
  <c r="Q113" i="1" a="1"/>
  <c r="R79" i="1" a="1"/>
  <c r="P172" i="1" a="1"/>
  <c r="P136" i="1" a="1"/>
  <c r="Q204" i="1" a="1"/>
  <c r="P62" i="1" a="1"/>
  <c r="R140" i="1" a="1"/>
  <c r="P314" i="1" a="1"/>
  <c r="Q11" i="1" a="1"/>
  <c r="Q149" i="1" a="1"/>
  <c r="P283" i="1" a="1"/>
  <c r="R316" i="1" a="1"/>
  <c r="R295" i="1" a="1"/>
  <c r="Q124" i="1" a="1"/>
  <c r="P109" i="1" a="1"/>
  <c r="P85" i="1" a="1"/>
  <c r="S28" i="1" a="1"/>
  <c r="R312" i="1" a="1"/>
  <c r="Q262" i="1" a="1"/>
  <c r="Q68" i="1" a="1"/>
  <c r="P164" i="1" a="1"/>
  <c r="P13" i="1" a="1"/>
  <c r="S62" i="1" a="1"/>
  <c r="R47" i="1" a="1"/>
  <c r="Q362" i="1" a="1"/>
  <c r="Q116" i="1" a="1"/>
  <c r="P242" i="1" a="1"/>
  <c r="P327" i="1" a="1"/>
  <c r="P253" i="1" a="1"/>
  <c r="P222" i="1" a="1"/>
  <c r="G31" i="2" a="1"/>
  <c r="G261" i="2" a="1"/>
  <c r="G176" i="2" a="1"/>
  <c r="J210" i="2" a="1"/>
  <c r="J265" i="2" a="1"/>
  <c r="J283" i="2" a="1"/>
  <c r="I134" i="2" a="1"/>
  <c r="I169" i="2" a="1"/>
  <c r="I324" i="2" a="1"/>
  <c r="H114" i="2" a="1"/>
  <c r="H225" i="2" a="1"/>
  <c r="H363" i="2" a="1"/>
  <c r="K212" i="1" a="1"/>
  <c r="J57" i="1" a="1"/>
  <c r="I195" i="1" a="1"/>
  <c r="K214" i="1" a="1"/>
  <c r="I337" i="1" a="1"/>
  <c r="K103" i="1" a="1"/>
  <c r="K174" i="1" a="1"/>
  <c r="J79" i="1" a="1"/>
  <c r="G216" i="2" a="1"/>
  <c r="J234" i="2" a="1"/>
  <c r="I24" i="2" a="1"/>
  <c r="H133" i="2" a="1"/>
  <c r="G274" i="2" a="1"/>
  <c r="G262" i="2" a="1"/>
  <c r="G65" i="2" a="1"/>
  <c r="J300" i="2" a="1"/>
  <c r="J248" i="2" a="1"/>
  <c r="J75" i="2" a="1"/>
  <c r="J287" i="2" a="1"/>
  <c r="I12" i="2" a="1"/>
  <c r="I140" i="2" a="1"/>
  <c r="I141" i="2" a="1"/>
  <c r="H241" i="2" a="1"/>
  <c r="H302" i="2" a="1"/>
  <c r="H116" i="2" a="1"/>
  <c r="H359" i="2" a="1"/>
  <c r="I73" i="1" a="1"/>
  <c r="I128" i="1" a="1"/>
  <c r="K341" i="1" a="1"/>
  <c r="I31" i="1" a="1"/>
  <c r="K136" i="1" a="1"/>
  <c r="J248" i="1" a="1"/>
  <c r="I298" i="1" a="1"/>
  <c r="J180" i="1" a="1"/>
  <c r="I76" i="1" a="1"/>
  <c r="K355" i="1" a="1"/>
  <c r="G92" i="2" a="1"/>
  <c r="J275" i="2" a="1"/>
  <c r="I19" i="2" a="1"/>
  <c r="I247" i="2" a="1"/>
  <c r="G71" i="2" a="1"/>
  <c r="G367" i="2" a="1"/>
  <c r="G189" i="2" a="1"/>
  <c r="G140" i="2" a="1"/>
  <c r="J347" i="2" a="1"/>
  <c r="J170" i="2" a="1"/>
  <c r="J123" i="2" a="1"/>
  <c r="I92" i="2" a="1"/>
  <c r="I84" i="2" a="1"/>
  <c r="I213" i="2" a="1"/>
  <c r="I87" i="2" a="1"/>
  <c r="H246" i="2" a="1"/>
  <c r="H247" i="2" a="1"/>
  <c r="H303" i="2" a="1"/>
  <c r="H240" i="2" a="1"/>
  <c r="I93" i="1" a="1"/>
  <c r="I361" i="1" a="1"/>
  <c r="I266" i="1" a="1"/>
  <c r="K55" i="1" a="1"/>
  <c r="K85" i="1" a="1"/>
  <c r="I310" i="1" a="1"/>
  <c r="J219" i="1" a="1"/>
  <c r="J225" i="1" a="1"/>
  <c r="I133" i="1" a="1"/>
  <c r="J76" i="1" a="1"/>
  <c r="I220" i="1" a="1"/>
  <c r="K303" i="1" a="1"/>
  <c r="J293" i="1" a="1"/>
  <c r="G344" i="2" a="1"/>
  <c r="J61" i="2" a="1"/>
  <c r="J340" i="2" a="1"/>
  <c r="I305" i="2" a="1"/>
  <c r="H197" i="2" a="1"/>
  <c r="G47" i="2" a="1"/>
  <c r="G319" i="2" a="1"/>
  <c r="G348" i="2" a="1"/>
  <c r="G208" i="2" a="1"/>
  <c r="J60" i="2" a="1"/>
  <c r="J205" i="2" a="1"/>
  <c r="J329" i="2" a="1"/>
  <c r="J134" i="2" a="1"/>
  <c r="J352" i="2" a="1"/>
  <c r="I166" i="2" a="1"/>
  <c r="I222" i="2" a="1"/>
  <c r="I54" i="2" a="1"/>
  <c r="I26" i="2" a="1"/>
  <c r="H328" i="2" a="1"/>
  <c r="H329" i="2" a="1"/>
  <c r="H193" i="2" a="1"/>
  <c r="H331" i="2" a="1"/>
  <c r="H250" i="2" a="1"/>
  <c r="I49" i="1" a="1"/>
  <c r="K116" i="1" a="1"/>
  <c r="K94" i="1" a="1"/>
  <c r="I97" i="1" a="1"/>
  <c r="J251" i="1" a="1"/>
  <c r="I193" i="1" a="1"/>
  <c r="J18" i="1" a="1"/>
  <c r="J328" i="1" a="1"/>
  <c r="J292" i="1" a="1"/>
  <c r="J168" i="1" a="1"/>
  <c r="J142" i="1" a="1"/>
  <c r="K307" i="1" a="1"/>
  <c r="J344" i="1" a="1"/>
  <c r="I132" i="1" a="1"/>
  <c r="K350" i="1" a="1"/>
  <c r="I301" i="1" a="1"/>
  <c r="I303" i="1" a="1"/>
  <c r="G38" i="2" a="1"/>
  <c r="G361" i="2" a="1"/>
  <c r="J114" i="2" a="1"/>
  <c r="J307" i="2" a="1"/>
  <c r="J230" i="2" a="1"/>
  <c r="I56" i="2" a="1"/>
  <c r="I357" i="2" a="1"/>
  <c r="I242" i="2" a="1"/>
  <c r="G19" i="2" a="1"/>
  <c r="G96" i="2" a="1"/>
  <c r="G234" i="2" a="1"/>
  <c r="G287" i="2" a="1"/>
  <c r="G153" i="2" a="1"/>
  <c r="G291" i="2" a="1"/>
  <c r="J194" i="2" a="1"/>
  <c r="J286" i="2" a="1"/>
  <c r="J217" i="2" a="1"/>
  <c r="J229" i="2" a="1"/>
  <c r="J267" i="2" a="1"/>
  <c r="J344" i="2" a="1"/>
  <c r="I111" i="2" a="1"/>
  <c r="I235" i="2" a="1"/>
  <c r="I105" i="2" a="1"/>
  <c r="I127" i="2" a="1"/>
  <c r="I301" i="2" a="1"/>
  <c r="H47" i="2" a="1"/>
  <c r="H91" i="2" a="1"/>
  <c r="H83" i="2" a="1"/>
  <c r="H198" i="2" a="1"/>
  <c r="H340" i="2" a="1"/>
  <c r="H268" i="2" a="1"/>
  <c r="J241" i="1" a="1"/>
  <c r="K37" i="1" a="1"/>
  <c r="J192" i="1" a="1"/>
  <c r="K264" i="1" a="1"/>
  <c r="I164" i="1" a="1"/>
  <c r="J343" i="1" a="1"/>
  <c r="J78" i="1" a="1"/>
  <c r="K29" i="1" a="1"/>
  <c r="J280" i="1" a="1"/>
  <c r="K333" i="1" a="1"/>
  <c r="I35" i="1" a="1"/>
  <c r="K109" i="1" a="1"/>
  <c r="K191" i="1" a="1"/>
  <c r="J61" i="1" a="1"/>
  <c r="J359" i="1" a="1"/>
  <c r="J352" i="1" a="1"/>
  <c r="K347" i="1" a="1"/>
  <c r="G105" i="2" a="1"/>
  <c r="G328" i="2" a="1"/>
  <c r="G236" i="2" a="1"/>
  <c r="J237" i="2" a="1"/>
  <c r="J207" i="2" a="1"/>
  <c r="J361" i="2" a="1"/>
  <c r="I116" i="2" a="1"/>
  <c r="I192" i="2" a="1"/>
  <c r="H30" i="2" a="1"/>
  <c r="J290" i="2" a="1"/>
  <c r="I122" i="2" a="1"/>
  <c r="H88" i="2" a="1"/>
  <c r="K284" i="1" a="1"/>
  <c r="K59" i="1" a="1"/>
  <c r="J149" i="1" a="1"/>
  <c r="I362" i="1" a="1"/>
  <c r="I244" i="1" a="1"/>
  <c r="I312" i="1" a="1"/>
  <c r="I166" i="1" a="1"/>
  <c r="J58" i="1" a="1"/>
  <c r="I334" i="1" a="1"/>
  <c r="G302" i="2" a="1"/>
  <c r="J64" i="2" a="1"/>
  <c r="H214" i="2" a="1"/>
  <c r="H208" i="2" a="1"/>
  <c r="J50" i="1" a="1"/>
  <c r="J54" i="1" a="1"/>
  <c r="I70" i="1" a="1"/>
  <c r="K196" i="1" a="1"/>
  <c r="I203" i="1" a="1"/>
  <c r="I89" i="1" a="1"/>
  <c r="I142" i="2" a="1"/>
  <c r="J12" i="1" a="1"/>
  <c r="H144" i="2" a="1"/>
  <c r="K147" i="1" a="1"/>
  <c r="J367" i="2" a="1"/>
  <c r="I250" i="2" a="1"/>
  <c r="H152" i="2" a="1"/>
  <c r="K236" i="1" a="1"/>
  <c r="I163" i="1" a="1"/>
  <c r="J324" i="1" a="1"/>
  <c r="J70" i="1" a="1"/>
  <c r="I311" i="1" a="1"/>
  <c r="J254" i="1" a="1"/>
  <c r="J249" i="2" a="1"/>
  <c r="I305" i="1" a="1"/>
  <c r="K50" i="1" a="1"/>
  <c r="G260" i="2" a="1"/>
  <c r="J111" i="2" a="1"/>
  <c r="S135" i="1" a="1"/>
  <c r="S50" i="1" a="1"/>
  <c r="S84" i="1" a="1"/>
  <c r="S132" i="1" a="1"/>
  <c r="S269" i="1" a="1"/>
  <c r="P331" i="1" a="1"/>
  <c r="P241" i="1" a="1"/>
  <c r="Q343" i="1" a="1"/>
  <c r="R90" i="1" a="1"/>
  <c r="P80" i="1" a="1"/>
  <c r="Q49" i="1" a="1"/>
  <c r="P6" i="1" a="1"/>
  <c r="S355" i="1" a="1"/>
  <c r="Q231" i="1" a="1"/>
  <c r="P106" i="1" a="1"/>
  <c r="S231" i="1" a="1"/>
  <c r="Q174" i="1" a="1"/>
  <c r="P56" i="1" a="1"/>
  <c r="P66" i="1" a="1"/>
  <c r="G119" i="2" a="1"/>
  <c r="G314" i="2" a="1"/>
  <c r="J277" i="2" a="1"/>
  <c r="I258" i="2" a="1"/>
  <c r="H21" i="2" a="1"/>
  <c r="H20" i="2" a="1"/>
  <c r="J33" i="1" a="1"/>
  <c r="J274" i="1" a="1"/>
  <c r="I48" i="1" a="1"/>
  <c r="I188" i="1" a="1"/>
  <c r="J55" i="2" a="1"/>
  <c r="H18" i="2" a="1"/>
  <c r="G73" i="2" a="1"/>
  <c r="J10" i="2" a="1"/>
  <c r="J79" i="2" a="1"/>
  <c r="I275" i="2" a="1"/>
  <c r="I30" i="2" a="1"/>
  <c r="H29" i="2" a="1"/>
  <c r="H231" i="2" a="1"/>
  <c r="K165" i="1" a="1"/>
  <c r="K69" i="1" a="1"/>
  <c r="K332" i="1" a="1"/>
  <c r="K145" i="1" a="1"/>
  <c r="J263" i="1" a="1"/>
  <c r="G263" i="2" a="1"/>
  <c r="I281" i="2" a="1"/>
  <c r="G283" i="2" a="1"/>
  <c r="G254" i="2" a="1"/>
  <c r="J120" i="2" a="1"/>
  <c r="J241" i="2" a="1"/>
  <c r="I208" i="2" a="1"/>
  <c r="H14" i="2" a="1"/>
  <c r="H316" i="2" a="1"/>
  <c r="H347" i="2" a="1"/>
  <c r="I94" i="1" a="1"/>
  <c r="I339" i="1" a="1"/>
  <c r="J226" i="1" a="1"/>
  <c r="K48" i="1" a="1"/>
  <c r="I262" i="1" a="1"/>
  <c r="K207" i="1" a="1"/>
  <c r="G327" i="2" a="1"/>
  <c r="I285" i="2" a="1"/>
  <c r="H121" i="2" a="1"/>
  <c r="G293" i="2" a="1"/>
  <c r="G218" i="2" a="1"/>
  <c r="J216" i="2" a="1"/>
  <c r="J304" i="2" a="1"/>
  <c r="I162" i="2" a="1"/>
  <c r="I100" i="2" a="1"/>
  <c r="H146" i="2" a="1"/>
  <c r="H75" i="2" a="1"/>
  <c r="K159" i="1" a="1"/>
  <c r="K242" i="1" a="1"/>
  <c r="J112" i="1" a="1"/>
  <c r="J349" i="1" a="1"/>
  <c r="K282" i="1" a="1"/>
  <c r="J200" i="1" a="1"/>
  <c r="I264" i="1" a="1"/>
  <c r="I139" i="1" a="1"/>
  <c r="K66" i="1" a="1"/>
  <c r="G239" i="2" a="1"/>
  <c r="J109" i="2" a="1"/>
  <c r="J348" i="2" a="1"/>
  <c r="I72" i="2" a="1"/>
  <c r="G178" i="2" a="1"/>
  <c r="G166" i="2" a="1"/>
  <c r="G22" i="2" a="1"/>
  <c r="J359" i="2" a="1"/>
  <c r="J191" i="2" a="1"/>
  <c r="J139" i="2" a="1"/>
  <c r="I115" i="2" a="1"/>
  <c r="I299" i="2" a="1"/>
  <c r="I236" i="2" a="1"/>
  <c r="I137" i="2" a="1"/>
  <c r="H337" i="2" a="1"/>
  <c r="H275" i="2" a="1"/>
  <c r="H71" i="2" a="1"/>
  <c r="J284" i="1" a="1"/>
  <c r="K243" i="1" a="1"/>
  <c r="J307" i="1" a="1"/>
  <c r="K169" i="1" a="1"/>
  <c r="K166" i="1" a="1"/>
  <c r="J259" i="1" a="1"/>
  <c r="J203" i="1" a="1"/>
  <c r="J181" i="1" a="1"/>
  <c r="I136" i="1" a="1"/>
  <c r="I275" i="1" a="1"/>
  <c r="I185" i="1" a="1"/>
  <c r="K54" i="1" a="1"/>
  <c r="J195" i="1" a="1"/>
  <c r="G115" i="2" a="1"/>
  <c r="G222" i="2" a="1"/>
  <c r="J56" i="2" a="1"/>
  <c r="J102" i="2" a="1"/>
  <c r="I120" i="2" a="1"/>
  <c r="I136" i="2" a="1"/>
  <c r="G238" i="2" a="1"/>
  <c r="I69" i="2" a="1"/>
  <c r="H344" i="2" a="1"/>
  <c r="J130" i="1" a="1"/>
  <c r="I240" i="1" a="1"/>
  <c r="J207" i="1" a="1"/>
  <c r="I229" i="1" a="1"/>
  <c r="I154" i="1" a="1"/>
  <c r="G174" i="2" a="1"/>
  <c r="J113" i="1" a="1"/>
  <c r="J332" i="2" a="1"/>
  <c r="H41" i="2" a="1"/>
  <c r="K86" i="1" a="1"/>
  <c r="K49" i="1" a="1"/>
  <c r="J210" i="1" a="1"/>
  <c r="I218" i="1" a="1"/>
  <c r="I257" i="1" a="1"/>
  <c r="H55" i="2" a="1"/>
  <c r="I332" i="1" a="1"/>
  <c r="I91" i="1" a="1"/>
  <c r="J190" i="2" a="1"/>
  <c r="H223" i="2" a="1"/>
  <c r="H315" i="2" a="1"/>
  <c r="K315" i="1" a="1"/>
  <c r="J87" i="1" a="1"/>
  <c r="J72" i="1" a="1"/>
  <c r="K83" i="1" a="1"/>
  <c r="H162" i="2" a="1"/>
  <c r="I193" i="2" a="1"/>
  <c r="G44" i="2" a="1"/>
  <c r="I261" i="2" a="1"/>
  <c r="H151" i="2" a="1"/>
  <c r="H332" i="2" a="1"/>
  <c r="K249" i="1" a="1"/>
  <c r="I349" i="1" a="1"/>
  <c r="I204" i="1" a="1"/>
  <c r="K247" i="1" a="1"/>
  <c r="I249" i="1" a="1"/>
  <c r="J56" i="1" a="1"/>
  <c r="I355" i="1" a="1"/>
  <c r="J314" i="2" a="1"/>
  <c r="K223" i="1" a="1"/>
  <c r="I64" i="2" a="1"/>
  <c r="K335" i="1" a="1"/>
  <c r="G350" i="2" a="1"/>
  <c r="I325" i="2" a="1"/>
  <c r="H160" i="2" a="1"/>
  <c r="H291" i="2" a="1"/>
  <c r="J42" i="1" a="1"/>
  <c r="J216" i="1" a="1"/>
  <c r="J91" i="1" a="1"/>
  <c r="I360" i="1" a="1"/>
  <c r="K216" i="1" a="1"/>
  <c r="J261" i="2" a="1"/>
  <c r="K344" i="1" a="1"/>
  <c r="I317" i="2" a="1"/>
  <c r="K91" i="1" a="1"/>
  <c r="J253" i="2" a="1"/>
  <c r="I81" i="2" a="1"/>
  <c r="H271" i="2" a="1"/>
  <c r="J32" i="1" a="1"/>
  <c r="K67" i="1" a="1"/>
  <c r="I271" i="1" a="1"/>
  <c r="K124" i="1" a="1"/>
  <c r="K82" i="1" a="1"/>
  <c r="J62" i="1" a="1"/>
  <c r="I11" i="1" a="1"/>
  <c r="H335" i="2" a="1"/>
  <c r="I205" i="1" a="1"/>
  <c r="P363" i="1" a="1"/>
  <c r="J166" i="2" a="1"/>
  <c r="H186" i="2" a="1"/>
  <c r="I118" i="2" a="1"/>
  <c r="J167" i="1" a="1"/>
  <c r="J25" i="1" a="1"/>
  <c r="G51" i="2" a="1"/>
  <c r="J368" i="2" a="1"/>
  <c r="H206" i="2" a="1"/>
  <c r="J107" i="1" a="1"/>
  <c r="J175" i="1" a="1"/>
  <c r="K60" i="1" a="1"/>
  <c r="J156" i="2" a="1"/>
  <c r="J202" i="2" a="1"/>
  <c r="J350" i="1" a="1"/>
  <c r="I121" i="2" a="1"/>
  <c r="K285" i="1" a="1"/>
  <c r="H290" i="2" a="1"/>
  <c r="K90" i="1" a="1"/>
  <c r="I92" i="1" a="1"/>
  <c r="I41" i="1" a="1"/>
  <c r="J228" i="2" a="1"/>
  <c r="I88" i="1" a="1"/>
  <c r="K102" i="1" a="1"/>
  <c r="K192" i="1" a="1"/>
  <c r="J302" i="1" a="1"/>
  <c r="G165" i="2" a="1"/>
  <c r="H321" i="2" a="1"/>
  <c r="J329" i="1" a="1"/>
  <c r="J74" i="1" a="1"/>
  <c r="G36" i="2" a="1"/>
  <c r="I108" i="2" a="1"/>
  <c r="J164" i="1" a="1"/>
  <c r="K156" i="1" a="1"/>
  <c r="I188" i="2" a="1"/>
  <c r="I174" i="1" a="1"/>
  <c r="J29" i="1" a="1"/>
  <c r="K72" i="1" a="1"/>
  <c r="K97" i="1" a="1"/>
  <c r="K155" i="1" a="1"/>
  <c r="J185" i="1" a="1"/>
  <c r="I253" i="2" a="1"/>
  <c r="I186" i="1" a="1"/>
  <c r="K232" i="1" a="1"/>
  <c r="J199" i="1" a="1"/>
  <c r="J192" i="2" a="1"/>
  <c r="I209" i="1" a="1"/>
  <c r="J27" i="1" a="1"/>
  <c r="I189" i="2" a="1"/>
  <c r="I109" i="1" a="1"/>
  <c r="P177" i="1" a="1"/>
  <c r="S351" i="1" a="1"/>
  <c r="J149" i="2" a="1"/>
  <c r="K342" i="1" a="1"/>
  <c r="S222" i="1" a="1"/>
  <c r="R93" i="1" a="1"/>
  <c r="R272" i="1" a="1"/>
  <c r="R99" i="1" a="1"/>
  <c r="Q21" i="1" a="1"/>
  <c r="S263" i="1" a="1"/>
  <c r="P176" i="1" a="1"/>
  <c r="P119" i="1" a="1"/>
  <c r="Q234" i="1" a="1"/>
  <c r="S20" i="1" a="1"/>
  <c r="Q207" i="1" a="1"/>
  <c r="P102" i="1" a="1"/>
  <c r="R323" i="1" a="1"/>
  <c r="P55" i="1" a="1"/>
  <c r="P175" i="1" a="1"/>
  <c r="R274" i="1" a="1"/>
  <c r="P90" i="1" a="1"/>
  <c r="P45" i="1" a="1"/>
  <c r="P224" i="1" a="1"/>
  <c r="G257" i="2" a="1"/>
  <c r="J334" i="2" a="1"/>
  <c r="J337" i="2" a="1"/>
  <c r="I323" i="2" a="1"/>
  <c r="H233" i="2" a="1"/>
  <c r="J201" i="1" a="1"/>
  <c r="K38" i="1" a="1"/>
  <c r="I261" i="1" a="1"/>
  <c r="I182" i="1" a="1"/>
  <c r="J334" i="1" a="1"/>
  <c r="J256" i="2" a="1"/>
  <c r="H194" i="2" a="1"/>
  <c r="G180" i="2" a="1"/>
  <c r="J343" i="2" a="1"/>
  <c r="J118" i="2" a="1"/>
  <c r="I75" i="2" a="1"/>
  <c r="I205" i="2" a="1"/>
  <c r="H243" i="2" a="1"/>
  <c r="K99" i="1" a="1"/>
  <c r="K186" i="1" a="1"/>
  <c r="I24" i="1" a="1"/>
  <c r="K359" i="1" a="1"/>
  <c r="I309" i="1" a="1"/>
  <c r="K113" i="1" a="1"/>
  <c r="J317" i="2" a="1"/>
  <c r="H63" i="2" a="1"/>
  <c r="G83" i="2" a="1"/>
  <c r="G86" i="2" a="1"/>
  <c r="J223" i="2" a="1"/>
  <c r="I156" i="2" a="1"/>
  <c r="I277" i="2" a="1"/>
  <c r="H310" i="2" a="1"/>
  <c r="H356" i="2" a="1"/>
  <c r="K161" i="1" a="1"/>
  <c r="J147" i="1" a="1"/>
  <c r="K274" i="1" a="1"/>
  <c r="I39" i="1" a="1"/>
  <c r="J316" i="1" a="1"/>
  <c r="J193" i="1" a="1"/>
  <c r="I114" i="1" a="1"/>
  <c r="J40" i="2" a="1"/>
  <c r="I155" i="2" a="1"/>
  <c r="G30" i="2" a="1"/>
  <c r="G232" i="2" a="1"/>
  <c r="J103" i="2" a="1"/>
  <c r="J180" i="2" a="1"/>
  <c r="J255" i="2" a="1"/>
  <c r="I286" i="2" a="1"/>
  <c r="I119" i="2" a="1"/>
  <c r="H74" i="2" a="1"/>
  <c r="H62" i="2" a="1"/>
  <c r="I150" i="1" a="1"/>
  <c r="I351" i="1" a="1"/>
  <c r="K34" i="1" a="1"/>
  <c r="I206" i="1" a="1"/>
  <c r="I75" i="1" a="1"/>
  <c r="J330" i="1" a="1"/>
  <c r="J255" i="1" a="1"/>
  <c r="I320" i="1" a="1"/>
  <c r="K63" i="1" a="1"/>
  <c r="G158" i="2" a="1"/>
  <c r="J233" i="2" a="1"/>
  <c r="I184" i="2" a="1"/>
  <c r="I55" i="2" a="1"/>
  <c r="G160" i="2" a="1"/>
  <c r="G84" i="2" a="1"/>
  <c r="G16" i="2" a="1"/>
  <c r="J302" i="2" a="1"/>
  <c r="J15" i="2" a="1"/>
  <c r="J310" i="2" a="1"/>
  <c r="I179" i="2" a="1"/>
  <c r="I39" i="2" a="1"/>
  <c r="I300" i="2" a="1"/>
  <c r="I363" i="2" a="1"/>
  <c r="H155" i="2" a="1"/>
  <c r="H339" i="2" a="1"/>
  <c r="H135" i="2" a="1"/>
  <c r="K275" i="1" a="1"/>
  <c r="K251" i="1" a="1"/>
  <c r="K245" i="1" a="1"/>
  <c r="J77" i="1" a="1"/>
  <c r="K11" i="1" a="1"/>
  <c r="I246" i="1" a="1"/>
  <c r="I263" i="1" a="1"/>
  <c r="K52" i="1" a="1"/>
  <c r="I19" i="1" a="1"/>
  <c r="K119" i="1" a="1"/>
  <c r="K326" i="1" a="1"/>
  <c r="J189" i="1" a="1"/>
  <c r="G9" i="2" a="1"/>
  <c r="G243" i="2" a="1"/>
  <c r="G349" i="2" a="1"/>
  <c r="J142" i="2" a="1"/>
  <c r="J187" i="2" a="1"/>
  <c r="I248" i="2" a="1"/>
  <c r="I264" i="2" a="1"/>
  <c r="G32" i="2" a="1"/>
  <c r="I257" i="2" a="1"/>
  <c r="H226" i="2" a="1"/>
  <c r="J156" i="1" a="1"/>
  <c r="J190" i="1" a="1"/>
  <c r="I316" i="1" a="1"/>
  <c r="I50" i="1" a="1"/>
  <c r="I289" i="1" a="1"/>
  <c r="J247" i="2" a="1"/>
  <c r="J140" i="1" a="1"/>
  <c r="J147" i="2" a="1"/>
  <c r="H87" i="2" a="1"/>
  <c r="I147" i="1" a="1"/>
  <c r="I323" i="1" a="1"/>
  <c r="J300" i="1" a="1"/>
  <c r="K88" i="1" a="1"/>
  <c r="K336" i="1" a="1"/>
  <c r="H280" i="2" a="1"/>
  <c r="K340" i="1" a="1"/>
  <c r="I123" i="1" a="1"/>
  <c r="J68" i="2" a="1"/>
  <c r="H48" i="2" a="1"/>
  <c r="J165" i="1" a="1"/>
  <c r="K358" i="1" a="1"/>
  <c r="K290" i="1" a="1"/>
  <c r="I33" i="1" a="1"/>
  <c r="I354" i="1" a="1"/>
  <c r="J187" i="1" a="1"/>
  <c r="H279" i="2" a="1"/>
  <c r="G248" i="2" a="1"/>
  <c r="I61" i="2" a="1"/>
  <c r="H92" i="2" a="1"/>
  <c r="K125" i="1" a="1"/>
  <c r="I250" i="1" a="1"/>
  <c r="K184" i="1" a="1"/>
  <c r="I330" i="1" a="1"/>
  <c r="J238" i="1" a="1"/>
  <c r="I238" i="1" a="1"/>
  <c r="J198" i="1" a="1"/>
  <c r="J319" i="1" a="1"/>
  <c r="I315" i="2" a="1"/>
  <c r="J177" i="1" a="1"/>
  <c r="H79" i="2" a="1"/>
  <c r="I176" i="1" a="1"/>
  <c r="G181" i="2" a="1"/>
  <c r="I125" i="2" a="1"/>
  <c r="H101" i="2" a="1"/>
  <c r="J257" i="1" a="1"/>
  <c r="I201" i="1" a="1"/>
  <c r="K219" i="1" a="1"/>
  <c r="I285" i="1" a="1"/>
  <c r="K368" i="1" a="1"/>
  <c r="J245" i="1" a="1"/>
  <c r="I129" i="2" a="1"/>
  <c r="K314" i="1" a="1"/>
  <c r="H269" i="2" a="1"/>
  <c r="G45" i="2" a="1"/>
  <c r="J121" i="2" a="1"/>
  <c r="I251" i="2" a="1"/>
  <c r="H157" i="2" a="1"/>
  <c r="J129" i="1" a="1"/>
  <c r="J321" i="1" a="1"/>
  <c r="J184" i="1" a="1"/>
  <c r="I86" i="1" a="1"/>
  <c r="K18" i="1" a="1"/>
  <c r="G309" i="2" a="1"/>
  <c r="J37" i="1" a="1"/>
  <c r="I365" i="1" a="1"/>
  <c r="K137" i="1" a="1"/>
  <c r="I321" i="2" a="1"/>
  <c r="J355" i="1" a="1"/>
  <c r="I36" i="1" a="1"/>
  <c r="I95" i="1" a="1"/>
  <c r="K138" i="1" a="1"/>
  <c r="I187" i="2" a="1"/>
  <c r="J348" i="1" a="1"/>
  <c r="J202" i="1" a="1"/>
  <c r="H173" i="2" a="1"/>
  <c r="J206" i="1" a="1"/>
  <c r="I145" i="1" a="1"/>
  <c r="K43" i="1" a="1"/>
  <c r="J94" i="1" a="1"/>
  <c r="J264" i="2" a="1"/>
  <c r="K15" i="1" a="1"/>
  <c r="G101" i="2" a="1"/>
  <c r="H366" i="2" a="1"/>
  <c r="J60" i="1" a="1"/>
  <c r="J315" i="2" a="1"/>
  <c r="J236" i="2" a="1"/>
  <c r="I45" i="2" a="1"/>
  <c r="I155" i="1" a="1"/>
  <c r="I304" i="2" a="1"/>
  <c r="J281" i="1" a="1"/>
  <c r="J135" i="1" a="1"/>
  <c r="J322" i="1" a="1"/>
  <c r="I364" i="2" a="1"/>
  <c r="J117" i="1" a="1"/>
  <c r="H154" i="2" a="1"/>
  <c r="I248" i="1" a="1"/>
  <c r="G324" i="2" a="1"/>
  <c r="K28" i="1" a="1"/>
  <c r="H215" i="2" a="1"/>
  <c r="J310" i="1" a="1"/>
  <c r="R9" i="1" a="1"/>
  <c r="P28" i="1" a="1"/>
  <c r="I130" i="2" a="1"/>
  <c r="J55" i="1" a="1"/>
  <c r="J218" i="2" a="1"/>
  <c r="I82" i="1" a="1"/>
  <c r="G155" i="2" a="1"/>
  <c r="I80" i="2" a="1"/>
  <c r="K101" i="1" a="1"/>
  <c r="G322" i="2" a="1"/>
  <c r="J46" i="2" a="1"/>
  <c r="I182" i="2" a="1"/>
  <c r="H338" i="2" a="1"/>
  <c r="I251" i="1" a="1"/>
  <c r="G307" i="2" a="1"/>
  <c r="G281" i="2" a="1"/>
  <c r="I356" i="2" a="1"/>
  <c r="H147" i="2" a="1"/>
  <c r="J46" i="1" a="1"/>
  <c r="K53" i="1" a="1"/>
  <c r="G305" i="2" a="1"/>
  <c r="J22" i="2" a="1"/>
  <c r="K22" i="1" a="1"/>
  <c r="H90" i="2" a="1"/>
  <c r="G252" i="2" a="1"/>
  <c r="H217" i="2" a="1"/>
  <c r="I280" i="1" a="1"/>
  <c r="H272" i="2" a="1"/>
  <c r="J62" i="2" a="1"/>
  <c r="H281" i="2" a="1"/>
  <c r="K120" i="1" a="1"/>
  <c r="G98" i="2" a="1"/>
  <c r="K87" i="1" a="1"/>
  <c r="Q215" i="1" a="1"/>
  <c r="Q76" i="1" a="1"/>
  <c r="I194" i="2" a="1"/>
  <c r="G363" i="2" a="1"/>
  <c r="S282" i="1" a="1"/>
  <c r="R105" i="1" a="1"/>
  <c r="R325" i="1" a="1"/>
  <c r="R264" i="1" a="1"/>
  <c r="Q219" i="1" a="1"/>
  <c r="R103" i="1" a="1"/>
  <c r="Q139" i="1" a="1"/>
  <c r="P153" i="1" a="1"/>
  <c r="Q115" i="1" a="1"/>
  <c r="S23" i="1" a="1"/>
  <c r="Q137" i="1" a="1"/>
  <c r="P353" i="1" a="1"/>
  <c r="R324" i="1" a="1"/>
  <c r="P81" i="1" a="1"/>
  <c r="P368" i="1" a="1"/>
  <c r="R320" i="1" a="1"/>
  <c r="P154" i="1" a="1"/>
  <c r="S105" i="1" a="1"/>
  <c r="P288" i="1" a="1"/>
  <c r="G321" i="2" a="1"/>
  <c r="J141" i="2" a="1"/>
  <c r="J244" i="2" a="1"/>
  <c r="I14" i="2" a="1"/>
  <c r="H297" i="2" a="1"/>
  <c r="K266" i="1" a="1"/>
  <c r="I318" i="1" a="1"/>
  <c r="J186" i="1" a="1"/>
  <c r="I258" i="1" a="1"/>
  <c r="J213" i="1" a="1"/>
  <c r="J49" i="2" a="1"/>
  <c r="H322" i="2" a="1"/>
  <c r="G244" i="2" a="1"/>
  <c r="J254" i="2" a="1"/>
  <c r="J160" i="2" a="1"/>
  <c r="I139" i="2" a="1"/>
  <c r="I238" i="2" a="1"/>
  <c r="H307" i="2" a="1"/>
  <c r="K126" i="1" a="1"/>
  <c r="J362" i="1" a="1"/>
  <c r="I366" i="1" a="1"/>
  <c r="K33" i="1" a="1"/>
  <c r="I146" i="1" a="1"/>
  <c r="I58" i="1" a="1"/>
  <c r="J126" i="2" a="1"/>
  <c r="H319" i="2" a="1"/>
  <c r="G339" i="2" a="1"/>
  <c r="G310" i="2" a="1"/>
  <c r="J42" i="2" a="1"/>
  <c r="I220" i="2" a="1"/>
  <c r="I341" i="2" a="1"/>
  <c r="H358" i="2" a="1"/>
  <c r="H61" i="2" a="1"/>
  <c r="K221" i="1" a="1"/>
  <c r="K310" i="1" a="1"/>
  <c r="I112" i="1" a="1"/>
  <c r="K230" i="1" a="1"/>
  <c r="J19" i="1" a="1"/>
  <c r="I237" i="1" a="1"/>
  <c r="G43" i="2" a="1"/>
  <c r="J168" i="2" a="1"/>
  <c r="I10" i="2" a="1"/>
  <c r="G237" i="2" a="1"/>
  <c r="G69" i="2" a="1"/>
  <c r="J146" i="2" a="1"/>
  <c r="J95" i="2" a="1"/>
  <c r="I23" i="2" a="1"/>
  <c r="I349" i="2" a="1"/>
  <c r="I320" i="2" a="1"/>
  <c r="H138" i="2" a="1"/>
  <c r="H126" i="2" a="1"/>
  <c r="I54" i="1" a="1"/>
  <c r="K95" i="1" a="1"/>
  <c r="I302" i="1" a="1"/>
  <c r="K57" i="1" a="1"/>
  <c r="J97" i="1" a="1"/>
  <c r="I115" i="1" a="1"/>
  <c r="J209" i="1" a="1"/>
  <c r="K291" i="1" a="1"/>
  <c r="G23" i="2" a="1"/>
  <c r="G286" i="2" a="1"/>
  <c r="J20" i="2" a="1"/>
  <c r="I312" i="2" a="1"/>
  <c r="I367" i="2" a="1"/>
  <c r="G224" i="2" a="1"/>
  <c r="G148" i="2" a="1"/>
  <c r="G150" i="2" a="1"/>
  <c r="J51" i="2" a="1"/>
  <c r="J58" i="2" a="1"/>
  <c r="J350" i="2" a="1"/>
  <c r="I243" i="2" a="1"/>
  <c r="I103" i="2" a="1"/>
  <c r="I191" i="2" a="1"/>
  <c r="I329" i="2" a="1"/>
  <c r="H260" i="2" a="1"/>
  <c r="H218" i="2" a="1"/>
  <c r="H199" i="2" a="1"/>
  <c r="I47" i="1" a="1"/>
  <c r="J102" i="1" a="1"/>
  <c r="I14" i="1" a="1"/>
  <c r="K100" i="1" a="1"/>
  <c r="J150" i="1" a="1"/>
  <c r="J297" i="1" a="1"/>
  <c r="J148" i="1" a="1"/>
  <c r="J122" i="1" a="1"/>
  <c r="I342" i="1" a="1"/>
  <c r="I241" i="1" a="1"/>
  <c r="K58" i="1" a="1"/>
  <c r="K175" i="1" a="1"/>
  <c r="G41" i="2" a="1"/>
  <c r="G26" i="2" a="1"/>
  <c r="G42" i="2" a="1"/>
  <c r="J232" i="2" a="1"/>
  <c r="J272" i="2" a="1"/>
  <c r="I244" i="2" a="1"/>
  <c r="I50" i="2" a="1"/>
  <c r="G162" i="2" a="1"/>
  <c r="I273" i="2" a="1"/>
  <c r="H153" i="2" a="1"/>
  <c r="J88" i="1" a="1"/>
  <c r="J11" i="1" a="1"/>
  <c r="J51" i="1" a="1"/>
  <c r="J161" i="1" a="1"/>
  <c r="G27" i="2" a="1"/>
  <c r="J320" i="2" a="1"/>
  <c r="I321" i="1" a="1"/>
  <c r="J145" i="2" a="1"/>
  <c r="H343" i="2" a="1"/>
  <c r="K198" i="1" a="1"/>
  <c r="I255" i="1" a="1"/>
  <c r="I207" i="1" a="1"/>
  <c r="K362" i="1" a="1"/>
  <c r="J197" i="1" a="1"/>
  <c r="J276" i="1" a="1"/>
  <c r="K241" i="1" a="1"/>
  <c r="K319" i="1" a="1"/>
  <c r="J107" i="2" a="1"/>
  <c r="H96" i="2" a="1"/>
  <c r="K76" i="1" a="1"/>
  <c r="K133" i="1" a="1"/>
  <c r="K237" i="1" a="1"/>
  <c r="I52" i="1" a="1"/>
  <c r="I288" i="1" a="1"/>
  <c r="J21" i="1" a="1"/>
  <c r="K42" i="1" a="1"/>
  <c r="G95" i="2" a="1"/>
  <c r="I249" i="2" a="1"/>
  <c r="H85" i="2" a="1"/>
  <c r="K157" i="1" a="1"/>
  <c r="J24" i="1" a="1"/>
  <c r="J68" i="1" a="1"/>
  <c r="I341" i="1" a="1"/>
  <c r="J116" i="1" a="1"/>
  <c r="J313" i="1" a="1"/>
  <c r="J163" i="1" a="1"/>
  <c r="K105" i="1" a="1"/>
  <c r="H165" i="2" a="1"/>
  <c r="K288" i="1" a="1"/>
  <c r="K302" i="1" a="1"/>
  <c r="J105" i="1" a="1"/>
  <c r="J119" i="2" a="1"/>
  <c r="I313" i="2" a="1"/>
  <c r="H108" i="2" a="1"/>
  <c r="J59" i="1" a="1"/>
  <c r="J299" i="1" a="1"/>
  <c r="I131" i="1" a="1"/>
  <c r="I106" i="1" a="1"/>
  <c r="I80" i="1" a="1"/>
  <c r="K182" i="1" a="1"/>
  <c r="I145" i="2" a="1"/>
  <c r="K323" i="1" a="1"/>
  <c r="H221" i="2" a="1"/>
  <c r="G24" i="2" a="1"/>
  <c r="J133" i="2" a="1"/>
  <c r="H23" i="2" a="1"/>
  <c r="H80" i="2" a="1"/>
  <c r="K312" i="1" a="1"/>
  <c r="J98" i="1" a="1"/>
  <c r="J178" i="1" a="1"/>
  <c r="I32" i="1" a="1"/>
  <c r="K338" i="1" a="1"/>
  <c r="H178" i="2" a="1"/>
  <c r="I239" i="1" a="1"/>
  <c r="I336" i="1" a="1"/>
  <c r="K187" i="1" a="1"/>
  <c r="R309" i="1" a="1"/>
  <c r="R353" i="1" a="1"/>
  <c r="Q145" i="1" a="1"/>
  <c r="S41" i="1" a="1"/>
  <c r="Q356" i="1" a="1"/>
  <c r="Q63" i="1" a="1"/>
  <c r="R168" i="1" a="1"/>
  <c r="R138" i="1" a="1"/>
  <c r="P282" i="1" a="1"/>
  <c r="P338" i="1" a="1"/>
  <c r="J24" i="2" a="1"/>
  <c r="I150" i="2" a="1"/>
  <c r="K281" i="1" a="1"/>
  <c r="I287" i="1" a="1"/>
  <c r="J63" i="1" a="1"/>
  <c r="H361" i="2" a="1"/>
  <c r="J157" i="2" a="1"/>
  <c r="I135" i="2" a="1"/>
  <c r="K220" i="1" a="1"/>
  <c r="J160" i="1" a="1"/>
  <c r="J86" i="2" a="1"/>
  <c r="G143" i="2" a="1"/>
  <c r="J50" i="2" a="1"/>
  <c r="I216" i="2" a="1"/>
  <c r="H210" i="2" a="1"/>
  <c r="J188" i="1" a="1"/>
  <c r="K227" i="1" a="1"/>
  <c r="J49" i="1" a="1"/>
  <c r="G228" i="2" a="1"/>
  <c r="H50" i="2" a="1"/>
  <c r="G331" i="2" a="1"/>
  <c r="J85" i="2" a="1"/>
  <c r="I29" i="2" a="1"/>
  <c r="H330" i="2" a="1"/>
  <c r="I99" i="1" a="1"/>
  <c r="I326" i="1" a="1"/>
  <c r="K204" i="1" a="1"/>
  <c r="I267" i="1" a="1"/>
  <c r="G251" i="2" a="1"/>
  <c r="G276" i="2" a="1"/>
  <c r="J136" i="2" a="1"/>
  <c r="J260" i="2" a="1"/>
  <c r="I231" i="2" a="1"/>
  <c r="H81" i="2" a="1"/>
  <c r="H326" i="2" a="1"/>
  <c r="J311" i="1" a="1"/>
  <c r="J170" i="1" a="1"/>
  <c r="I143" i="1" a="1"/>
  <c r="K211" i="1" a="1"/>
  <c r="J331" i="1" a="1"/>
  <c r="I22" i="1" a="1"/>
  <c r="G157" i="2" a="1"/>
  <c r="J365" i="2" a="1"/>
  <c r="I306" i="2" a="1"/>
  <c r="H159" i="2" a="1"/>
  <c r="I81" i="1" a="1"/>
  <c r="I113" i="1" a="1"/>
  <c r="K73" i="1" a="1"/>
  <c r="G120" i="2" a="1"/>
  <c r="I359" i="1" a="1"/>
  <c r="J229" i="1" a="1"/>
  <c r="J222" i="1" a="1"/>
  <c r="I153" i="1" a="1"/>
  <c r="I197" i="2" a="1"/>
  <c r="I165" i="1" a="1"/>
  <c r="J342" i="1" a="1"/>
  <c r="J336" i="1" a="1"/>
  <c r="J76" i="2" a="1"/>
  <c r="H93" i="2" a="1"/>
  <c r="I161" i="1" a="1"/>
  <c r="I83" i="1" a="1"/>
  <c r="J169" i="1" a="1"/>
  <c r="J323" i="1" a="1"/>
  <c r="J318" i="2" a="1"/>
  <c r="K250" i="1" a="1"/>
  <c r="K213" i="1" a="1"/>
  <c r="J252" i="1" a="1"/>
  <c r="I118" i="1" a="1"/>
  <c r="J250" i="2" a="1"/>
  <c r="K238" i="1" a="1"/>
  <c r="J260" i="1" a="1"/>
  <c r="I243" i="1" a="1"/>
  <c r="S271" i="1" a="1"/>
  <c r="S237" i="1" a="1"/>
  <c r="Q339" i="1" a="1"/>
  <c r="Q90" i="1" a="1"/>
  <c r="S273" i="1" a="1"/>
  <c r="P155" i="1" a="1"/>
  <c r="Q273" i="1" a="1"/>
  <c r="S223" i="1" a="1"/>
  <c r="P215" i="1" a="1"/>
  <c r="G269" i="2" a="1"/>
  <c r="J116" i="2" a="1"/>
  <c r="I302" i="2" a="1"/>
  <c r="I42" i="1" a="1"/>
  <c r="J332" i="1" a="1"/>
  <c r="I219" i="2" a="1"/>
  <c r="G131" i="2" a="1"/>
  <c r="I83" i="2" a="1"/>
  <c r="H305" i="2" a="1"/>
  <c r="K337" i="1" a="1"/>
  <c r="I364" i="1" a="1"/>
  <c r="G284" i="2" a="1"/>
  <c r="G91" i="2" a="1"/>
  <c r="I340" i="2" a="1"/>
  <c r="H311" i="2" a="1"/>
  <c r="J14" i="1" a="1"/>
  <c r="I252" i="1" a="1"/>
  <c r="K112" i="1" a="1"/>
  <c r="I37" i="2" a="1"/>
  <c r="J333" i="2" a="1"/>
  <c r="I230" i="2" a="1"/>
  <c r="H277" i="2" a="1"/>
  <c r="I233" i="1" a="1"/>
  <c r="K346" i="1" a="1"/>
  <c r="G179" i="2" a="1"/>
  <c r="I53" i="2" a="1"/>
  <c r="G217" i="2" a="1"/>
  <c r="J8" i="2" a="1"/>
  <c r="I44" i="2" a="1"/>
  <c r="H368" i="2" a="1"/>
  <c r="K200" i="1" a="1"/>
  <c r="K110" i="1" a="1"/>
  <c r="K172" i="1" a="1"/>
  <c r="I170" i="1" a="1"/>
  <c r="K233" i="1" a="1"/>
  <c r="G285" i="2" a="1"/>
  <c r="I60" i="2" a="1"/>
  <c r="H228" i="2" a="1"/>
  <c r="K258" i="1" a="1"/>
  <c r="G226" i="2" a="1"/>
  <c r="I212" i="1" a="1"/>
  <c r="G184" i="2" a="1"/>
  <c r="J360" i="1" a="1"/>
  <c r="J176" i="1" a="1"/>
  <c r="I297" i="2" a="1"/>
  <c r="I279" i="1" a="1"/>
  <c r="J119" i="1" a="1"/>
  <c r="I213" i="1" a="1"/>
  <c r="J124" i="1" a="1"/>
  <c r="I308" i="1" a="1"/>
  <c r="I27" i="1" a="1"/>
  <c r="H34" i="2" a="1"/>
  <c r="K263" i="1" a="1"/>
  <c r="I63" i="1" a="1"/>
  <c r="G103" i="2" a="1"/>
  <c r="K70" i="1" a="1"/>
  <c r="K144" i="1" a="1"/>
  <c r="J129" i="2" a="1"/>
  <c r="S281" i="1" a="1"/>
  <c r="S66" i="1" a="1"/>
  <c r="P179" i="1" a="1"/>
  <c r="P113" i="1" a="1"/>
  <c r="P290" i="1" a="1"/>
  <c r="P219" i="1" a="1"/>
  <c r="Q247" i="1" a="1"/>
  <c r="S117" i="1" a="1"/>
  <c r="P328" i="1" a="1"/>
  <c r="G186" i="2" a="1"/>
  <c r="H38" i="2" a="1"/>
  <c r="K239" i="1" a="1"/>
  <c r="G213" i="2" a="1"/>
  <c r="G195" i="2" a="1"/>
  <c r="I268" i="2" a="1"/>
  <c r="H244" i="2" a="1"/>
  <c r="K117" i="1" a="1"/>
  <c r="G258" i="2" a="1"/>
  <c r="G317" i="2" a="1"/>
  <c r="J45" i="2" a="1"/>
  <c r="I351" i="2" a="1"/>
  <c r="H357" i="2" a="1"/>
  <c r="K148" i="1" a="1"/>
  <c r="K164" i="1" a="1"/>
  <c r="I225" i="2" a="1"/>
  <c r="K131" i="1" a="1"/>
  <c r="J113" i="2" a="1"/>
  <c r="J279" i="2" a="1"/>
  <c r="J54" i="2" a="1"/>
  <c r="I109" i="2" a="1"/>
  <c r="H84" i="2" a="1"/>
  <c r="I284" i="1" a="1"/>
  <c r="J305" i="1" a="1"/>
  <c r="I160" i="1" a="1"/>
  <c r="I96" i="1" a="1"/>
  <c r="K259" i="1" a="1"/>
  <c r="J242" i="2" a="1"/>
  <c r="H86" i="2" a="1"/>
  <c r="H292" i="2" a="1"/>
  <c r="J258" i="1" a="1"/>
  <c r="G353" i="2" a="1"/>
  <c r="I29" i="1" a="1"/>
  <c r="G290" i="2" a="1"/>
  <c r="J247" i="1" a="1"/>
  <c r="J351" i="1" a="1"/>
  <c r="J150" i="2" a="1"/>
  <c r="J273" i="1" a="1"/>
  <c r="G124" i="2" a="1"/>
  <c r="I30" i="1" a="1"/>
  <c r="K317" i="1" a="1"/>
  <c r="J85" i="1" a="1"/>
  <c r="G14" i="2" a="1"/>
  <c r="G245" i="2" a="1"/>
  <c r="H156" i="2" a="1"/>
  <c r="K27" i="1" a="1"/>
  <c r="K361" i="1" a="1"/>
  <c r="K98" i="1" a="1"/>
  <c r="S102" i="1" a="1"/>
  <c r="S58" i="1" a="1"/>
  <c r="S141" i="1" a="1"/>
  <c r="R89" i="1" a="1"/>
  <c r="Q44" i="1" a="1"/>
  <c r="S353" i="1" a="1"/>
  <c r="P12" i="1" a="1"/>
  <c r="P33" i="1" a="1"/>
  <c r="G250" i="2" a="1"/>
  <c r="H299" i="2" a="1"/>
  <c r="I79" i="1" a="1"/>
  <c r="J132" i="1" a="1"/>
  <c r="I347" i="2" a="1"/>
  <c r="G246" i="2" a="1"/>
  <c r="S361" i="1" a="1"/>
  <c r="R278" i="1" a="1"/>
  <c r="R327" i="1" a="1"/>
  <c r="R359" i="1" a="1"/>
  <c r="Q350" i="1" a="1"/>
  <c r="R121" i="1" a="1"/>
  <c r="P227" i="1" a="1"/>
  <c r="P217" i="1" a="1"/>
  <c r="Q184" i="1" a="1"/>
  <c r="S329" i="1" a="1"/>
  <c r="Q265" i="1" a="1"/>
  <c r="P157" i="1" a="1"/>
  <c r="R270" i="1" a="1"/>
  <c r="P145" i="1" a="1"/>
  <c r="P336" i="1" a="1"/>
  <c r="R205" i="1" a="1"/>
  <c r="P218" i="1" a="1"/>
  <c r="S166" i="1" a="1"/>
  <c r="P347" i="1" a="1"/>
  <c r="G364" i="2" a="1"/>
  <c r="J269" i="2" a="1"/>
  <c r="J292" i="2" a="1"/>
  <c r="I86" i="2" a="1"/>
  <c r="H24" i="2" a="1"/>
  <c r="I87" i="1" a="1"/>
  <c r="K248" i="1" a="1"/>
  <c r="K271" i="1" a="1"/>
  <c r="I151" i="1" a="1"/>
  <c r="I292" i="1" a="1"/>
  <c r="J308" i="2" a="1"/>
  <c r="H185" i="2" a="1"/>
  <c r="G308" i="2" a="1"/>
  <c r="J29" i="2" a="1"/>
  <c r="J203" i="2" a="1"/>
  <c r="I71" i="2" a="1"/>
  <c r="I279" i="2" a="1"/>
  <c r="H140" i="2" a="1"/>
  <c r="K255" i="1" a="1"/>
  <c r="K267" i="1" a="1"/>
  <c r="J123" i="1" a="1"/>
  <c r="I152" i="1" a="1"/>
  <c r="J71" i="1" a="1"/>
  <c r="I189" i="1" a="1"/>
  <c r="J57" i="2" a="1"/>
  <c r="H325" i="2" a="1"/>
  <c r="G79" i="2" a="1"/>
  <c r="J14" i="2" a="1"/>
  <c r="J84" i="2" a="1"/>
  <c r="I284" i="2" a="1"/>
  <c r="I232" i="2" a="1"/>
  <c r="H274" i="2" a="1"/>
  <c r="H125" i="2" a="1"/>
  <c r="I282" i="1" a="1"/>
  <c r="K253" i="1" a="1"/>
  <c r="I60" i="1" a="1"/>
  <c r="I291" i="1" a="1"/>
  <c r="K134" i="1" a="1"/>
  <c r="K210" i="1" a="1"/>
  <c r="G100" i="2" a="1"/>
  <c r="J185" i="2" a="1"/>
  <c r="I359" i="2" a="1"/>
  <c r="G301" i="2" a="1"/>
  <c r="G139" i="2" a="1"/>
  <c r="J188" i="2" a="1"/>
  <c r="J164" i="2" a="1"/>
  <c r="I42" i="2" a="1"/>
  <c r="I46" i="2" a="1"/>
  <c r="H22" i="2" a="1"/>
  <c r="H202" i="2" a="1"/>
  <c r="H190" i="2" a="1"/>
  <c r="K276" i="1" a="1"/>
  <c r="K107" i="1" a="1"/>
  <c r="J99" i="1" a="1"/>
  <c r="K146" i="1" a="1"/>
  <c r="I331" i="1" a="1"/>
  <c r="I200" i="1" a="1"/>
  <c r="I347" i="1" a="1"/>
  <c r="J15" i="1" a="1"/>
  <c r="G123" i="2" a="1"/>
  <c r="G28" i="2" a="1"/>
  <c r="J106" i="2" a="1"/>
  <c r="I52" i="2" a="1"/>
  <c r="I215" i="2" a="1"/>
  <c r="G288" i="2" a="1"/>
  <c r="G212" i="2" a="1"/>
  <c r="G362" i="2" a="1"/>
  <c r="J94" i="2" a="1"/>
  <c r="J100" i="2" a="1"/>
  <c r="J81" i="2" a="1"/>
  <c r="I175" i="2" a="1"/>
  <c r="I167" i="2" a="1"/>
  <c r="I255" i="2" a="1"/>
  <c r="I355" i="2" a="1"/>
  <c r="H78" i="2" a="1"/>
  <c r="H262" i="2" a="1"/>
  <c r="H263" i="2" a="1"/>
  <c r="I184" i="1" a="1"/>
  <c r="K17" i="1" a="1"/>
  <c r="K180" i="1" a="1"/>
  <c r="K173" i="1" a="1"/>
  <c r="J228" i="1" a="1"/>
  <c r="K339" i="1" a="1"/>
  <c r="J16" i="1" a="1"/>
  <c r="I343" i="1" a="1"/>
  <c r="I358" i="1" a="1"/>
  <c r="K135" i="1" a="1"/>
  <c r="I256" i="1" a="1"/>
  <c r="J43" i="1" a="1"/>
  <c r="G55" i="2" a="1"/>
  <c r="G175" i="2" a="1"/>
  <c r="G366" i="2" a="1"/>
  <c r="J105" i="2" a="1"/>
  <c r="J354" i="2" a="1"/>
  <c r="I48" i="2" a="1"/>
  <c r="I178" i="2" a="1"/>
  <c r="G295" i="2" a="1"/>
  <c r="I201" i="2" a="1"/>
  <c r="H40" i="2" a="1"/>
  <c r="K121" i="1" a="1"/>
  <c r="K171" i="1" a="1"/>
  <c r="K300" i="1" a="1"/>
  <c r="J118" i="1" a="1"/>
  <c r="H259" i="2" a="1"/>
  <c r="I209" i="2" a="1"/>
  <c r="K331" i="1" a="1"/>
  <c r="I133" i="2" a="1"/>
  <c r="H284" i="2" a="1"/>
  <c r="I179" i="1" a="1"/>
  <c r="K348" i="1" a="1"/>
  <c r="J143" i="1" a="1"/>
  <c r="K21" i="1" a="1"/>
  <c r="I315" i="1" a="1"/>
  <c r="I101" i="1" a="1"/>
  <c r="G48" i="2" a="1"/>
  <c r="G196" i="2" a="1"/>
  <c r="J330" i="2" a="1"/>
  <c r="H17" i="2" a="1"/>
  <c r="J158" i="1" a="1"/>
  <c r="K128" i="1" a="1"/>
  <c r="I300" i="1" a="1"/>
  <c r="J231" i="1" a="1"/>
  <c r="J205" i="1" a="1"/>
  <c r="J367" i="1" a="1"/>
  <c r="J137" i="1" a="1"/>
  <c r="G117" i="2" a="1"/>
  <c r="I314" i="2" a="1"/>
  <c r="H207" i="2" a="1"/>
  <c r="J95" i="1" a="1"/>
  <c r="J294" i="1" a="1"/>
  <c r="J182" i="1" a="1"/>
  <c r="J47" i="1" a="1"/>
  <c r="I192" i="1" a="1"/>
  <c r="J265" i="1" a="1"/>
  <c r="I137" i="1" a="1"/>
  <c r="K41" i="1" a="1"/>
  <c r="H341" i="2" a="1"/>
  <c r="K351" i="1" a="1"/>
  <c r="K226" i="1" a="1"/>
  <c r="J320" i="1" a="1"/>
  <c r="J125" i="2" a="1"/>
  <c r="I8" i="2" a="1"/>
  <c r="H216" i="2" a="1"/>
  <c r="I226" i="1" a="1"/>
  <c r="I173" i="1" a="1"/>
  <c r="I227" i="1" a="1"/>
  <c r="I13" i="1" a="1"/>
  <c r="K111" i="1" a="1"/>
  <c r="K19" i="1" a="1"/>
  <c r="H224" i="2" a="1"/>
  <c r="K51" i="1" a="1"/>
  <c r="I194" i="1" a="1"/>
  <c r="G188" i="2" a="1"/>
  <c r="J235" i="2" a="1"/>
  <c r="H342" i="2" a="1"/>
  <c r="H336" i="2" a="1"/>
  <c r="K224" i="1" a="1"/>
  <c r="I180" i="1" a="1"/>
  <c r="J356" i="1" a="1"/>
  <c r="J93" i="1" a="1"/>
  <c r="I74" i="1" a="1"/>
  <c r="H345" i="2" a="1"/>
  <c r="I260" i="1" a="1"/>
  <c r="I40" i="1" a="1"/>
  <c r="S145" i="1" a="1"/>
  <c r="R311" i="1" a="1"/>
  <c r="R281" i="1" a="1"/>
  <c r="P88" i="1" a="1"/>
  <c r="S309" i="1" a="1"/>
  <c r="S225" i="1" a="1"/>
  <c r="P209" i="1" a="1"/>
  <c r="R255" i="1" a="1"/>
  <c r="R246" i="1" a="1"/>
  <c r="G20" i="2" a="1"/>
  <c r="I9" i="2" a="1"/>
  <c r="H106" i="2" a="1"/>
  <c r="K277" i="1" a="1"/>
  <c r="J155" i="1" a="1"/>
  <c r="J364" i="2" a="1"/>
  <c r="G136" i="2" a="1"/>
  <c r="J366" i="2" a="1"/>
  <c r="I270" i="2" a="1"/>
  <c r="H37" i="2" a="1"/>
  <c r="I69" i="1" a="1"/>
  <c r="I322" i="1" a="1"/>
  <c r="K92" i="1" a="1"/>
  <c r="K151" i="1" a="1"/>
  <c r="H248" i="2" a="1"/>
  <c r="J132" i="2" a="1"/>
  <c r="I296" i="2" a="1"/>
  <c r="H189" i="2" a="1"/>
  <c r="I122" i="1" a="1"/>
  <c r="K311" i="1" a="1"/>
  <c r="J278" i="1" a="1"/>
  <c r="J257" i="2" a="1"/>
  <c r="G278" i="2" a="1"/>
  <c r="J231" i="2" a="1"/>
  <c r="I234" i="2" a="1"/>
  <c r="H11" i="2" a="1"/>
  <c r="H254" i="2" a="1"/>
  <c r="I335" i="1" a="1"/>
  <c r="J92" i="1" a="1"/>
  <c r="K163" i="1" a="1"/>
  <c r="J171" i="1" a="1"/>
  <c r="G172" i="2" a="1"/>
  <c r="J117" i="2" a="1"/>
  <c r="I180" i="2" a="1"/>
  <c r="H19" i="2" a="1"/>
  <c r="G347" i="2" a="1"/>
  <c r="J23" i="2" a="1"/>
  <c r="J17" i="2" a="1"/>
  <c r="I239" i="2" a="1"/>
  <c r="I328" i="2" a="1"/>
  <c r="H142" i="2" a="1"/>
  <c r="H327" i="2" a="1"/>
  <c r="I307" i="1" a="1"/>
  <c r="I297" i="1" a="1"/>
  <c r="K47" i="1" a="1"/>
  <c r="I231" i="1" a="1"/>
  <c r="J244" i="1" a="1"/>
  <c r="K26" i="1" a="1"/>
  <c r="G61" i="2" a="1"/>
  <c r="J71" i="2" a="1"/>
  <c r="J138" i="2" a="1"/>
  <c r="I176" i="2" a="1"/>
  <c r="J104" i="2" a="1"/>
  <c r="H355" i="2" a="1"/>
  <c r="I268" i="1" a="1"/>
  <c r="K325" i="1" a="1"/>
  <c r="H220" i="2" a="1"/>
  <c r="H143" i="2" a="1"/>
  <c r="I350" i="1" a="1"/>
  <c r="I43" i="1" a="1"/>
  <c r="J282" i="1" a="1"/>
  <c r="G355" i="2" a="1"/>
  <c r="H245" i="2" a="1"/>
  <c r="I10" i="1" a="1"/>
  <c r="J36" i="1" a="1"/>
  <c r="K297" i="1" a="1"/>
  <c r="I123" i="2" a="1"/>
  <c r="J126" i="1" a="1"/>
  <c r="K215" i="1" a="1"/>
  <c r="J266" i="1" a="1"/>
  <c r="K123" i="1" a="1"/>
  <c r="G13" i="2" a="1"/>
  <c r="H98" i="2" a="1"/>
  <c r="K260" i="1" a="1"/>
  <c r="I273" i="1" a="1"/>
  <c r="H89" i="2" a="1"/>
  <c r="G360" i="2" a="1"/>
  <c r="H323" i="2" a="1"/>
  <c r="I103" i="1" a="1"/>
  <c r="J121" i="1" a="1"/>
  <c r="G316" i="2" a="1"/>
  <c r="S93" i="1" a="1"/>
  <c r="S291" i="1" a="1"/>
  <c r="P193" i="1" a="1"/>
  <c r="Q85" i="1" a="1"/>
  <c r="R83" i="1" a="1"/>
  <c r="S95" i="1" a="1"/>
  <c r="P142" i="1" a="1"/>
  <c r="Q284" i="1" a="1"/>
  <c r="P112" i="1" a="1"/>
  <c r="G122" i="2" a="1"/>
  <c r="I66" i="2" a="1"/>
  <c r="H171" i="2" a="1"/>
  <c r="I157" i="1" a="1"/>
  <c r="G255" i="2" a="1"/>
  <c r="G256" i="2" a="1"/>
  <c r="J25" i="2" a="1"/>
  <c r="I204" i="2" a="1"/>
  <c r="H180" i="2" a="1"/>
  <c r="I148" i="1" a="1"/>
  <c r="J172" i="1" a="1"/>
  <c r="I28" i="2" a="1"/>
  <c r="G253" i="2" a="1"/>
  <c r="I311" i="2" a="1"/>
  <c r="H304" i="2" a="1"/>
  <c r="I85" i="1" a="1"/>
  <c r="J41" i="1" a="1"/>
  <c r="G130" i="2" a="1"/>
  <c r="G272" i="2" a="1"/>
  <c r="J176" i="2" a="1"/>
  <c r="H257" i="2" a="1"/>
  <c r="I253" i="1" a="1"/>
  <c r="J246" i="1" a="1"/>
  <c r="J10" i="1" a="1"/>
  <c r="J199" i="2" a="1"/>
  <c r="G298" i="2" a="1"/>
  <c r="J179" i="2" a="1"/>
  <c r="I303" i="2" a="1"/>
  <c r="H145" i="2" a="1"/>
  <c r="H309" i="2" a="1"/>
  <c r="I208" i="1" a="1"/>
  <c r="I18" i="1" a="1"/>
  <c r="I117" i="1" a="1"/>
  <c r="G187" i="2" a="1"/>
  <c r="J196" i="2" a="1"/>
  <c r="I174" i="2" a="1"/>
  <c r="J110" i="1" a="1"/>
  <c r="J303" i="1" a="1"/>
  <c r="I270" i="1" a="1"/>
  <c r="H324" i="2" a="1"/>
  <c r="H204" i="2" a="1"/>
  <c r="I130" i="1" a="1"/>
  <c r="J81" i="1" a="1"/>
  <c r="K269" i="1" a="1"/>
  <c r="I254" i="1" a="1"/>
  <c r="J73" i="1" a="1"/>
  <c r="J338" i="1" a="1"/>
  <c r="J323" i="2" a="1"/>
  <c r="I51" i="1" a="1"/>
  <c r="G59" i="2" a="1"/>
  <c r="H13" i="2" a="1"/>
  <c r="K252" i="1" a="1"/>
  <c r="J109" i="1" a="1"/>
  <c r="K270" i="1" a="1"/>
  <c r="J315" i="1" a="1"/>
  <c r="J66" i="1" a="1"/>
  <c r="I65" i="2" a="1"/>
  <c r="K75" i="1" a="1"/>
  <c r="K360" i="1" a="1"/>
  <c r="J217" i="1" a="1"/>
  <c r="S240" i="1" a="1"/>
  <c r="S340" i="1" a="1"/>
  <c r="S76" i="1" a="1"/>
  <c r="Q177" i="1" a="1"/>
  <c r="R237" i="1" a="1"/>
  <c r="S202" i="1" a="1"/>
  <c r="P334" i="1" a="1"/>
  <c r="Q227" i="1" a="1"/>
  <c r="G333" i="2" a="1"/>
  <c r="J21" i="2" a="1"/>
  <c r="H235" i="2" a="1"/>
  <c r="K225" i="1" a="1"/>
  <c r="J269" i="1" a="1"/>
  <c r="I96" i="2" a="1"/>
  <c r="G320" i="2" a="1"/>
  <c r="I147" i="2" a="1"/>
  <c r="H354" i="2" a="1"/>
  <c r="K363" i="1" a="1"/>
  <c r="J67" i="1" a="1"/>
  <c r="I221" i="2" a="1"/>
  <c r="J336" i="2" a="1"/>
  <c r="H188" i="2" a="1"/>
  <c r="K44" i="1" a="1"/>
  <c r="I338" i="1" a="1"/>
  <c r="J211" i="1" a="1"/>
  <c r="H120" i="2" a="1"/>
  <c r="G90" i="2" a="1"/>
  <c r="J219" i="2" a="1"/>
  <c r="I33" i="2" a="1"/>
  <c r="H9" i="2" a="1"/>
  <c r="I225" i="1" a="1"/>
  <c r="J285" i="1" a="1"/>
  <c r="J179" i="1" a="1"/>
  <c r="I228" i="1" a="1"/>
  <c r="J284" i="2" a="1"/>
  <c r="I181" i="2" a="1"/>
  <c r="G354" i="2" a="1"/>
  <c r="J227" i="2" a="1"/>
  <c r="I27" i="2" a="1"/>
  <c r="H209" i="2" a="1"/>
  <c r="H314" i="2" a="1"/>
  <c r="J346" i="1" a="1"/>
  <c r="I317" i="1" a="1"/>
  <c r="K62" i="1" a="1"/>
  <c r="G233" i="2" a="1"/>
  <c r="J245" i="2" a="1"/>
  <c r="I128" i="2" a="1"/>
  <c r="J22" i="1" a="1"/>
  <c r="I340" i="1" a="1"/>
  <c r="J111" i="1" a="1"/>
  <c r="I186" i="2" a="1"/>
  <c r="K268" i="1" a="1"/>
  <c r="I129" i="1" a="1"/>
  <c r="I59" i="2" a="1"/>
  <c r="K190" i="1" a="1"/>
  <c r="K229" i="1" a="1"/>
  <c r="H278" i="2" a="1"/>
  <c r="J83" i="1" a="1"/>
  <c r="J271" i="1" a="1"/>
  <c r="K40" i="1" a="1"/>
  <c r="K141" i="1" a="1"/>
  <c r="K30" i="1" a="1"/>
  <c r="J131" i="1" a="1"/>
  <c r="H287" i="2" a="1"/>
  <c r="K286" i="1" a="1"/>
  <c r="I149" i="1" a="1"/>
  <c r="J232" i="1" a="1"/>
  <c r="K308" i="1" a="1"/>
  <c r="I58" i="2" a="1"/>
  <c r="S324" i="1" a="1"/>
  <c r="S90" i="1" a="1"/>
  <c r="P75" i="1" a="1"/>
  <c r="P14" i="1" a="1"/>
  <c r="P115" i="1" a="1"/>
  <c r="Q206" i="1" a="1"/>
  <c r="P124" i="1" a="1"/>
  <c r="G50" i="2" a="1"/>
  <c r="H27" i="2" a="1"/>
  <c r="I104" i="1" a="1"/>
  <c r="G104" i="2" a="1"/>
  <c r="J36" i="2" a="1"/>
  <c r="I211" i="2" a="1"/>
  <c r="I235" i="1" a="1"/>
  <c r="I206" i="2" a="1"/>
  <c r="I107" i="1" a="1"/>
  <c r="I98" i="2" a="1"/>
  <c r="K16" i="1" a="1"/>
  <c r="I309" i="2" a="1"/>
  <c r="I43" i="2" a="1"/>
  <c r="I140" i="1" a="1"/>
  <c r="I62" i="1" a="1"/>
  <c r="I117" i="2" a="1"/>
  <c r="J308" i="1" a="1"/>
  <c r="I319" i="1" a="1"/>
  <c r="K334" i="1" a="1"/>
  <c r="H100" i="2" a="1"/>
  <c r="K280" i="1" a="1"/>
  <c r="H227" i="2" a="1"/>
  <c r="J148" i="2" a="1"/>
  <c r="J90" i="1" a="1"/>
  <c r="G111" i="2" a="1"/>
  <c r="K218" i="1" a="1"/>
  <c r="J88" i="2" a="1"/>
  <c r="J157" i="1" a="1"/>
  <c r="K89" i="1" a="1"/>
  <c r="J106" i="1" a="1"/>
  <c r="J262" i="2" a="1"/>
  <c r="I202" i="1" a="1"/>
  <c r="H109" i="2" a="1"/>
  <c r="I332" i="2" a="1"/>
  <c r="G70" i="2" a="1"/>
  <c r="H252" i="2" a="1"/>
  <c r="G135" i="2" a="1"/>
  <c r="I246" i="2" a="1"/>
  <c r="K279" i="1" a="1"/>
  <c r="G114" i="2" a="1"/>
  <c r="I172" i="2" a="1"/>
  <c r="I272" i="1" a="1"/>
  <c r="J235" i="1" a="1"/>
  <c r="G72" i="2" a="1"/>
  <c r="J183" i="1" a="1"/>
  <c r="I221" i="1" a="1"/>
  <c r="K202" i="1" a="1"/>
  <c r="H149" i="2" a="1"/>
  <c r="G167" i="2" a="1"/>
  <c r="I234" i="1" a="1"/>
  <c r="K140" i="1" a="1"/>
  <c r="K321" i="1" a="1"/>
  <c r="J128" i="1" a="1"/>
  <c r="K143" i="1" a="1"/>
  <c r="K254" i="1" a="1"/>
  <c r="J365" i="1" a="1"/>
  <c r="J162" i="2" a="1"/>
  <c r="K313" i="1" a="1"/>
  <c r="J17" i="1" a="1"/>
  <c r="G229" i="2" a="1"/>
  <c r="J322" i="2" a="1"/>
  <c r="J84" i="1" a="1"/>
  <c r="I121" i="1" a="1"/>
  <c r="J326" i="1" a="1"/>
  <c r="K299" i="1" a="1"/>
  <c r="I25" i="1" a="1"/>
  <c r="G154" i="2" a="1"/>
  <c r="H148" i="2" a="1"/>
  <c r="K366" i="1" a="1"/>
  <c r="G54" i="2" a="1"/>
  <c r="I124" i="1" a="1"/>
  <c r="J33" i="2" a="1"/>
  <c r="J96" i="2" a="1"/>
  <c r="I126" i="1" a="1"/>
  <c r="I334" i="2" a="1"/>
  <c r="J204" i="2" a="1"/>
  <c r="I144" i="2" a="1"/>
  <c r="J271" i="2" a="1"/>
  <c r="I51" i="2" a="1"/>
  <c r="J239" i="1" a="1"/>
  <c r="I290" i="1" a="1"/>
  <c r="J276" i="2" a="1"/>
  <c r="H251" i="2" a="1"/>
  <c r="I89" i="2" a="1"/>
  <c r="H76" i="2" a="1"/>
  <c r="I93" i="2" a="1"/>
  <c r="H82" i="2" a="1"/>
  <c r="K208" i="1" a="1"/>
  <c r="G102" i="2" a="1"/>
  <c r="I41" i="2" a="1"/>
  <c r="I12" i="1" a="1"/>
  <c r="I144" i="1" a="1"/>
  <c r="J358" i="2" a="1"/>
  <c r="J19" i="2" a="1"/>
  <c r="J267" i="1" a="1"/>
  <c r="J39" i="1" a="1"/>
  <c r="K20" i="1" a="1"/>
  <c r="G94" i="2" a="1"/>
  <c r="I342" i="2" a="1"/>
  <c r="J144" i="1" a="1"/>
  <c r="H95" i="2" a="1"/>
  <c r="J215" i="1" a="1"/>
  <c r="K77" i="1" a="1"/>
  <c r="J233" i="1" a="1"/>
  <c r="J196" i="1" a="1"/>
  <c r="J363" i="2" a="1"/>
  <c r="I274" i="1" a="1"/>
  <c r="J335" i="2" a="1"/>
  <c r="I141" i="1" a="1"/>
  <c r="H131" i="2" a="1"/>
  <c r="I44" i="1" a="1"/>
  <c r="H167" i="2" a="1"/>
  <c r="G219" i="2" a="1"/>
  <c r="J327" i="1" a="1"/>
  <c r="H312" i="2" a="1"/>
  <c r="H364" i="2" a="1"/>
  <c r="K193" i="1" a="1"/>
  <c r="G345" i="2" a="1"/>
  <c r="H273" i="2" a="1"/>
  <c r="K130" i="1" a="1"/>
  <c r="G351" i="2" a="1"/>
  <c r="H288" i="2" a="1"/>
  <c r="J9" i="2" a="1"/>
  <c r="J335" i="1" a="1"/>
  <c r="J314" i="1" a="1"/>
  <c r="K154" i="1" a="1"/>
  <c r="I35" i="2" a="1"/>
  <c r="K257" i="1" a="1"/>
  <c r="I361" i="2" a="1"/>
  <c r="K12" i="1" a="1"/>
  <c r="G168" i="2" a="1"/>
  <c r="J208" i="1" a="1"/>
  <c r="H211" i="2" a="1"/>
  <c r="K93" i="1" a="1"/>
  <c r="H346" i="2" a="1"/>
  <c r="H236" i="2" a="1"/>
  <c r="J78" i="2" a="1"/>
  <c r="I197" i="1" a="1"/>
  <c r="J122" i="2" a="1"/>
  <c r="J327" i="2" a="1"/>
  <c r="H351" i="2" a="1"/>
  <c r="G231" i="2" a="1"/>
  <c r="G312" i="2" a="1"/>
  <c r="K13" i="1" a="1"/>
  <c r="I299" i="1" a="1"/>
  <c r="K199" i="1" a="1"/>
  <c r="K39" i="1" a="1"/>
  <c r="J16" i="2" a="1"/>
  <c r="K201" i="1" a="1"/>
  <c r="I187" i="1" a="1"/>
  <c r="K320" i="1" a="1"/>
  <c r="K352" i="1" a="1"/>
  <c r="I316" i="2" a="1"/>
  <c r="K309" i="1" a="1"/>
  <c r="K231" i="1" a="1"/>
  <c r="M20" i="3" l="1"/>
  <c r="K112" i="3"/>
  <c r="M276" i="3"/>
  <c r="M116" i="3"/>
  <c r="M108" i="3"/>
  <c r="M268" i="3"/>
  <c r="M260" i="3"/>
  <c r="M252" i="3"/>
  <c r="M244" i="3"/>
  <c r="K270" i="3"/>
  <c r="K262" i="3"/>
  <c r="K254" i="3"/>
  <c r="K246" i="3"/>
  <c r="K137" i="3"/>
  <c r="K129" i="3"/>
  <c r="L335" i="3"/>
  <c r="L268" i="3"/>
  <c r="L260" i="3"/>
  <c r="L252" i="3"/>
  <c r="L244" i="3"/>
  <c r="L127" i="3"/>
  <c r="L86" i="3"/>
  <c r="M356" i="3"/>
  <c r="M348" i="3"/>
  <c r="M340" i="3"/>
  <c r="M333" i="3"/>
  <c r="M212" i="3"/>
  <c r="M204" i="3"/>
  <c r="M196" i="3"/>
  <c r="M189" i="3"/>
  <c r="M181" i="3"/>
  <c r="M165" i="3"/>
  <c r="M157" i="3"/>
  <c r="M149" i="3"/>
  <c r="M141" i="3"/>
  <c r="M133" i="3"/>
  <c r="M125" i="3"/>
  <c r="M84" i="3"/>
  <c r="M10" i="3"/>
  <c r="M210" i="3"/>
  <c r="M202" i="3"/>
  <c r="M194" i="3"/>
  <c r="L257" i="3"/>
  <c r="L249" i="3"/>
  <c r="L241" i="3"/>
  <c r="L27" i="3"/>
  <c r="K356" i="3"/>
  <c r="M33" i="3"/>
  <c r="M351" i="3"/>
  <c r="M25" i="3"/>
  <c r="M199" i="3"/>
  <c r="M144" i="3"/>
  <c r="M128" i="3"/>
  <c r="M79" i="3"/>
  <c r="M65" i="3"/>
  <c r="K354" i="3"/>
  <c r="K332" i="3"/>
  <c r="K324" i="3"/>
  <c r="K210" i="3"/>
  <c r="K202" i="3"/>
  <c r="K194" i="3"/>
  <c r="K187" i="3"/>
  <c r="K179" i="3"/>
  <c r="K171" i="3"/>
  <c r="K163" i="3"/>
  <c r="K155" i="3"/>
  <c r="K147" i="3"/>
  <c r="K139" i="3"/>
  <c r="K131" i="3"/>
  <c r="K123" i="3"/>
  <c r="K82" i="3"/>
  <c r="L352" i="3"/>
  <c r="L344" i="3"/>
  <c r="L208" i="3"/>
  <c r="L200" i="3"/>
  <c r="L192" i="3"/>
  <c r="L80" i="3"/>
  <c r="M358" i="3"/>
  <c r="M350" i="3"/>
  <c r="M342" i="3"/>
  <c r="M335" i="3"/>
  <c r="M183" i="3"/>
  <c r="M175" i="3"/>
  <c r="M167" i="3"/>
  <c r="M159" i="3"/>
  <c r="M151" i="3"/>
  <c r="M143" i="3"/>
  <c r="M135" i="3"/>
  <c r="M127" i="3"/>
  <c r="M121" i="3"/>
  <c r="M16" i="3"/>
  <c r="M72" i="3"/>
  <c r="M64" i="3"/>
  <c r="M57" i="3"/>
  <c r="M353" i="3"/>
  <c r="K196" i="3"/>
  <c r="K27" i="3"/>
  <c r="M343" i="3"/>
  <c r="M207" i="3"/>
  <c r="M191" i="3"/>
  <c r="M136" i="3"/>
  <c r="M17" i="3"/>
  <c r="M73" i="3"/>
  <c r="K346" i="3"/>
  <c r="K26" i="3"/>
  <c r="L33" i="3"/>
  <c r="L336" i="3"/>
  <c r="L25" i="3"/>
  <c r="L184" i="3"/>
  <c r="L176" i="3"/>
  <c r="L168" i="3"/>
  <c r="L160" i="3"/>
  <c r="L152" i="3"/>
  <c r="L144" i="3"/>
  <c r="L136" i="3"/>
  <c r="L128" i="3"/>
  <c r="L17" i="3"/>
  <c r="M357" i="3"/>
  <c r="M349" i="3"/>
  <c r="M341" i="3"/>
  <c r="M334" i="3"/>
  <c r="M327" i="3"/>
  <c r="M319" i="3"/>
  <c r="M24" i="3"/>
  <c r="M345" i="3"/>
  <c r="K340" i="3"/>
  <c r="K330" i="3"/>
  <c r="K307" i="3"/>
  <c r="K292" i="3"/>
  <c r="K285" i="3"/>
  <c r="K239" i="3"/>
  <c r="K223" i="3"/>
  <c r="K20" i="3"/>
  <c r="K109" i="3"/>
  <c r="K19" i="3"/>
  <c r="K87" i="3"/>
  <c r="K74" i="3"/>
  <c r="K66" i="3"/>
  <c r="K58" i="3"/>
  <c r="K52" i="3"/>
  <c r="K11" i="3"/>
  <c r="L328" i="3"/>
  <c r="L320" i="3"/>
  <c r="L313" i="3"/>
  <c r="L305" i="3"/>
  <c r="L298" i="3"/>
  <c r="L290" i="3"/>
  <c r="L283" i="3"/>
  <c r="L275" i="3"/>
  <c r="L237" i="3"/>
  <c r="L229" i="3"/>
  <c r="L121" i="3"/>
  <c r="L18" i="3"/>
  <c r="L16" i="3"/>
  <c r="L72" i="3"/>
  <c r="L64" i="3"/>
  <c r="L57" i="3"/>
  <c r="L50" i="3"/>
  <c r="M326" i="3"/>
  <c r="M30" i="3"/>
  <c r="Y3" i="3" s="1"/>
  <c r="M311" i="3"/>
  <c r="M303" i="3"/>
  <c r="M296" i="3"/>
  <c r="M289" i="3"/>
  <c r="M281" i="3"/>
  <c r="M273" i="3"/>
  <c r="M119" i="3"/>
  <c r="M113" i="3"/>
  <c r="M105" i="3"/>
  <c r="M15" i="3"/>
  <c r="M70" i="3"/>
  <c r="M62" i="3"/>
  <c r="M55" i="3"/>
  <c r="M48" i="3"/>
  <c r="K348" i="3"/>
  <c r="K204" i="3"/>
  <c r="K322" i="3"/>
  <c r="K315" i="3"/>
  <c r="K300" i="3"/>
  <c r="K277" i="3"/>
  <c r="K314" i="3"/>
  <c r="K306" i="3"/>
  <c r="K299" i="3"/>
  <c r="K291" i="3"/>
  <c r="K284" i="3"/>
  <c r="K276" i="3"/>
  <c r="K269" i="3"/>
  <c r="K261" i="3"/>
  <c r="K253" i="3"/>
  <c r="K245" i="3"/>
  <c r="K230" i="3"/>
  <c r="K116" i="3"/>
  <c r="K108" i="3"/>
  <c r="K101" i="3"/>
  <c r="K51" i="3"/>
  <c r="K45" i="3"/>
  <c r="K38" i="3"/>
  <c r="L312" i="3"/>
  <c r="L304" i="3"/>
  <c r="L297" i="3"/>
  <c r="L282" i="3"/>
  <c r="L274" i="3"/>
  <c r="L267" i="3"/>
  <c r="L259" i="3"/>
  <c r="L251" i="3"/>
  <c r="L243" i="3"/>
  <c r="L24" i="3"/>
  <c r="L120" i="3"/>
  <c r="L114" i="3"/>
  <c r="L106" i="3"/>
  <c r="L85" i="3"/>
  <c r="L56" i="3"/>
  <c r="L49" i="3"/>
  <c r="L43" i="3"/>
  <c r="M355" i="3"/>
  <c r="M347" i="3"/>
  <c r="M339" i="3"/>
  <c r="M31" i="3"/>
  <c r="M318" i="3"/>
  <c r="M310" i="3"/>
  <c r="M302" i="3"/>
  <c r="M295" i="3"/>
  <c r="M288" i="3"/>
  <c r="M280" i="3"/>
  <c r="M265" i="3"/>
  <c r="M257" i="3"/>
  <c r="M249" i="3"/>
  <c r="M241" i="3"/>
  <c r="M112" i="3"/>
  <c r="M104" i="3"/>
  <c r="M47" i="3"/>
  <c r="K95" i="3"/>
  <c r="L349" i="3"/>
  <c r="K335" i="3"/>
  <c r="K214" i="3"/>
  <c r="K76" i="3"/>
  <c r="K68" i="3"/>
  <c r="K60" i="3"/>
  <c r="K13" i="3"/>
  <c r="K46" i="3"/>
  <c r="K41" i="3"/>
  <c r="L337" i="3"/>
  <c r="K231" i="3"/>
  <c r="K207" i="3"/>
  <c r="K206" i="3"/>
  <c r="K317" i="3"/>
  <c r="K309" i="3"/>
  <c r="K301" i="3"/>
  <c r="K294" i="3"/>
  <c r="K287" i="3"/>
  <c r="K279" i="3"/>
  <c r="K233" i="3"/>
  <c r="K225" i="3"/>
  <c r="K217" i="3"/>
  <c r="K118" i="3"/>
  <c r="K111" i="3"/>
  <c r="K103" i="3"/>
  <c r="K97" i="3"/>
  <c r="K89" i="3"/>
  <c r="K353" i="3"/>
  <c r="K345" i="3"/>
  <c r="K338" i="3"/>
  <c r="K331" i="3"/>
  <c r="K323" i="3"/>
  <c r="K316" i="3"/>
  <c r="K308" i="3"/>
  <c r="K29" i="3"/>
  <c r="K293" i="3"/>
  <c r="K286" i="3"/>
  <c r="K278" i="3"/>
  <c r="K271" i="3"/>
  <c r="K263" i="3"/>
  <c r="K255" i="3"/>
  <c r="K247" i="3"/>
  <c r="K232" i="3"/>
  <c r="K224" i="3"/>
  <c r="K216" i="3"/>
  <c r="K209" i="3"/>
  <c r="K201" i="3"/>
  <c r="K193" i="3"/>
  <c r="K186" i="3"/>
  <c r="K178" i="3"/>
  <c r="K215" i="3"/>
  <c r="L221" i="3"/>
  <c r="L236" i="3"/>
  <c r="L228" i="3"/>
  <c r="L220" i="3"/>
  <c r="L213" i="3"/>
  <c r="L205" i="3"/>
  <c r="L197" i="3"/>
  <c r="L100" i="3"/>
  <c r="L92" i="3"/>
  <c r="L36" i="3"/>
  <c r="K191" i="3"/>
  <c r="K94" i="3"/>
  <c r="L341" i="3"/>
  <c r="K342" i="3"/>
  <c r="K237" i="3"/>
  <c r="K190" i="3"/>
  <c r="K183" i="3"/>
  <c r="K175" i="3"/>
  <c r="K167" i="3"/>
  <c r="K159" i="3"/>
  <c r="K151" i="3"/>
  <c r="K143" i="3"/>
  <c r="K135" i="3"/>
  <c r="K127" i="3"/>
  <c r="K93" i="3"/>
  <c r="K86" i="3"/>
  <c r="K37" i="3"/>
  <c r="L356" i="3"/>
  <c r="L348" i="3"/>
  <c r="L340" i="3"/>
  <c r="L333" i="3"/>
  <c r="L235" i="3"/>
  <c r="L227" i="3"/>
  <c r="L219" i="3"/>
  <c r="L212" i="3"/>
  <c r="L204" i="3"/>
  <c r="L196" i="3"/>
  <c r="L189" i="3"/>
  <c r="L181" i="3"/>
  <c r="L173" i="3"/>
  <c r="L165" i="3"/>
  <c r="L157" i="3"/>
  <c r="L99" i="3"/>
  <c r="L91" i="3"/>
  <c r="L84" i="3"/>
  <c r="K198" i="3"/>
  <c r="K357" i="3"/>
  <c r="K349" i="3"/>
  <c r="K341" i="3"/>
  <c r="K334" i="3"/>
  <c r="K327" i="3"/>
  <c r="K319" i="3"/>
  <c r="K297" i="3"/>
  <c r="K267" i="3"/>
  <c r="K259" i="3"/>
  <c r="K251" i="3"/>
  <c r="K243" i="3"/>
  <c r="K236" i="3"/>
  <c r="K228" i="3"/>
  <c r="K220" i="3"/>
  <c r="K213" i="3"/>
  <c r="K205" i="3"/>
  <c r="K197" i="3"/>
  <c r="K182" i="3"/>
  <c r="K174" i="3"/>
  <c r="K166" i="3"/>
  <c r="K158" i="3"/>
  <c r="K150" i="3"/>
  <c r="K142" i="3"/>
  <c r="K134" i="3"/>
  <c r="K126" i="3"/>
  <c r="K100" i="3"/>
  <c r="K92" i="3"/>
  <c r="K85" i="3"/>
  <c r="K78" i="3"/>
  <c r="K71" i="3"/>
  <c r="K63" i="3"/>
  <c r="K43" i="3"/>
  <c r="K36" i="3"/>
  <c r="L355" i="3"/>
  <c r="L347" i="3"/>
  <c r="L339" i="3"/>
  <c r="L325" i="3"/>
  <c r="K39" i="3"/>
  <c r="K343" i="3"/>
  <c r="K199" i="3"/>
  <c r="K350" i="3"/>
  <c r="K333" i="3"/>
  <c r="K326" i="3"/>
  <c r="K30" i="3"/>
  <c r="K311" i="3"/>
  <c r="K303" i="3"/>
  <c r="K289" i="3"/>
  <c r="K281" i="3"/>
  <c r="K273" i="3"/>
  <c r="K235" i="3"/>
  <c r="K227" i="3"/>
  <c r="K219" i="3"/>
  <c r="K212" i="3"/>
  <c r="K189" i="3"/>
  <c r="K181" i="3"/>
  <c r="K173" i="3"/>
  <c r="K165" i="3"/>
  <c r="K157" i="3"/>
  <c r="K149" i="3"/>
  <c r="K141" i="3"/>
  <c r="K133" i="3"/>
  <c r="K125" i="3"/>
  <c r="K119" i="3"/>
  <c r="K113" i="3"/>
  <c r="K105" i="3"/>
  <c r="K99" i="3"/>
  <c r="K91" i="3"/>
  <c r="K84" i="3"/>
  <c r="K15" i="3"/>
  <c r="K70" i="3"/>
  <c r="K62" i="3"/>
  <c r="K55" i="3"/>
  <c r="K35" i="3"/>
  <c r="L354" i="3"/>
  <c r="L346" i="3"/>
  <c r="L332" i="3"/>
  <c r="L324" i="3"/>
  <c r="L317" i="3"/>
  <c r="L309" i="3"/>
  <c r="L301" i="3"/>
  <c r="K351" i="3"/>
  <c r="K238" i="3"/>
  <c r="K222" i="3"/>
  <c r="K79" i="3"/>
  <c r="L357" i="3"/>
  <c r="K358" i="3"/>
  <c r="K355" i="3"/>
  <c r="K347" i="3"/>
  <c r="K339" i="3"/>
  <c r="K31" i="3"/>
  <c r="K325" i="3"/>
  <c r="K318" i="3"/>
  <c r="K310" i="3"/>
  <c r="K302" i="3"/>
  <c r="K295" i="3"/>
  <c r="K265" i="3"/>
  <c r="K257" i="3"/>
  <c r="K249" i="3"/>
  <c r="K241" i="3"/>
  <c r="K234" i="3"/>
  <c r="K226" i="3"/>
  <c r="K218" i="3"/>
  <c r="K211" i="3"/>
  <c r="K203" i="3"/>
  <c r="K195" i="3"/>
  <c r="K188" i="3"/>
  <c r="K180" i="3"/>
  <c r="K172" i="3"/>
  <c r="K164" i="3"/>
  <c r="K156" i="3"/>
  <c r="K148" i="3"/>
  <c r="K140" i="3"/>
  <c r="K132" i="3"/>
  <c r="K124" i="3"/>
  <c r="K21" i="3"/>
  <c r="L330" i="3"/>
  <c r="L322" i="3"/>
  <c r="L315" i="3"/>
  <c r="L307" i="3"/>
  <c r="L300" i="3"/>
  <c r="L292" i="3"/>
  <c r="L285" i="3"/>
  <c r="L277" i="3"/>
  <c r="L239" i="3"/>
  <c r="L231" i="3"/>
  <c r="L223" i="3"/>
  <c r="L215" i="3"/>
  <c r="L185" i="3"/>
  <c r="L177" i="3"/>
  <c r="L169" i="3"/>
  <c r="L161" i="3"/>
  <c r="L153" i="3"/>
  <c r="L145" i="3"/>
  <c r="L137" i="3"/>
  <c r="L129" i="3"/>
  <c r="L20" i="3"/>
  <c r="L109" i="3"/>
  <c r="L19" i="3"/>
  <c r="L95" i="3"/>
  <c r="L87" i="3"/>
  <c r="L74" i="3"/>
  <c r="L66" i="3"/>
  <c r="L58" i="3"/>
  <c r="L52" i="3"/>
  <c r="L11" i="3"/>
  <c r="L39" i="3"/>
  <c r="M328" i="3"/>
  <c r="M320" i="3"/>
  <c r="M313" i="3"/>
  <c r="M305" i="3"/>
  <c r="M298" i="3"/>
  <c r="M290" i="3"/>
  <c r="M283" i="3"/>
  <c r="M275" i="3"/>
  <c r="M237" i="3"/>
  <c r="M229" i="3"/>
  <c r="M221" i="3"/>
  <c r="M214" i="3"/>
  <c r="M206" i="3"/>
  <c r="M198" i="3"/>
  <c r="M190" i="3"/>
  <c r="M115" i="3"/>
  <c r="M107" i="3"/>
  <c r="M93" i="3"/>
  <c r="M86" i="3"/>
  <c r="M50" i="3"/>
  <c r="M44" i="3"/>
  <c r="M37" i="3"/>
  <c r="K170" i="3"/>
  <c r="K162" i="3"/>
  <c r="K154" i="3"/>
  <c r="K146" i="3"/>
  <c r="K138" i="3"/>
  <c r="K130" i="3"/>
  <c r="K122" i="3"/>
  <c r="K117" i="3"/>
  <c r="K110" i="3"/>
  <c r="K102" i="3"/>
  <c r="K96" i="3"/>
  <c r="K88" i="3"/>
  <c r="K81" i="3"/>
  <c r="K75" i="3"/>
  <c r="K67" i="3"/>
  <c r="K59" i="3"/>
  <c r="K53" i="3"/>
  <c r="K12" i="3"/>
  <c r="K40" i="3"/>
  <c r="L351" i="3"/>
  <c r="L343" i="3"/>
  <c r="L329" i="3"/>
  <c r="L321" i="3"/>
  <c r="L314" i="3"/>
  <c r="L306" i="3"/>
  <c r="L299" i="3"/>
  <c r="L291" i="3"/>
  <c r="L284" i="3"/>
  <c r="L276" i="3"/>
  <c r="L269" i="3"/>
  <c r="L261" i="3"/>
  <c r="L253" i="3"/>
  <c r="L245" i="3"/>
  <c r="L238" i="3"/>
  <c r="L230" i="3"/>
  <c r="L222" i="3"/>
  <c r="L207" i="3"/>
  <c r="L199" i="3"/>
  <c r="L191" i="3"/>
  <c r="L116" i="3"/>
  <c r="L108" i="3"/>
  <c r="L101" i="3"/>
  <c r="L94" i="3"/>
  <c r="L79" i="3"/>
  <c r="L73" i="3"/>
  <c r="L65" i="3"/>
  <c r="L51" i="3"/>
  <c r="L45" i="3"/>
  <c r="L38" i="3"/>
  <c r="M312" i="3"/>
  <c r="M304" i="3"/>
  <c r="M297" i="3"/>
  <c r="M282" i="3"/>
  <c r="M274" i="3"/>
  <c r="M267" i="3"/>
  <c r="M259" i="3"/>
  <c r="M251" i="3"/>
  <c r="M243" i="3"/>
  <c r="M236" i="3"/>
  <c r="M228" i="3"/>
  <c r="M220" i="3"/>
  <c r="M213" i="3"/>
  <c r="M205" i="3"/>
  <c r="M197" i="3"/>
  <c r="M182" i="3"/>
  <c r="M174" i="3"/>
  <c r="M166" i="3"/>
  <c r="M158" i="3"/>
  <c r="M150" i="3"/>
  <c r="M142" i="3"/>
  <c r="M134" i="3"/>
  <c r="M126" i="3"/>
  <c r="M120" i="3"/>
  <c r="M114" i="3"/>
  <c r="M106" i="3"/>
  <c r="M100" i="3"/>
  <c r="M92" i="3"/>
  <c r="M85" i="3"/>
  <c r="M78" i="3"/>
  <c r="M71" i="3"/>
  <c r="M63" i="3"/>
  <c r="M56" i="3"/>
  <c r="M49" i="3"/>
  <c r="M43" i="3"/>
  <c r="M36" i="3"/>
  <c r="L115" i="3"/>
  <c r="L107" i="3"/>
  <c r="L93" i="3"/>
  <c r="L44" i="3"/>
  <c r="L37" i="3"/>
  <c r="M266" i="3"/>
  <c r="M258" i="3"/>
  <c r="M250" i="3"/>
  <c r="M242" i="3"/>
  <c r="M235" i="3"/>
  <c r="M227" i="3"/>
  <c r="M219" i="3"/>
  <c r="M99" i="3"/>
  <c r="M91" i="3"/>
  <c r="M35" i="3"/>
  <c r="M234" i="3"/>
  <c r="M226" i="3"/>
  <c r="M218" i="3"/>
  <c r="M211" i="3"/>
  <c r="M203" i="3"/>
  <c r="M195" i="3"/>
  <c r="M98" i="3"/>
  <c r="M90" i="3"/>
  <c r="M83" i="3"/>
  <c r="M77" i="3"/>
  <c r="M69" i="3"/>
  <c r="M61" i="3"/>
  <c r="M54" i="3"/>
  <c r="M42" i="3"/>
  <c r="M34" i="3"/>
  <c r="L10" i="3"/>
  <c r="L35" i="3"/>
  <c r="M354" i="3"/>
  <c r="M346" i="3"/>
  <c r="M272" i="3"/>
  <c r="M264" i="3"/>
  <c r="M256" i="3"/>
  <c r="M248" i="3"/>
  <c r="M240" i="3"/>
  <c r="M233" i="3"/>
  <c r="M225" i="3"/>
  <c r="M217" i="3"/>
  <c r="M187" i="3"/>
  <c r="M179" i="3"/>
  <c r="M171" i="3"/>
  <c r="M163" i="3"/>
  <c r="M155" i="3"/>
  <c r="M147" i="3"/>
  <c r="M139" i="3"/>
  <c r="M131" i="3"/>
  <c r="M123" i="3"/>
  <c r="M118" i="3"/>
  <c r="M97" i="3"/>
  <c r="M89" i="3"/>
  <c r="M82" i="3"/>
  <c r="M76" i="3"/>
  <c r="M68" i="3"/>
  <c r="M60" i="3"/>
  <c r="M46" i="3"/>
  <c r="M41" i="3"/>
  <c r="L234" i="3"/>
  <c r="L226" i="3"/>
  <c r="L218" i="3"/>
  <c r="L211" i="3"/>
  <c r="L203" i="3"/>
  <c r="L195" i="3"/>
  <c r="L188" i="3"/>
  <c r="L180" i="3"/>
  <c r="L172" i="3"/>
  <c r="L164" i="3"/>
  <c r="L156" i="3"/>
  <c r="L148" i="3"/>
  <c r="L140" i="3"/>
  <c r="L132" i="3"/>
  <c r="L124" i="3"/>
  <c r="L21" i="3"/>
  <c r="L98" i="3"/>
  <c r="L90" i="3"/>
  <c r="L83" i="3"/>
  <c r="L77" i="3"/>
  <c r="L69" i="3"/>
  <c r="L61" i="3"/>
  <c r="L42" i="3"/>
  <c r="L34" i="3"/>
  <c r="M338" i="3"/>
  <c r="M331" i="3"/>
  <c r="M323" i="3"/>
  <c r="M232" i="3"/>
  <c r="M224" i="3"/>
  <c r="M216" i="3"/>
  <c r="M209" i="3"/>
  <c r="M201" i="3"/>
  <c r="M193" i="3"/>
  <c r="M186" i="3"/>
  <c r="M178" i="3"/>
  <c r="M170" i="3"/>
  <c r="M162" i="3"/>
  <c r="M154" i="3"/>
  <c r="M146" i="3"/>
  <c r="M138" i="3"/>
  <c r="M130" i="3"/>
  <c r="M122" i="3"/>
  <c r="M117" i="3"/>
  <c r="M110" i="3"/>
  <c r="M102" i="3"/>
  <c r="M96" i="3"/>
  <c r="M88" i="3"/>
  <c r="M81" i="3"/>
  <c r="M75" i="3"/>
  <c r="M67" i="3"/>
  <c r="M59" i="3"/>
  <c r="M53" i="3"/>
  <c r="M40" i="3"/>
  <c r="L233" i="3"/>
  <c r="L225" i="3"/>
  <c r="L217" i="3"/>
  <c r="L210" i="3"/>
  <c r="L202" i="3"/>
  <c r="L194" i="3"/>
  <c r="L187" i="3"/>
  <c r="L179" i="3"/>
  <c r="L171" i="3"/>
  <c r="L163" i="3"/>
  <c r="L155" i="3"/>
  <c r="L147" i="3"/>
  <c r="L139" i="3"/>
  <c r="L131" i="3"/>
  <c r="L123" i="3"/>
  <c r="L97" i="3"/>
  <c r="L89" i="3"/>
  <c r="L82" i="3"/>
  <c r="L76" i="3"/>
  <c r="L68" i="3"/>
  <c r="L60" i="3"/>
  <c r="L13" i="3"/>
  <c r="L46" i="3"/>
  <c r="L41" i="3"/>
  <c r="M352" i="3"/>
  <c r="M344" i="3"/>
  <c r="M337" i="3"/>
  <c r="M330" i="3"/>
  <c r="M322" i="3"/>
  <c r="M315" i="3"/>
  <c r="M307" i="3"/>
  <c r="M300" i="3"/>
  <c r="M292" i="3"/>
  <c r="M285" i="3"/>
  <c r="M277" i="3"/>
  <c r="M270" i="3"/>
  <c r="M262" i="3"/>
  <c r="M254" i="3"/>
  <c r="M246" i="3"/>
  <c r="M239" i="3"/>
  <c r="M231" i="3"/>
  <c r="M223" i="3"/>
  <c r="M215" i="3"/>
  <c r="M208" i="3"/>
  <c r="M200" i="3"/>
  <c r="M192" i="3"/>
  <c r="M185" i="3"/>
  <c r="M177" i="3"/>
  <c r="M169" i="3"/>
  <c r="M161" i="3"/>
  <c r="M153" i="3"/>
  <c r="M145" i="3"/>
  <c r="M137" i="3"/>
  <c r="M129" i="3"/>
  <c r="M109" i="3"/>
  <c r="M19" i="3"/>
  <c r="M95" i="3"/>
  <c r="M87" i="3"/>
  <c r="M80" i="3"/>
  <c r="M74" i="3"/>
  <c r="M66" i="3"/>
  <c r="M58" i="3"/>
  <c r="M52" i="3"/>
  <c r="M11" i="3"/>
  <c r="M39" i="3"/>
  <c r="K98" i="3"/>
  <c r="K90" i="3"/>
  <c r="K83" i="3"/>
  <c r="K77" i="3"/>
  <c r="K69" i="3"/>
  <c r="K61" i="3"/>
  <c r="K54" i="3"/>
  <c r="K47" i="3"/>
  <c r="K42" i="3"/>
  <c r="K34" i="3"/>
  <c r="L353" i="3"/>
  <c r="L345" i="3"/>
  <c r="L338" i="3"/>
  <c r="L331" i="3"/>
  <c r="L323" i="3"/>
  <c r="L316" i="3"/>
  <c r="L308" i="3"/>
  <c r="L29" i="3"/>
  <c r="L293" i="3"/>
  <c r="L286" i="3"/>
  <c r="L278" i="3"/>
  <c r="L271" i="3"/>
  <c r="L263" i="3"/>
  <c r="L255" i="3"/>
  <c r="L247" i="3"/>
  <c r="L26" i="3"/>
  <c r="L232" i="3"/>
  <c r="L224" i="3"/>
  <c r="L216" i="3"/>
  <c r="L209" i="3"/>
  <c r="L201" i="3"/>
  <c r="L193" i="3"/>
  <c r="L186" i="3"/>
  <c r="L178" i="3"/>
  <c r="L170" i="3"/>
  <c r="L162" i="3"/>
  <c r="L154" i="3"/>
  <c r="L146" i="3"/>
  <c r="L138" i="3"/>
  <c r="L130" i="3"/>
  <c r="L122" i="3"/>
  <c r="L117" i="3"/>
  <c r="L110" i="3"/>
  <c r="L102" i="3"/>
  <c r="L96" i="3"/>
  <c r="L88" i="3"/>
  <c r="L81" i="3"/>
  <c r="L75" i="3"/>
  <c r="L67" i="3"/>
  <c r="L59" i="3"/>
  <c r="L53" i="3"/>
  <c r="L12" i="3"/>
  <c r="L40" i="3"/>
  <c r="M336" i="3"/>
  <c r="M329" i="3"/>
  <c r="M321" i="3"/>
  <c r="M314" i="3"/>
  <c r="M306" i="3"/>
  <c r="M299" i="3"/>
  <c r="M291" i="3"/>
  <c r="M269" i="3"/>
  <c r="M261" i="3"/>
  <c r="M253" i="3"/>
  <c r="M245" i="3"/>
  <c r="M238" i="3"/>
  <c r="M230" i="3"/>
  <c r="M222" i="3"/>
  <c r="M184" i="3"/>
  <c r="M176" i="3"/>
  <c r="M168" i="3"/>
  <c r="M160" i="3"/>
  <c r="M152" i="3"/>
  <c r="M101" i="3"/>
  <c r="M94" i="3"/>
  <c r="M51" i="3"/>
  <c r="M38" i="3"/>
  <c r="V3" i="3"/>
  <c r="Z3" i="3"/>
  <c r="R3" i="3"/>
  <c r="K231" i="1"/>
  <c r="K309" i="1"/>
  <c r="I316" i="2"/>
  <c r="K352" i="1"/>
  <c r="K320" i="1"/>
  <c r="I187" i="1"/>
  <c r="K201" i="1"/>
  <c r="J16" i="2"/>
  <c r="K39" i="1"/>
  <c r="K199" i="1"/>
  <c r="I299" i="1"/>
  <c r="K13" i="1"/>
  <c r="G312" i="2"/>
  <c r="G231" i="2"/>
  <c r="H351" i="2"/>
  <c r="J327" i="2"/>
  <c r="J122" i="2"/>
  <c r="I197" i="1"/>
  <c r="J78" i="2"/>
  <c r="H236" i="2"/>
  <c r="H346" i="2"/>
  <c r="K93" i="1"/>
  <c r="H211" i="2"/>
  <c r="J208" i="1"/>
  <c r="G168" i="2"/>
  <c r="K12" i="1"/>
  <c r="I361" i="2"/>
  <c r="K257" i="1"/>
  <c r="I35" i="2"/>
  <c r="K154" i="1"/>
  <c r="J314" i="1"/>
  <c r="J335" i="1"/>
  <c r="J9" i="2"/>
  <c r="H288" i="2"/>
  <c r="G351" i="2"/>
  <c r="K130" i="1"/>
  <c r="H273" i="2"/>
  <c r="G345" i="2"/>
  <c r="K193" i="1"/>
  <c r="H364" i="2"/>
  <c r="H312" i="2"/>
  <c r="J327" i="1"/>
  <c r="G219" i="2"/>
  <c r="H167" i="2"/>
  <c r="I44" i="1"/>
  <c r="H131" i="2"/>
  <c r="I141" i="1"/>
  <c r="J335" i="2"/>
  <c r="I274" i="1"/>
  <c r="J363" i="2"/>
  <c r="J196" i="1"/>
  <c r="J233" i="1"/>
  <c r="K77" i="1"/>
  <c r="J215" i="1"/>
  <c r="H95" i="2"/>
  <c r="J144" i="1"/>
  <c r="I342" i="2"/>
  <c r="G94" i="2"/>
  <c r="K20" i="1"/>
  <c r="J39" i="1"/>
  <c r="J267" i="1"/>
  <c r="J19" i="2"/>
  <c r="J358" i="2"/>
  <c r="I144" i="1"/>
  <c r="I12" i="1"/>
  <c r="I41" i="2"/>
  <c r="G102" i="2"/>
  <c r="K208" i="1"/>
  <c r="H82" i="2"/>
  <c r="I93" i="2"/>
  <c r="H76" i="2"/>
  <c r="I89" i="2"/>
  <c r="H251" i="2"/>
  <c r="J276" i="2"/>
  <c r="I290" i="1"/>
  <c r="J239" i="1"/>
  <c r="I51" i="2"/>
  <c r="J271" i="2"/>
  <c r="I144" i="2"/>
  <c r="J204" i="2"/>
  <c r="I334" i="2"/>
  <c r="I126" i="1"/>
  <c r="J96" i="2"/>
  <c r="J33" i="2"/>
  <c r="I124" i="1"/>
  <c r="G54" i="2"/>
  <c r="K366" i="1"/>
  <c r="H148" i="2"/>
  <c r="G154" i="2"/>
  <c r="I25" i="1"/>
  <c r="K299" i="1"/>
  <c r="J326" i="1"/>
  <c r="I121" i="1"/>
  <c r="J84" i="1"/>
  <c r="J322" i="2"/>
  <c r="G229" i="2"/>
  <c r="J17" i="1"/>
  <c r="K313" i="1"/>
  <c r="J162" i="2"/>
  <c r="J365" i="1"/>
  <c r="K254" i="1"/>
  <c r="K143" i="1"/>
  <c r="J128" i="1"/>
  <c r="K321" i="1"/>
  <c r="K140" i="1"/>
  <c r="I234" i="1"/>
  <c r="G167" i="2"/>
  <c r="H149" i="2"/>
  <c r="K202" i="1"/>
  <c r="I221" i="1"/>
  <c r="J183" i="1"/>
  <c r="G72" i="2"/>
  <c r="J235" i="1"/>
  <c r="I272" i="1"/>
  <c r="I172" i="2"/>
  <c r="G114" i="2"/>
  <c r="K279" i="1"/>
  <c r="I246" i="2"/>
  <c r="G135" i="2"/>
  <c r="H252" i="2"/>
  <c r="G70" i="2"/>
  <c r="I332" i="2"/>
  <c r="H109" i="2"/>
  <c r="I202" i="1"/>
  <c r="J262" i="2"/>
  <c r="J106" i="1"/>
  <c r="K89" i="1"/>
  <c r="J157" i="1"/>
  <c r="J88" i="2"/>
  <c r="K218" i="1"/>
  <c r="G111" i="2"/>
  <c r="J90" i="1"/>
  <c r="J148" i="2"/>
  <c r="H227" i="2"/>
  <c r="K280" i="1"/>
  <c r="H100" i="2"/>
  <c r="K334" i="1"/>
  <c r="I319" i="1"/>
  <c r="J308" i="1"/>
  <c r="I117" i="2"/>
  <c r="I62" i="1"/>
  <c r="I140" i="1"/>
  <c r="I43" i="2"/>
  <c r="I309" i="2"/>
  <c r="K16" i="1"/>
  <c r="I98" i="2"/>
  <c r="I107" i="1"/>
  <c r="I206" i="2"/>
  <c r="I235" i="1"/>
  <c r="I211" i="2"/>
  <c r="J36" i="2"/>
  <c r="G104" i="2"/>
  <c r="I104" i="1"/>
  <c r="H27" i="2"/>
  <c r="G50" i="2"/>
  <c r="P124" i="1"/>
  <c r="Q206" i="1"/>
  <c r="P115" i="1"/>
  <c r="P14" i="1"/>
  <c r="P75" i="1"/>
  <c r="S90" i="1"/>
  <c r="S324" i="1"/>
  <c r="I58" i="2"/>
  <c r="K308" i="1"/>
  <c r="J232" i="1"/>
  <c r="I149" i="1"/>
  <c r="K286" i="1"/>
  <c r="H287" i="2"/>
  <c r="J131" i="1"/>
  <c r="K30" i="1"/>
  <c r="K141" i="1"/>
  <c r="K40" i="1"/>
  <c r="J271" i="1"/>
  <c r="J83" i="1"/>
  <c r="H278" i="2"/>
  <c r="K229" i="1"/>
  <c r="K190" i="1"/>
  <c r="I59" i="2"/>
  <c r="I129" i="1"/>
  <c r="K268" i="1"/>
  <c r="I186" i="2"/>
  <c r="J111" i="1"/>
  <c r="I340" i="1"/>
  <c r="J22" i="1"/>
  <c r="I128" i="2"/>
  <c r="J245" i="2"/>
  <c r="G233" i="2"/>
  <c r="K62" i="1"/>
  <c r="I317" i="1"/>
  <c r="J346" i="1"/>
  <c r="H314" i="2"/>
  <c r="H209" i="2"/>
  <c r="I27" i="2"/>
  <c r="J227" i="2"/>
  <c r="G354" i="2"/>
  <c r="I181" i="2"/>
  <c r="J284" i="2"/>
  <c r="I228" i="1"/>
  <c r="J179" i="1"/>
  <c r="J285" i="1"/>
  <c r="I225" i="1"/>
  <c r="H9" i="2"/>
  <c r="I33" i="2"/>
  <c r="J219" i="2"/>
  <c r="G90" i="2"/>
  <c r="H120" i="2"/>
  <c r="J211" i="1"/>
  <c r="I338" i="1"/>
  <c r="K44" i="1"/>
  <c r="H188" i="2"/>
  <c r="J336" i="2"/>
  <c r="I221" i="2"/>
  <c r="J67" i="1"/>
  <c r="K363" i="1"/>
  <c r="H354" i="2"/>
  <c r="I147" i="2"/>
  <c r="G320" i="2"/>
  <c r="I96" i="2"/>
  <c r="J269" i="1"/>
  <c r="K225" i="1"/>
  <c r="H235" i="2"/>
  <c r="J21" i="2"/>
  <c r="G333" i="2"/>
  <c r="Q227" i="1"/>
  <c r="P334" i="1"/>
  <c r="S202" i="1"/>
  <c r="R237" i="1"/>
  <c r="Q177" i="1"/>
  <c r="S76" i="1"/>
  <c r="S340" i="1"/>
  <c r="S240" i="1"/>
  <c r="J217" i="1"/>
  <c r="K360" i="1"/>
  <c r="K75" i="1"/>
  <c r="I65" i="2"/>
  <c r="J66" i="1"/>
  <c r="J315" i="1"/>
  <c r="K270" i="1"/>
  <c r="J109" i="1"/>
  <c r="K252" i="1"/>
  <c r="H13" i="2"/>
  <c r="G59" i="2"/>
  <c r="I51" i="1"/>
  <c r="J323" i="2"/>
  <c r="J338" i="1"/>
  <c r="J73" i="1"/>
  <c r="I254" i="1"/>
  <c r="K269" i="1"/>
  <c r="J81" i="1"/>
  <c r="I130" i="1"/>
  <c r="H204" i="2"/>
  <c r="H324" i="2"/>
  <c r="I270" i="1"/>
  <c r="J303" i="1"/>
  <c r="J110" i="1"/>
  <c r="I174" i="2"/>
  <c r="J196" i="2"/>
  <c r="G187" i="2"/>
  <c r="I117" i="1"/>
  <c r="I18" i="1"/>
  <c r="I208" i="1"/>
  <c r="H309" i="2"/>
  <c r="H145" i="2"/>
  <c r="I303" i="2"/>
  <c r="J179" i="2"/>
  <c r="G298" i="2"/>
  <c r="J199" i="2"/>
  <c r="J10" i="1"/>
  <c r="J246" i="1"/>
  <c r="I253" i="1"/>
  <c r="H257" i="2"/>
  <c r="J176" i="2"/>
  <c r="G272" i="2"/>
  <c r="G130" i="2"/>
  <c r="J41" i="1"/>
  <c r="I85" i="1"/>
  <c r="H304" i="2"/>
  <c r="I311" i="2"/>
  <c r="G253" i="2"/>
  <c r="I28" i="2"/>
  <c r="J172" i="1"/>
  <c r="I148" i="1"/>
  <c r="H180" i="2"/>
  <c r="I204" i="2"/>
  <c r="J25" i="2"/>
  <c r="G256" i="2"/>
  <c r="G255" i="2"/>
  <c r="I157" i="1"/>
  <c r="H171" i="2"/>
  <c r="I66" i="2"/>
  <c r="G122" i="2"/>
  <c r="P112" i="1"/>
  <c r="Q284" i="1"/>
  <c r="P142" i="1"/>
  <c r="S95" i="1"/>
  <c r="R83" i="1"/>
  <c r="Q85" i="1"/>
  <c r="P193" i="1"/>
  <c r="S291" i="1"/>
  <c r="S93" i="1"/>
  <c r="G316" i="2"/>
  <c r="J121" i="1"/>
  <c r="I103" i="1"/>
  <c r="H323" i="2"/>
  <c r="G360" i="2"/>
  <c r="H89" i="2"/>
  <c r="I273" i="1"/>
  <c r="K260" i="1"/>
  <c r="H98" i="2"/>
  <c r="G13" i="2"/>
  <c r="K123" i="1"/>
  <c r="J266" i="1"/>
  <c r="K215" i="1"/>
  <c r="J126" i="1"/>
  <c r="I123" i="2"/>
  <c r="K297" i="1"/>
  <c r="J36" i="1"/>
  <c r="I10" i="1"/>
  <c r="H245" i="2"/>
  <c r="G355" i="2"/>
  <c r="J282" i="1"/>
  <c r="I43" i="1"/>
  <c r="I350" i="1"/>
  <c r="H143" i="2"/>
  <c r="H220" i="2"/>
  <c r="K325" i="1"/>
  <c r="I268" i="1"/>
  <c r="H355" i="2"/>
  <c r="J104" i="2"/>
  <c r="I176" i="2"/>
  <c r="J138" i="2"/>
  <c r="J71" i="2"/>
  <c r="G61" i="2"/>
  <c r="K26" i="1"/>
  <c r="J244" i="1"/>
  <c r="I231" i="1"/>
  <c r="K47" i="1"/>
  <c r="I297" i="1"/>
  <c r="I307" i="1"/>
  <c r="H327" i="2"/>
  <c r="H142" i="2"/>
  <c r="I328" i="2"/>
  <c r="I239" i="2"/>
  <c r="J17" i="2"/>
  <c r="J23" i="2"/>
  <c r="G347" i="2"/>
  <c r="H19" i="2"/>
  <c r="I180" i="2"/>
  <c r="J117" i="2"/>
  <c r="G172" i="2"/>
  <c r="J171" i="1"/>
  <c r="K163" i="1"/>
  <c r="J92" i="1"/>
  <c r="I335" i="1"/>
  <c r="H254" i="2"/>
  <c r="H11" i="2"/>
  <c r="I234" i="2"/>
  <c r="J231" i="2"/>
  <c r="G278" i="2"/>
  <c r="J257" i="2"/>
  <c r="J278" i="1"/>
  <c r="K311" i="1"/>
  <c r="I122" i="1"/>
  <c r="H189" i="2"/>
  <c r="I296" i="2"/>
  <c r="J132" i="2"/>
  <c r="H248" i="2"/>
  <c r="K151" i="1"/>
  <c r="K92" i="1"/>
  <c r="I322" i="1"/>
  <c r="I69" i="1"/>
  <c r="H37" i="2"/>
  <c r="I270" i="2"/>
  <c r="J366" i="2"/>
  <c r="G136" i="2"/>
  <c r="J364" i="2"/>
  <c r="J155" i="1"/>
  <c r="K277" i="1"/>
  <c r="H106" i="2"/>
  <c r="I9" i="2"/>
  <c r="G20" i="2"/>
  <c r="R246" i="1"/>
  <c r="R255" i="1"/>
  <c r="P209" i="1"/>
  <c r="S225" i="1"/>
  <c r="S309" i="1"/>
  <c r="P88" i="1"/>
  <c r="R281" i="1"/>
  <c r="R311" i="1"/>
  <c r="S145" i="1"/>
  <c r="I40" i="1"/>
  <c r="I260" i="1"/>
  <c r="H345" i="2"/>
  <c r="I74" i="1"/>
  <c r="J93" i="1"/>
  <c r="J356" i="1"/>
  <c r="I180" i="1"/>
  <c r="K224" i="1"/>
  <c r="H336" i="2"/>
  <c r="H342" i="2"/>
  <c r="J235" i="2"/>
  <c r="G188" i="2"/>
  <c r="I194" i="1"/>
  <c r="K51" i="1"/>
  <c r="H224" i="2"/>
  <c r="K19" i="1"/>
  <c r="K111" i="1"/>
  <c r="I13" i="1"/>
  <c r="I227" i="1"/>
  <c r="I173" i="1"/>
  <c r="I226" i="1"/>
  <c r="H216" i="2"/>
  <c r="I8" i="2"/>
  <c r="J125" i="2"/>
  <c r="J320" i="1"/>
  <c r="K226" i="1"/>
  <c r="K351" i="1"/>
  <c r="H341" i="2"/>
  <c r="K41" i="1"/>
  <c r="I137" i="1"/>
  <c r="J265" i="1"/>
  <c r="I192" i="1"/>
  <c r="J47" i="1"/>
  <c r="J182" i="1"/>
  <c r="J294" i="1"/>
  <c r="J95" i="1"/>
  <c r="H207" i="2"/>
  <c r="I314" i="2"/>
  <c r="G117" i="2"/>
  <c r="J137" i="1"/>
  <c r="J367" i="1"/>
  <c r="J205" i="1"/>
  <c r="J231" i="1"/>
  <c r="I300" i="1"/>
  <c r="K128" i="1"/>
  <c r="J158" i="1"/>
  <c r="H17" i="2"/>
  <c r="J330" i="2"/>
  <c r="G196" i="2"/>
  <c r="G48" i="2"/>
  <c r="I101" i="1"/>
  <c r="I315" i="1"/>
  <c r="K21" i="1"/>
  <c r="J143" i="1"/>
  <c r="K348" i="1"/>
  <c r="I179" i="1"/>
  <c r="H284" i="2"/>
  <c r="I133" i="2"/>
  <c r="K331" i="1"/>
  <c r="I209" i="2"/>
  <c r="H259" i="2"/>
  <c r="J118" i="1"/>
  <c r="K300" i="1"/>
  <c r="K171" i="1"/>
  <c r="K121" i="1"/>
  <c r="H40" i="2"/>
  <c r="I201" i="2"/>
  <c r="G295" i="2"/>
  <c r="I178" i="2"/>
  <c r="I48" i="2"/>
  <c r="J354" i="2"/>
  <c r="J105" i="2"/>
  <c r="G366" i="2"/>
  <c r="G175" i="2"/>
  <c r="G55" i="2"/>
  <c r="J43" i="1"/>
  <c r="I256" i="1"/>
  <c r="K135" i="1"/>
  <c r="I358" i="1"/>
  <c r="I343" i="1"/>
  <c r="J16" i="1"/>
  <c r="K339" i="1"/>
  <c r="J228" i="1"/>
  <c r="K173" i="1"/>
  <c r="K180" i="1"/>
  <c r="K17" i="1"/>
  <c r="I184" i="1"/>
  <c r="H263" i="2"/>
  <c r="H262" i="2"/>
  <c r="H78" i="2"/>
  <c r="I355" i="2"/>
  <c r="I255" i="2"/>
  <c r="I167" i="2"/>
  <c r="I175" i="2"/>
  <c r="J81" i="2"/>
  <c r="J100" i="2"/>
  <c r="J94" i="2"/>
  <c r="G362" i="2"/>
  <c r="G212" i="2"/>
  <c r="G288" i="2"/>
  <c r="I215" i="2"/>
  <c r="I52" i="2"/>
  <c r="J106" i="2"/>
  <c r="G28" i="2"/>
  <c r="G123" i="2"/>
  <c r="J15" i="1"/>
  <c r="I347" i="1"/>
  <c r="I200" i="1"/>
  <c r="I331" i="1"/>
  <c r="K146" i="1"/>
  <c r="J99" i="1"/>
  <c r="K107" i="1"/>
  <c r="K276" i="1"/>
  <c r="H190" i="2"/>
  <c r="H202" i="2"/>
  <c r="H22" i="2"/>
  <c r="I46" i="2"/>
  <c r="I42" i="2"/>
  <c r="J164" i="2"/>
  <c r="J188" i="2"/>
  <c r="G139" i="2"/>
  <c r="G301" i="2"/>
  <c r="I359" i="2"/>
  <c r="J185" i="2"/>
  <c r="G100" i="2"/>
  <c r="K210" i="1"/>
  <c r="K134" i="1"/>
  <c r="I291" i="1"/>
  <c r="I60" i="1"/>
  <c r="K253" i="1"/>
  <c r="I282" i="1"/>
  <c r="H125" i="2"/>
  <c r="H274" i="2"/>
  <c r="I232" i="2"/>
  <c r="I284" i="2"/>
  <c r="J84" i="2"/>
  <c r="J14" i="2"/>
  <c r="G79" i="2"/>
  <c r="H325" i="2"/>
  <c r="J57" i="2"/>
  <c r="I189" i="1"/>
  <c r="J71" i="1"/>
  <c r="I152" i="1"/>
  <c r="J123" i="1"/>
  <c r="K267" i="1"/>
  <c r="K255" i="1"/>
  <c r="H140" i="2"/>
  <c r="I279" i="2"/>
  <c r="I71" i="2"/>
  <c r="J203" i="2"/>
  <c r="J29" i="2"/>
  <c r="G308" i="2"/>
  <c r="H185" i="2"/>
  <c r="J308" i="2"/>
  <c r="I292" i="1"/>
  <c r="I151" i="1"/>
  <c r="K271" i="1"/>
  <c r="K248" i="1"/>
  <c r="I87" i="1"/>
  <c r="H24" i="2"/>
  <c r="I86" i="2"/>
  <c r="J292" i="2"/>
  <c r="J269" i="2"/>
  <c r="G364" i="2"/>
  <c r="P347" i="1"/>
  <c r="S166" i="1"/>
  <c r="P218" i="1"/>
  <c r="R205" i="1"/>
  <c r="P336" i="1"/>
  <c r="P145" i="1"/>
  <c r="R270" i="1"/>
  <c r="P157" i="1"/>
  <c r="Q265" i="1"/>
  <c r="S329" i="1"/>
  <c r="Q184" i="1"/>
  <c r="P217" i="1"/>
  <c r="P227" i="1"/>
  <c r="R121" i="1"/>
  <c r="Q350" i="1"/>
  <c r="R359" i="1"/>
  <c r="R327" i="1"/>
  <c r="R278" i="1"/>
  <c r="S361" i="1"/>
  <c r="G246" i="2"/>
  <c r="I347" i="2"/>
  <c r="J132" i="1"/>
  <c r="I79" i="1"/>
  <c r="H299" i="2"/>
  <c r="G250" i="2"/>
  <c r="P33" i="1"/>
  <c r="P12" i="1"/>
  <c r="S353" i="1"/>
  <c r="Q44" i="1"/>
  <c r="R89" i="1"/>
  <c r="S141" i="1"/>
  <c r="S58" i="1"/>
  <c r="S102" i="1"/>
  <c r="K98" i="1"/>
  <c r="K361" i="1"/>
  <c r="K27" i="1"/>
  <c r="H156" i="2"/>
  <c r="G245" i="2"/>
  <c r="G14" i="2"/>
  <c r="J85" i="1"/>
  <c r="K317" i="1"/>
  <c r="I30" i="1"/>
  <c r="G124" i="2"/>
  <c r="J273" i="1"/>
  <c r="J150" i="2"/>
  <c r="J351" i="1"/>
  <c r="J247" i="1"/>
  <c r="G290" i="2"/>
  <c r="I29" i="1"/>
  <c r="G353" i="2"/>
  <c r="J258" i="1"/>
  <c r="H292" i="2"/>
  <c r="H86" i="2"/>
  <c r="J242" i="2"/>
  <c r="K259" i="1"/>
  <c r="I96" i="1"/>
  <c r="I160" i="1"/>
  <c r="J305" i="1"/>
  <c r="I284" i="1"/>
  <c r="H84" i="2"/>
  <c r="I109" i="2"/>
  <c r="J54" i="2"/>
  <c r="J279" i="2"/>
  <c r="J113" i="2"/>
  <c r="K131" i="1"/>
  <c r="I225" i="2"/>
  <c r="K164" i="1"/>
  <c r="K148" i="1"/>
  <c r="H357" i="2"/>
  <c r="I351" i="2"/>
  <c r="J45" i="2"/>
  <c r="G317" i="2"/>
  <c r="G258" i="2"/>
  <c r="K117" i="1"/>
  <c r="H244" i="2"/>
  <c r="I268" i="2"/>
  <c r="G195" i="2"/>
  <c r="G213" i="2"/>
  <c r="K239" i="1"/>
  <c r="H38" i="2"/>
  <c r="G186" i="2"/>
  <c r="P328" i="1"/>
  <c r="S117" i="1"/>
  <c r="Q247" i="1"/>
  <c r="P219" i="1"/>
  <c r="P290" i="1"/>
  <c r="P113" i="1"/>
  <c r="P179" i="1"/>
  <c r="S66" i="1"/>
  <c r="S281" i="1"/>
  <c r="J129" i="2"/>
  <c r="K144" i="1"/>
  <c r="K70" i="1"/>
  <c r="G103" i="2"/>
  <c r="I63" i="1"/>
  <c r="K263" i="1"/>
  <c r="H34" i="2"/>
  <c r="I27" i="1"/>
  <c r="I308" i="1"/>
  <c r="J124" i="1"/>
  <c r="I213" i="1"/>
  <c r="J119" i="1"/>
  <c r="I279" i="1"/>
  <c r="I297" i="2"/>
  <c r="J176" i="1"/>
  <c r="J360" i="1"/>
  <c r="G184" i="2"/>
  <c r="I212" i="1"/>
  <c r="G226" i="2"/>
  <c r="K258" i="1"/>
  <c r="H228" i="2"/>
  <c r="I60" i="2"/>
  <c r="G285" i="2"/>
  <c r="K233" i="1"/>
  <c r="I170" i="1"/>
  <c r="K172" i="1"/>
  <c r="K110" i="1"/>
  <c r="K200" i="1"/>
  <c r="H368" i="2"/>
  <c r="I44" i="2"/>
  <c r="J8" i="2"/>
  <c r="G217" i="2"/>
  <c r="I53" i="2"/>
  <c r="G179" i="2"/>
  <c r="K346" i="1"/>
  <c r="I233" i="1"/>
  <c r="H277" i="2"/>
  <c r="I230" i="2"/>
  <c r="J333" i="2"/>
  <c r="I37" i="2"/>
  <c r="K112" i="1"/>
  <c r="I252" i="1"/>
  <c r="J14" i="1"/>
  <c r="H311" i="2"/>
  <c r="I340" i="2"/>
  <c r="G91" i="2"/>
  <c r="G284" i="2"/>
  <c r="I364" i="1"/>
  <c r="K337" i="1"/>
  <c r="H305" i="2"/>
  <c r="I83" i="2"/>
  <c r="G131" i="2"/>
  <c r="I219" i="2"/>
  <c r="J332" i="1"/>
  <c r="I42" i="1"/>
  <c r="I302" i="2"/>
  <c r="J116" i="2"/>
  <c r="G269" i="2"/>
  <c r="P215" i="1"/>
  <c r="S223" i="1"/>
  <c r="Q273" i="1"/>
  <c r="P155" i="1"/>
  <c r="S273" i="1"/>
  <c r="Q90" i="1"/>
  <c r="Q339" i="1"/>
  <c r="S237" i="1"/>
  <c r="S271" i="1"/>
  <c r="I243" i="1"/>
  <c r="J260" i="1"/>
  <c r="K238" i="1"/>
  <c r="J250" i="2"/>
  <c r="I118" i="1"/>
  <c r="J252" i="1"/>
  <c r="K213" i="1"/>
  <c r="K250" i="1"/>
  <c r="J318" i="2"/>
  <c r="J323" i="1"/>
  <c r="J169" i="1"/>
  <c r="I83" i="1"/>
  <c r="I161" i="1"/>
  <c r="H93" i="2"/>
  <c r="J76" i="2"/>
  <c r="J336" i="1"/>
  <c r="J342" i="1"/>
  <c r="I165" i="1"/>
  <c r="I197" i="2"/>
  <c r="I153" i="1"/>
  <c r="J222" i="1"/>
  <c r="J229" i="1"/>
  <c r="I359" i="1"/>
  <c r="G120" i="2"/>
  <c r="K73" i="1"/>
  <c r="I113" i="1"/>
  <c r="I81" i="1"/>
  <c r="H159" i="2"/>
  <c r="I306" i="2"/>
  <c r="J365" i="2"/>
  <c r="G157" i="2"/>
  <c r="I22" i="1"/>
  <c r="J331" i="1"/>
  <c r="K211" i="1"/>
  <c r="I143" i="1"/>
  <c r="J170" i="1"/>
  <c r="J311" i="1"/>
  <c r="H326" i="2"/>
  <c r="H81" i="2"/>
  <c r="I231" i="2"/>
  <c r="J260" i="2"/>
  <c r="J136" i="2"/>
  <c r="G276" i="2"/>
  <c r="G251" i="2"/>
  <c r="I267" i="1"/>
  <c r="K204" i="1"/>
  <c r="I326" i="1"/>
  <c r="I99" i="1"/>
  <c r="H330" i="2"/>
  <c r="I29" i="2"/>
  <c r="J85" i="2"/>
  <c r="G331" i="2"/>
  <c r="H50" i="2"/>
  <c r="G228" i="2"/>
  <c r="J49" i="1"/>
  <c r="K227" i="1"/>
  <c r="J188" i="1"/>
  <c r="H210" i="2"/>
  <c r="I216" i="2"/>
  <c r="J50" i="2"/>
  <c r="G143" i="2"/>
  <c r="J86" i="2"/>
  <c r="J160" i="1"/>
  <c r="K220" i="1"/>
  <c r="I135" i="2"/>
  <c r="J157" i="2"/>
  <c r="H361" i="2"/>
  <c r="J63" i="1"/>
  <c r="I287" i="1"/>
  <c r="K281" i="1"/>
  <c r="I150" i="2"/>
  <c r="J24" i="2"/>
  <c r="P338" i="1"/>
  <c r="P282" i="1"/>
  <c r="R138" i="1"/>
  <c r="R168" i="1"/>
  <c r="Q63" i="1"/>
  <c r="Q356" i="1"/>
  <c r="S41" i="1"/>
  <c r="Q145" i="1"/>
  <c r="R353" i="1"/>
  <c r="R309" i="1"/>
  <c r="K187" i="1"/>
  <c r="I336" i="1"/>
  <c r="I239" i="1"/>
  <c r="H178" i="2"/>
  <c r="K338" i="1"/>
  <c r="I32" i="1"/>
  <c r="J178" i="1"/>
  <c r="J98" i="1"/>
  <c r="K312" i="1"/>
  <c r="H80" i="2"/>
  <c r="H23" i="2"/>
  <c r="J133" i="2"/>
  <c r="G24" i="2"/>
  <c r="H221" i="2"/>
  <c r="K323" i="1"/>
  <c r="I145" i="2"/>
  <c r="K182" i="1"/>
  <c r="I80" i="1"/>
  <c r="I106" i="1"/>
  <c r="I131" i="1"/>
  <c r="J299" i="1"/>
  <c r="J59" i="1"/>
  <c r="H108" i="2"/>
  <c r="I313" i="2"/>
  <c r="J119" i="2"/>
  <c r="J105" i="1"/>
  <c r="K302" i="1"/>
  <c r="K288" i="1"/>
  <c r="H165" i="2"/>
  <c r="K105" i="1"/>
  <c r="J163" i="1"/>
  <c r="J313" i="1"/>
  <c r="J116" i="1"/>
  <c r="I341" i="1"/>
  <c r="J68" i="1"/>
  <c r="J24" i="1"/>
  <c r="K157" i="1"/>
  <c r="H85" i="2"/>
  <c r="I249" i="2"/>
  <c r="G95" i="2"/>
  <c r="K42" i="1"/>
  <c r="J21" i="1"/>
  <c r="I288" i="1"/>
  <c r="I52" i="1"/>
  <c r="K237" i="1"/>
  <c r="K133" i="1"/>
  <c r="K76" i="1"/>
  <c r="H96" i="2"/>
  <c r="J107" i="2"/>
  <c r="K319" i="1"/>
  <c r="K241" i="1"/>
  <c r="J276" i="1"/>
  <c r="J197" i="1"/>
  <c r="K362" i="1"/>
  <c r="I207" i="1"/>
  <c r="I255" i="1"/>
  <c r="K198" i="1"/>
  <c r="H343" i="2"/>
  <c r="J145" i="2"/>
  <c r="I321" i="1"/>
  <c r="J320" i="2"/>
  <c r="G27" i="2"/>
  <c r="J161" i="1"/>
  <c r="J51" i="1"/>
  <c r="J11" i="1"/>
  <c r="J88" i="1"/>
  <c r="H153" i="2"/>
  <c r="I273" i="2"/>
  <c r="G162" i="2"/>
  <c r="I50" i="2"/>
  <c r="I244" i="2"/>
  <c r="J272" i="2"/>
  <c r="J232" i="2"/>
  <c r="G42" i="2"/>
  <c r="G26" i="2"/>
  <c r="G41" i="2"/>
  <c r="K175" i="1"/>
  <c r="K58" i="1"/>
  <c r="I241" i="1"/>
  <c r="I342" i="1"/>
  <c r="J122" i="1"/>
  <c r="J148" i="1"/>
  <c r="J297" i="1"/>
  <c r="J150" i="1"/>
  <c r="K100" i="1"/>
  <c r="I14" i="1"/>
  <c r="J102" i="1"/>
  <c r="I47" i="1"/>
  <c r="H199" i="2"/>
  <c r="H218" i="2"/>
  <c r="H260" i="2"/>
  <c r="I329" i="2"/>
  <c r="I191" i="2"/>
  <c r="I103" i="2"/>
  <c r="I243" i="2"/>
  <c r="J350" i="2"/>
  <c r="J58" i="2"/>
  <c r="J51" i="2"/>
  <c r="G150" i="2"/>
  <c r="G148" i="2"/>
  <c r="G224" i="2"/>
  <c r="I367" i="2"/>
  <c r="I312" i="2"/>
  <c r="J20" i="2"/>
  <c r="G286" i="2"/>
  <c r="G23" i="2"/>
  <c r="K291" i="1"/>
  <c r="J209" i="1"/>
  <c r="I115" i="1"/>
  <c r="J97" i="1"/>
  <c r="K57" i="1"/>
  <c r="I302" i="1"/>
  <c r="K95" i="1"/>
  <c r="I54" i="1"/>
  <c r="H126" i="2"/>
  <c r="H138" i="2"/>
  <c r="I320" i="2"/>
  <c r="I349" i="2"/>
  <c r="I23" i="2"/>
  <c r="J95" i="2"/>
  <c r="J146" i="2"/>
  <c r="G69" i="2"/>
  <c r="G237" i="2"/>
  <c r="I10" i="2"/>
  <c r="J168" i="2"/>
  <c r="G43" i="2"/>
  <c r="I237" i="1"/>
  <c r="J19" i="1"/>
  <c r="K230" i="1"/>
  <c r="I112" i="1"/>
  <c r="K310" i="1"/>
  <c r="K221" i="1"/>
  <c r="H61" i="2"/>
  <c r="H358" i="2"/>
  <c r="I341" i="2"/>
  <c r="I220" i="2"/>
  <c r="J42" i="2"/>
  <c r="G310" i="2"/>
  <c r="G339" i="2"/>
  <c r="H319" i="2"/>
  <c r="J126" i="2"/>
  <c r="I58" i="1"/>
  <c r="I146" i="1"/>
  <c r="K33" i="1"/>
  <c r="I366" i="1"/>
  <c r="J362" i="1"/>
  <c r="K126" i="1"/>
  <c r="H307" i="2"/>
  <c r="I238" i="2"/>
  <c r="I139" i="2"/>
  <c r="J160" i="2"/>
  <c r="J254" i="2"/>
  <c r="G244" i="2"/>
  <c r="H322" i="2"/>
  <c r="J49" i="2"/>
  <c r="J213" i="1"/>
  <c r="I258" i="1"/>
  <c r="J186" i="1"/>
  <c r="I318" i="1"/>
  <c r="K266" i="1"/>
  <c r="H297" i="2"/>
  <c r="I14" i="2"/>
  <c r="J244" i="2"/>
  <c r="J141" i="2"/>
  <c r="G321" i="2"/>
  <c r="P288" i="1"/>
  <c r="S105" i="1"/>
  <c r="P154" i="1"/>
  <c r="R320" i="1"/>
  <c r="P368" i="1"/>
  <c r="P81" i="1"/>
  <c r="R324" i="1"/>
  <c r="P353" i="1"/>
  <c r="Q137" i="1"/>
  <c r="S23" i="1"/>
  <c r="Q115" i="1"/>
  <c r="P153" i="1"/>
  <c r="Q139" i="1"/>
  <c r="R103" i="1"/>
  <c r="Q219" i="1"/>
  <c r="R264" i="1"/>
  <c r="R325" i="1"/>
  <c r="R105" i="1"/>
  <c r="S282" i="1"/>
  <c r="G363" i="2"/>
  <c r="I194" i="2"/>
  <c r="Q76" i="1"/>
  <c r="Q215" i="1"/>
  <c r="K87" i="1"/>
  <c r="G98" i="2"/>
  <c r="K120" i="1"/>
  <c r="H281" i="2"/>
  <c r="J62" i="2"/>
  <c r="H272" i="2"/>
  <c r="I280" i="1"/>
  <c r="H217" i="2"/>
  <c r="G252" i="2"/>
  <c r="H90" i="2"/>
  <c r="K22" i="1"/>
  <c r="J22" i="2"/>
  <c r="G305" i="2"/>
  <c r="K53" i="1"/>
  <c r="J46" i="1"/>
  <c r="H147" i="2"/>
  <c r="I356" i="2"/>
  <c r="G281" i="2"/>
  <c r="G307" i="2"/>
  <c r="I251" i="1"/>
  <c r="H338" i="2"/>
  <c r="I182" i="2"/>
  <c r="J46" i="2"/>
  <c r="G322" i="2"/>
  <c r="K101" i="1"/>
  <c r="I80" i="2"/>
  <c r="G155" i="2"/>
  <c r="I82" i="1"/>
  <c r="J218" i="2"/>
  <c r="J55" i="1"/>
  <c r="I130" i="2"/>
  <c r="P28" i="1"/>
  <c r="R9" i="1"/>
  <c r="J310" i="1"/>
  <c r="H215" i="2"/>
  <c r="K28" i="1"/>
  <c r="G324" i="2"/>
  <c r="I248" i="1"/>
  <c r="H154" i="2"/>
  <c r="J117" i="1"/>
  <c r="I364" i="2"/>
  <c r="J322" i="1"/>
  <c r="J135" i="1"/>
  <c r="J281" i="1"/>
  <c r="I304" i="2"/>
  <c r="I155" i="1"/>
  <c r="I45" i="2"/>
  <c r="J236" i="2"/>
  <c r="J315" i="2"/>
  <c r="J60" i="1"/>
  <c r="H366" i="2"/>
  <c r="G101" i="2"/>
  <c r="K15" i="1"/>
  <c r="J264" i="2"/>
  <c r="J94" i="1"/>
  <c r="K43" i="1"/>
  <c r="I145" i="1"/>
  <c r="J206" i="1"/>
  <c r="H173" i="2"/>
  <c r="J202" i="1"/>
  <c r="J348" i="1"/>
  <c r="I187" i="2"/>
  <c r="K138" i="1"/>
  <c r="I95" i="1"/>
  <c r="I36" i="1"/>
  <c r="J355" i="1"/>
  <c r="I321" i="2"/>
  <c r="K137" i="1"/>
  <c r="I365" i="1"/>
  <c r="J37" i="1"/>
  <c r="G309" i="2"/>
  <c r="K18" i="1"/>
  <c r="I86" i="1"/>
  <c r="J184" i="1"/>
  <c r="J321" i="1"/>
  <c r="J129" i="1"/>
  <c r="H157" i="2"/>
  <c r="I251" i="2"/>
  <c r="J121" i="2"/>
  <c r="G45" i="2"/>
  <c r="H269" i="2"/>
  <c r="K314" i="1"/>
  <c r="I129" i="2"/>
  <c r="J245" i="1"/>
  <c r="K368" i="1"/>
  <c r="I285" i="1"/>
  <c r="K219" i="1"/>
  <c r="I201" i="1"/>
  <c r="J257" i="1"/>
  <c r="H101" i="2"/>
  <c r="I125" i="2"/>
  <c r="G181" i="2"/>
  <c r="I176" i="1"/>
  <c r="H79" i="2"/>
  <c r="J177" i="1"/>
  <c r="I315" i="2"/>
  <c r="J319" i="1"/>
  <c r="J198" i="1"/>
  <c r="I238" i="1"/>
  <c r="J238" i="1"/>
  <c r="I330" i="1"/>
  <c r="K184" i="1"/>
  <c r="I250" i="1"/>
  <c r="K125" i="1"/>
  <c r="H92" i="2"/>
  <c r="I61" i="2"/>
  <c r="G248" i="2"/>
  <c r="H279" i="2"/>
  <c r="J187" i="1"/>
  <c r="I354" i="1"/>
  <c r="I33" i="1"/>
  <c r="K290" i="1"/>
  <c r="K358" i="1"/>
  <c r="J165" i="1"/>
  <c r="H48" i="2"/>
  <c r="J68" i="2"/>
  <c r="I123" i="1"/>
  <c r="K340" i="1"/>
  <c r="H280" i="2"/>
  <c r="K336" i="1"/>
  <c r="K88" i="1"/>
  <c r="J300" i="1"/>
  <c r="I323" i="1"/>
  <c r="I147" i="1"/>
  <c r="H87" i="2"/>
  <c r="J147" i="2"/>
  <c r="J140" i="1"/>
  <c r="J247" i="2"/>
  <c r="I289" i="1"/>
  <c r="I50" i="1"/>
  <c r="I316" i="1"/>
  <c r="J190" i="1"/>
  <c r="J156" i="1"/>
  <c r="H226" i="2"/>
  <c r="I257" i="2"/>
  <c r="G32" i="2"/>
  <c r="I264" i="2"/>
  <c r="I248" i="2"/>
  <c r="J187" i="2"/>
  <c r="J142" i="2"/>
  <c r="G349" i="2"/>
  <c r="G243" i="2"/>
  <c r="G9" i="2"/>
  <c r="J189" i="1"/>
  <c r="K326" i="1"/>
  <c r="K119" i="1"/>
  <c r="I19" i="1"/>
  <c r="K52" i="1"/>
  <c r="I263" i="1"/>
  <c r="I246" i="1"/>
  <c r="K11" i="1"/>
  <c r="J77" i="1"/>
  <c r="K245" i="1"/>
  <c r="K251" i="1"/>
  <c r="K275" i="1"/>
  <c r="H135" i="2"/>
  <c r="H339" i="2"/>
  <c r="H155" i="2"/>
  <c r="I363" i="2"/>
  <c r="I300" i="2"/>
  <c r="I39" i="2"/>
  <c r="I179" i="2"/>
  <c r="J310" i="2"/>
  <c r="J15" i="2"/>
  <c r="J302" i="2"/>
  <c r="G16" i="2"/>
  <c r="G84" i="2"/>
  <c r="G160" i="2"/>
  <c r="I55" i="2"/>
  <c r="I184" i="2"/>
  <c r="J233" i="2"/>
  <c r="G158" i="2"/>
  <c r="K63" i="1"/>
  <c r="I320" i="1"/>
  <c r="J255" i="1"/>
  <c r="J330" i="1"/>
  <c r="I75" i="1"/>
  <c r="I206" i="1"/>
  <c r="K34" i="1"/>
  <c r="I351" i="1"/>
  <c r="I150" i="1"/>
  <c r="H62" i="2"/>
  <c r="H74" i="2"/>
  <c r="I119" i="2"/>
  <c r="I286" i="2"/>
  <c r="J255" i="2"/>
  <c r="J180" i="2"/>
  <c r="J103" i="2"/>
  <c r="G232" i="2"/>
  <c r="G30" i="2"/>
  <c r="I155" i="2"/>
  <c r="J40" i="2"/>
  <c r="I114" i="1"/>
  <c r="J193" i="1"/>
  <c r="J316" i="1"/>
  <c r="I39" i="1"/>
  <c r="K274" i="1"/>
  <c r="J147" i="1"/>
  <c r="K161" i="1"/>
  <c r="H356" i="2"/>
  <c r="H310" i="2"/>
  <c r="I277" i="2"/>
  <c r="I156" i="2"/>
  <c r="J223" i="2"/>
  <c r="G86" i="2"/>
  <c r="G83" i="2"/>
  <c r="H63" i="2"/>
  <c r="J317" i="2"/>
  <c r="K113" i="1"/>
  <c r="I309" i="1"/>
  <c r="K359" i="1"/>
  <c r="I24" i="1"/>
  <c r="K186" i="1"/>
  <c r="K99" i="1"/>
  <c r="H243" i="2"/>
  <c r="I205" i="2"/>
  <c r="I75" i="2"/>
  <c r="J118" i="2"/>
  <c r="J343" i="2"/>
  <c r="G180" i="2"/>
  <c r="H194" i="2"/>
  <c r="J256" i="2"/>
  <c r="J334" i="1"/>
  <c r="I182" i="1"/>
  <c r="I261" i="1"/>
  <c r="K38" i="1"/>
  <c r="J201" i="1"/>
  <c r="H233" i="2"/>
  <c r="I323" i="2"/>
  <c r="J337" i="2"/>
  <c r="J334" i="2"/>
  <c r="G257" i="2"/>
  <c r="P224" i="1"/>
  <c r="P45" i="1"/>
  <c r="P90" i="1"/>
  <c r="R274" i="1"/>
  <c r="P175" i="1"/>
  <c r="P55" i="1"/>
  <c r="R323" i="1"/>
  <c r="P102" i="1"/>
  <c r="Q207" i="1"/>
  <c r="S20" i="1"/>
  <c r="Q234" i="1"/>
  <c r="P119" i="1"/>
  <c r="P176" i="1"/>
  <c r="S263" i="1"/>
  <c r="Q21" i="1"/>
  <c r="R99" i="1"/>
  <c r="R272" i="1"/>
  <c r="R93" i="1"/>
  <c r="S222" i="1"/>
  <c r="K342" i="1"/>
  <c r="J149" i="2"/>
  <c r="S351" i="1"/>
  <c r="P177" i="1"/>
  <c r="I109" i="1"/>
  <c r="I189" i="2"/>
  <c r="J27" i="1"/>
  <c r="I209" i="1"/>
  <c r="J192" i="2"/>
  <c r="J199" i="1"/>
  <c r="K232" i="1"/>
  <c r="I186" i="1"/>
  <c r="I253" i="2"/>
  <c r="J185" i="1"/>
  <c r="K155" i="1"/>
  <c r="K97" i="1"/>
  <c r="K72" i="1"/>
  <c r="J29" i="1"/>
  <c r="I174" i="1"/>
  <c r="I188" i="2"/>
  <c r="K156" i="1"/>
  <c r="J164" i="1"/>
  <c r="I108" i="2"/>
  <c r="G36" i="2"/>
  <c r="J74" i="1"/>
  <c r="J329" i="1"/>
  <c r="H321" i="2"/>
  <c r="G165" i="2"/>
  <c r="J302" i="1"/>
  <c r="K192" i="1"/>
  <c r="K102" i="1"/>
  <c r="I88" i="1"/>
  <c r="J228" i="2"/>
  <c r="I41" i="1"/>
  <c r="I92" i="1"/>
  <c r="K90" i="1"/>
  <c r="H290" i="2"/>
  <c r="K285" i="1"/>
  <c r="I121" i="2"/>
  <c r="J350" i="1"/>
  <c r="J202" i="2"/>
  <c r="J156" i="2"/>
  <c r="K60" i="1"/>
  <c r="J175" i="1"/>
  <c r="J107" i="1"/>
  <c r="H206" i="2"/>
  <c r="J368" i="2"/>
  <c r="G51" i="2"/>
  <c r="J25" i="1"/>
  <c r="J167" i="1"/>
  <c r="I118" i="2"/>
  <c r="H186" i="2"/>
  <c r="J166" i="2"/>
  <c r="P363" i="1"/>
  <c r="I205" i="1"/>
  <c r="H335" i="2"/>
  <c r="I11" i="1"/>
  <c r="J62" i="1"/>
  <c r="K82" i="1"/>
  <c r="K124" i="1"/>
  <c r="I271" i="1"/>
  <c r="K67" i="1"/>
  <c r="J32" i="1"/>
  <c r="H271" i="2"/>
  <c r="I81" i="2"/>
  <c r="J253" i="2"/>
  <c r="K91" i="1"/>
  <c r="I317" i="2"/>
  <c r="K344" i="1"/>
  <c r="J261" i="2"/>
  <c r="K216" i="1"/>
  <c r="I360" i="1"/>
  <c r="J91" i="1"/>
  <c r="J216" i="1"/>
  <c r="J42" i="1"/>
  <c r="H291" i="2"/>
  <c r="H160" i="2"/>
  <c r="I325" i="2"/>
  <c r="G350" i="2"/>
  <c r="K335" i="1"/>
  <c r="I64" i="2"/>
  <c r="K223" i="1"/>
  <c r="J314" i="2"/>
  <c r="I355" i="1"/>
  <c r="J56" i="1"/>
  <c r="I249" i="1"/>
  <c r="K247" i="1"/>
  <c r="I204" i="1"/>
  <c r="I349" i="1"/>
  <c r="K249" i="1"/>
  <c r="H332" i="2"/>
  <c r="H151" i="2"/>
  <c r="I261" i="2"/>
  <c r="G44" i="2"/>
  <c r="I193" i="2"/>
  <c r="H162" i="2"/>
  <c r="K83" i="1"/>
  <c r="J72" i="1"/>
  <c r="J87" i="1"/>
  <c r="K315" i="1"/>
  <c r="H315" i="2"/>
  <c r="H223" i="2"/>
  <c r="J190" i="2"/>
  <c r="I91" i="1"/>
  <c r="I332" i="1"/>
  <c r="H55" i="2"/>
  <c r="I257" i="1"/>
  <c r="I218" i="1"/>
  <c r="J210" i="1"/>
  <c r="K49" i="1"/>
  <c r="K86" i="1"/>
  <c r="H41" i="2"/>
  <c r="J332" i="2"/>
  <c r="J113" i="1"/>
  <c r="G174" i="2"/>
  <c r="I154" i="1"/>
  <c r="I229" i="1"/>
  <c r="J207" i="1"/>
  <c r="I240" i="1"/>
  <c r="J130" i="1"/>
  <c r="H344" i="2"/>
  <c r="I69" i="2"/>
  <c r="G238" i="2"/>
  <c r="I136" i="2"/>
  <c r="I120" i="2"/>
  <c r="J102" i="2"/>
  <c r="J56" i="2"/>
  <c r="G222" i="2"/>
  <c r="G115" i="2"/>
  <c r="J195" i="1"/>
  <c r="K54" i="1"/>
  <c r="I185" i="1"/>
  <c r="I275" i="1"/>
  <c r="I136" i="1"/>
  <c r="J181" i="1"/>
  <c r="J203" i="1"/>
  <c r="J259" i="1"/>
  <c r="K166" i="1"/>
  <c r="K169" i="1"/>
  <c r="J307" i="1"/>
  <c r="K243" i="1"/>
  <c r="J284" i="1"/>
  <c r="H71" i="2"/>
  <c r="H275" i="2"/>
  <c r="H337" i="2"/>
  <c r="I137" i="2"/>
  <c r="I236" i="2"/>
  <c r="I299" i="2"/>
  <c r="I115" i="2"/>
  <c r="J139" i="2"/>
  <c r="J191" i="2"/>
  <c r="J359" i="2"/>
  <c r="G22" i="2"/>
  <c r="G166" i="2"/>
  <c r="G178" i="2"/>
  <c r="I72" i="2"/>
  <c r="J348" i="2"/>
  <c r="J109" i="2"/>
  <c r="G239" i="2"/>
  <c r="K66" i="1"/>
  <c r="I139" i="1"/>
  <c r="I264" i="1"/>
  <c r="J200" i="1"/>
  <c r="K282" i="1"/>
  <c r="J349" i="1"/>
  <c r="J112" i="1"/>
  <c r="K242" i="1"/>
  <c r="K159" i="1"/>
  <c r="H75" i="2"/>
  <c r="H146" i="2"/>
  <c r="I100" i="2"/>
  <c r="I162" i="2"/>
  <c r="J304" i="2"/>
  <c r="J216" i="2"/>
  <c r="G218" i="2"/>
  <c r="G293" i="2"/>
  <c r="H121" i="2"/>
  <c r="I285" i="2"/>
  <c r="G327" i="2"/>
  <c r="K207" i="1"/>
  <c r="I262" i="1"/>
  <c r="K48" i="1"/>
  <c r="J226" i="1"/>
  <c r="I339" i="1"/>
  <c r="I94" i="1"/>
  <c r="H347" i="2"/>
  <c r="H316" i="2"/>
  <c r="H14" i="2"/>
  <c r="I208" i="2"/>
  <c r="J241" i="2"/>
  <c r="J120" i="2"/>
  <c r="G254" i="2"/>
  <c r="G283" i="2"/>
  <c r="I281" i="2"/>
  <c r="G263" i="2"/>
  <c r="J263" i="1"/>
  <c r="K145" i="1"/>
  <c r="K332" i="1"/>
  <c r="K69" i="1"/>
  <c r="K165" i="1"/>
  <c r="H231" i="2"/>
  <c r="H29" i="2"/>
  <c r="I30" i="2"/>
  <c r="I275" i="2"/>
  <c r="J79" i="2"/>
  <c r="J10" i="2"/>
  <c r="G73" i="2"/>
  <c r="H18" i="2"/>
  <c r="J55" i="2"/>
  <c r="I188" i="1"/>
  <c r="I48" i="1"/>
  <c r="J274" i="1"/>
  <c r="J33" i="1"/>
  <c r="H20" i="2"/>
  <c r="H21" i="2"/>
  <c r="I258" i="2"/>
  <c r="J277" i="2"/>
  <c r="G314" i="2"/>
  <c r="G119" i="2"/>
  <c r="P66" i="1"/>
  <c r="P56" i="1"/>
  <c r="Q174" i="1"/>
  <c r="S231" i="1"/>
  <c r="P106" i="1"/>
  <c r="Q231" i="1"/>
  <c r="S355" i="1"/>
  <c r="P6" i="1"/>
  <c r="Q49" i="1"/>
  <c r="P80" i="1"/>
  <c r="R90" i="1"/>
  <c r="Q343" i="1"/>
  <c r="P241" i="1"/>
  <c r="P331" i="1"/>
  <c r="S269" i="1"/>
  <c r="S132" i="1"/>
  <c r="S84" i="1"/>
  <c r="S50" i="1"/>
  <c r="S135" i="1"/>
  <c r="J111" i="2"/>
  <c r="G260" i="2"/>
  <c r="K50" i="1"/>
  <c r="I305" i="1"/>
  <c r="J249" i="2"/>
  <c r="J254" i="1"/>
  <c r="I311" i="1"/>
  <c r="J70" i="1"/>
  <c r="J324" i="1"/>
  <c r="I163" i="1"/>
  <c r="K236" i="1"/>
  <c r="H152" i="2"/>
  <c r="I250" i="2"/>
  <c r="J367" i="2"/>
  <c r="K147" i="1"/>
  <c r="H144" i="2"/>
  <c r="J12" i="1"/>
  <c r="I142" i="2"/>
  <c r="I89" i="1"/>
  <c r="I203" i="1"/>
  <c r="K196" i="1"/>
  <c r="I70" i="1"/>
  <c r="J54" i="1"/>
  <c r="J50" i="1"/>
  <c r="H208" i="2"/>
  <c r="H214" i="2"/>
  <c r="J64" i="2"/>
  <c r="G302" i="2"/>
  <c r="I334" i="1"/>
  <c r="J58" i="1"/>
  <c r="I166" i="1"/>
  <c r="I312" i="1"/>
  <c r="I244" i="1"/>
  <c r="I362" i="1"/>
  <c r="J149" i="1"/>
  <c r="K59" i="1"/>
  <c r="K284" i="1"/>
  <c r="H88" i="2"/>
  <c r="I122" i="2"/>
  <c r="J290" i="2"/>
  <c r="H30" i="2"/>
  <c r="I192" i="2"/>
  <c r="I116" i="2"/>
  <c r="J361" i="2"/>
  <c r="J207" i="2"/>
  <c r="J237" i="2"/>
  <c r="G236" i="2"/>
  <c r="G328" i="2"/>
  <c r="G105" i="2"/>
  <c r="K347" i="1"/>
  <c r="J352" i="1"/>
  <c r="J359" i="1"/>
  <c r="J61" i="1"/>
  <c r="K191" i="1"/>
  <c r="K109" i="1"/>
  <c r="I35" i="1"/>
  <c r="K333" i="1"/>
  <c r="J280" i="1"/>
  <c r="K29" i="1"/>
  <c r="J78" i="1"/>
  <c r="J343" i="1"/>
  <c r="I164" i="1"/>
  <c r="K264" i="1"/>
  <c r="J192" i="1"/>
  <c r="K37" i="1"/>
  <c r="J241" i="1"/>
  <c r="H268" i="2"/>
  <c r="H340" i="2"/>
  <c r="H198" i="2"/>
  <c r="H83" i="2"/>
  <c r="H91" i="2"/>
  <c r="H47" i="2"/>
  <c r="I301" i="2"/>
  <c r="I127" i="2"/>
  <c r="I105" i="2"/>
  <c r="I235" i="2"/>
  <c r="I111" i="2"/>
  <c r="J344" i="2"/>
  <c r="J267" i="2"/>
  <c r="J229" i="2"/>
  <c r="J217" i="2"/>
  <c r="J286" i="2"/>
  <c r="J194" i="2"/>
  <c r="G291" i="2"/>
  <c r="G153" i="2"/>
  <c r="G287" i="2"/>
  <c r="G234" i="2"/>
  <c r="G96" i="2"/>
  <c r="G19" i="2"/>
  <c r="I242" i="2"/>
  <c r="I357" i="2"/>
  <c r="I56" i="2"/>
  <c r="J230" i="2"/>
  <c r="J307" i="2"/>
  <c r="J114" i="2"/>
  <c r="G361" i="2"/>
  <c r="G38" i="2"/>
  <c r="I303" i="1"/>
  <c r="I301" i="1"/>
  <c r="K350" i="1"/>
  <c r="I132" i="1"/>
  <c r="J344" i="1"/>
  <c r="K307" i="1"/>
  <c r="J142" i="1"/>
  <c r="J168" i="1"/>
  <c r="J292" i="1"/>
  <c r="J328" i="1"/>
  <c r="J18" i="1"/>
  <c r="I193" i="1"/>
  <c r="J251" i="1"/>
  <c r="I97" i="1"/>
  <c r="K94" i="1"/>
  <c r="K116" i="1"/>
  <c r="I49" i="1"/>
  <c r="H250" i="2"/>
  <c r="H331" i="2"/>
  <c r="H193" i="2"/>
  <c r="H329" i="2"/>
  <c r="H328" i="2"/>
  <c r="I26" i="2"/>
  <c r="I54" i="2"/>
  <c r="I222" i="2"/>
  <c r="I166" i="2"/>
  <c r="J352" i="2"/>
  <c r="J134" i="2"/>
  <c r="J329" i="2"/>
  <c r="J205" i="2"/>
  <c r="J60" i="2"/>
  <c r="G208" i="2"/>
  <c r="G348" i="2"/>
  <c r="G319" i="2"/>
  <c r="G47" i="2"/>
  <c r="H197" i="2"/>
  <c r="I305" i="2"/>
  <c r="J340" i="2"/>
  <c r="J61" i="2"/>
  <c r="G344" i="2"/>
  <c r="J293" i="1"/>
  <c r="K303" i="1"/>
  <c r="I220" i="1"/>
  <c r="J76" i="1"/>
  <c r="I133" i="1"/>
  <c r="J225" i="1"/>
  <c r="J219" i="1"/>
  <c r="I310" i="1"/>
  <c r="K85" i="1"/>
  <c r="K55" i="1"/>
  <c r="I266" i="1"/>
  <c r="I361" i="1"/>
  <c r="I93" i="1"/>
  <c r="H240" i="2"/>
  <c r="H303" i="2"/>
  <c r="H247" i="2"/>
  <c r="H246" i="2"/>
  <c r="I87" i="2"/>
  <c r="I213" i="2"/>
  <c r="I84" i="2"/>
  <c r="I92" i="2"/>
  <c r="J123" i="2"/>
  <c r="J170" i="2"/>
  <c r="J347" i="2"/>
  <c r="G140" i="2"/>
  <c r="G189" i="2"/>
  <c r="G367" i="2"/>
  <c r="G71" i="2"/>
  <c r="I247" i="2"/>
  <c r="I19" i="2"/>
  <c r="J275" i="2"/>
  <c r="G92" i="2"/>
  <c r="K355" i="1"/>
  <c r="I76" i="1"/>
  <c r="J180" i="1"/>
  <c r="I298" i="1"/>
  <c r="J248" i="1"/>
  <c r="K136" i="1"/>
  <c r="I31" i="1"/>
  <c r="K341" i="1"/>
  <c r="I128" i="1"/>
  <c r="I73" i="1"/>
  <c r="H359" i="2"/>
  <c r="H116" i="2"/>
  <c r="H302" i="2"/>
  <c r="H241" i="2"/>
  <c r="I141" i="2"/>
  <c r="I140" i="2"/>
  <c r="I12" i="2"/>
  <c r="J287" i="2"/>
  <c r="J75" i="2"/>
  <c r="J248" i="2"/>
  <c r="J300" i="2"/>
  <c r="G65" i="2"/>
  <c r="G262" i="2"/>
  <c r="G274" i="2"/>
  <c r="H133" i="2"/>
  <c r="I24" i="2"/>
  <c r="J234" i="2"/>
  <c r="G216" i="2"/>
  <c r="J79" i="1"/>
  <c r="K174" i="1"/>
  <c r="K103" i="1"/>
  <c r="I337" i="1"/>
  <c r="K214" i="1"/>
  <c r="I195" i="1"/>
  <c r="J57" i="1"/>
  <c r="K212" i="1"/>
  <c r="H363" i="2"/>
  <c r="H225" i="2"/>
  <c r="H114" i="2"/>
  <c r="I324" i="2"/>
  <c r="I169" i="2"/>
  <c r="I134" i="2"/>
  <c r="J283" i="2"/>
  <c r="J265" i="2"/>
  <c r="J210" i="2"/>
  <c r="G176" i="2"/>
  <c r="G261" i="2"/>
  <c r="G31" i="2"/>
  <c r="P222" i="1"/>
  <c r="P253" i="1"/>
  <c r="P327" i="1"/>
  <c r="P242" i="1"/>
  <c r="Q116" i="1"/>
  <c r="Q362" i="1"/>
  <c r="R47" i="1"/>
  <c r="S62" i="1"/>
  <c r="P13" i="1"/>
  <c r="P164" i="1"/>
  <c r="Q68" i="1"/>
  <c r="Q262" i="1"/>
  <c r="R312" i="1"/>
  <c r="S28" i="1"/>
  <c r="P85" i="1"/>
  <c r="P109" i="1"/>
  <c r="Q124" i="1"/>
  <c r="R295" i="1"/>
  <c r="R316" i="1"/>
  <c r="P283" i="1"/>
  <c r="Q149" i="1"/>
  <c r="Q11" i="1"/>
  <c r="P314" i="1"/>
  <c r="R140" i="1"/>
  <c r="P62" i="1"/>
  <c r="Q204" i="1"/>
  <c r="P136" i="1"/>
  <c r="P172" i="1"/>
  <c r="R79" i="1"/>
  <c r="Q113" i="1"/>
  <c r="R161" i="1"/>
  <c r="Q199" i="1"/>
  <c r="R91" i="1"/>
  <c r="Q140" i="1"/>
  <c r="R70" i="1"/>
  <c r="R207" i="1"/>
  <c r="R241" i="1"/>
  <c r="S360" i="1"/>
  <c r="J238" i="2"/>
  <c r="J298" i="1"/>
  <c r="H33" i="2"/>
  <c r="I78" i="1"/>
  <c r="G110" i="2"/>
  <c r="I26" i="1"/>
  <c r="J354" i="1"/>
  <c r="K179" i="1"/>
  <c r="I183" i="1"/>
  <c r="J221" i="1"/>
  <c r="I324" i="1"/>
  <c r="H293" i="2"/>
  <c r="I185" i="2"/>
  <c r="J34" i="2"/>
  <c r="K71" i="1"/>
  <c r="H205" i="2"/>
  <c r="I71" i="1"/>
  <c r="J278" i="2"/>
  <c r="I314" i="1"/>
  <c r="J96" i="1"/>
  <c r="K115" i="1"/>
  <c r="I278" i="1"/>
  <c r="I216" i="1"/>
  <c r="I59" i="1"/>
  <c r="H285" i="2"/>
  <c r="I343" i="2"/>
  <c r="J26" i="2"/>
  <c r="G132" i="2"/>
  <c r="K293" i="1"/>
  <c r="I219" i="1"/>
  <c r="I214" i="1"/>
  <c r="K205" i="1"/>
  <c r="J312" i="1"/>
  <c r="K329" i="1"/>
  <c r="J268" i="1"/>
  <c r="J100" i="1"/>
  <c r="J204" i="1"/>
  <c r="H229" i="2"/>
  <c r="I57" i="2"/>
  <c r="G177" i="2"/>
  <c r="I224" i="2"/>
  <c r="I245" i="2"/>
  <c r="I360" i="2"/>
  <c r="J303" i="2"/>
  <c r="J63" i="2"/>
  <c r="J312" i="2"/>
  <c r="G108" i="2"/>
  <c r="G303" i="2"/>
  <c r="G315" i="2"/>
  <c r="I90" i="1"/>
  <c r="K246" i="1"/>
  <c r="K127" i="1"/>
  <c r="K234" i="1"/>
  <c r="K23" i="1"/>
  <c r="J174" i="1"/>
  <c r="J353" i="1"/>
  <c r="I21" i="1"/>
  <c r="K106" i="1"/>
  <c r="J270" i="1"/>
  <c r="I293" i="1"/>
  <c r="K295" i="1"/>
  <c r="J237" i="1"/>
  <c r="J227" i="1"/>
  <c r="J286" i="1"/>
  <c r="I223" i="1"/>
  <c r="I367" i="1"/>
  <c r="H122" i="2"/>
  <c r="H276" i="2"/>
  <c r="H134" i="2"/>
  <c r="H334" i="2"/>
  <c r="H16" i="2"/>
  <c r="H15" i="2"/>
  <c r="I237" i="2"/>
  <c r="I63" i="2"/>
  <c r="I353" i="2"/>
  <c r="I171" i="2"/>
  <c r="I47" i="2"/>
  <c r="J298" i="2"/>
  <c r="J224" i="2"/>
  <c r="J101" i="2"/>
  <c r="J89" i="2"/>
  <c r="J221" i="2"/>
  <c r="J151" i="2"/>
  <c r="G227" i="2"/>
  <c r="G89" i="2"/>
  <c r="G352" i="2"/>
  <c r="G170" i="2"/>
  <c r="G337" i="2"/>
  <c r="G37" i="2"/>
  <c r="I114" i="2"/>
  <c r="I240" i="2"/>
  <c r="I252" i="2"/>
  <c r="J144" i="2"/>
  <c r="J184" i="2"/>
  <c r="J28" i="2"/>
  <c r="G221" i="2"/>
  <c r="G297" i="2"/>
  <c r="K170" i="1"/>
  <c r="K129" i="1"/>
  <c r="J44" i="1"/>
  <c r="J340" i="1"/>
  <c r="K327" i="1"/>
  <c r="I242" i="1"/>
  <c r="J243" i="1"/>
  <c r="J309" i="1"/>
  <c r="I196" i="1"/>
  <c r="K74" i="1"/>
  <c r="K177" i="1"/>
  <c r="J115" i="1"/>
  <c r="K139" i="1"/>
  <c r="I66" i="1"/>
  <c r="I45" i="1"/>
  <c r="I38" i="1"/>
  <c r="I120" i="1"/>
  <c r="H99" i="2"/>
  <c r="H267" i="2"/>
  <c r="H129" i="2"/>
  <c r="H265" i="2"/>
  <c r="H136" i="2"/>
  <c r="I292" i="2"/>
  <c r="I358" i="2"/>
  <c r="I34" i="2"/>
  <c r="I102" i="2"/>
  <c r="J319" i="2"/>
  <c r="J289" i="2"/>
  <c r="J201" i="2"/>
  <c r="J77" i="2"/>
  <c r="G127" i="2"/>
  <c r="G144" i="2"/>
  <c r="G289" i="2"/>
  <c r="G215" i="2"/>
  <c r="G15" i="2"/>
  <c r="H256" i="2"/>
  <c r="I90" i="2"/>
  <c r="J273" i="2"/>
  <c r="J311" i="2"/>
  <c r="G264" i="2"/>
  <c r="I348" i="1"/>
  <c r="K330" i="1"/>
  <c r="J240" i="1"/>
  <c r="J31" i="1"/>
  <c r="K81" i="1"/>
  <c r="J249" i="1"/>
  <c r="I65" i="1"/>
  <c r="I177" i="1"/>
  <c r="K265" i="1"/>
  <c r="I198" i="1"/>
  <c r="J86" i="1"/>
  <c r="K152" i="1"/>
  <c r="J224" i="1"/>
  <c r="H176" i="2"/>
  <c r="H111" i="2"/>
  <c r="H183" i="2"/>
  <c r="H182" i="2"/>
  <c r="I146" i="2"/>
  <c r="I149" i="2"/>
  <c r="I17" i="2"/>
  <c r="I32" i="2"/>
  <c r="J80" i="2"/>
  <c r="J259" i="2"/>
  <c r="J306" i="2"/>
  <c r="G76" i="2"/>
  <c r="G125" i="2"/>
  <c r="G329" i="2"/>
  <c r="H249" i="2"/>
  <c r="I283" i="2"/>
  <c r="J282" i="2"/>
  <c r="J268" i="2"/>
  <c r="G270" i="2"/>
  <c r="K68" i="1"/>
  <c r="K289" i="1"/>
  <c r="J162" i="1"/>
  <c r="J141" i="1"/>
  <c r="K235" i="1"/>
  <c r="I17" i="1"/>
  <c r="J306" i="1"/>
  <c r="J114" i="1"/>
  <c r="I134" i="1"/>
  <c r="J220" i="1"/>
  <c r="H67" i="2"/>
  <c r="H32" i="2"/>
  <c r="H238" i="2"/>
  <c r="H177" i="2"/>
  <c r="I77" i="2"/>
  <c r="I327" i="2"/>
  <c r="I335" i="2"/>
  <c r="J349" i="2"/>
  <c r="J32" i="2"/>
  <c r="J200" i="2"/>
  <c r="J130" i="2"/>
  <c r="G365" i="2"/>
  <c r="G198" i="2"/>
  <c r="G210" i="2"/>
  <c r="H320" i="2"/>
  <c r="I217" i="2"/>
  <c r="J313" i="2"/>
  <c r="G241" i="2"/>
  <c r="K228" i="1"/>
  <c r="K132" i="1"/>
  <c r="I306" i="1"/>
  <c r="J236" i="1"/>
  <c r="K328" i="1"/>
  <c r="J26" i="1"/>
  <c r="K209" i="1"/>
  <c r="I232" i="1"/>
  <c r="H163" i="2"/>
  <c r="H161" i="2"/>
  <c r="H54" i="2"/>
  <c r="I260" i="2"/>
  <c r="I365" i="2"/>
  <c r="I70" i="2"/>
  <c r="J240" i="2"/>
  <c r="J137" i="2"/>
  <c r="J167" i="2"/>
  <c r="G112" i="2"/>
  <c r="G197" i="2"/>
  <c r="G49" i="2"/>
  <c r="P46" i="1"/>
  <c r="P156" i="1"/>
  <c r="P93" i="1"/>
  <c r="P16" i="1"/>
  <c r="Q74" i="1"/>
  <c r="Q267" i="1"/>
  <c r="R298" i="1"/>
  <c r="S52" i="1"/>
  <c r="P360" i="1"/>
  <c r="P315" i="1"/>
  <c r="Q281" i="1"/>
  <c r="Q181" i="1"/>
  <c r="R106" i="1"/>
  <c r="P72" i="1"/>
  <c r="P25" i="1"/>
  <c r="P53" i="1"/>
  <c r="Q257" i="1"/>
  <c r="R280" i="1"/>
  <c r="S322" i="1"/>
  <c r="P350" i="1"/>
  <c r="Q33" i="1"/>
  <c r="Q305" i="1"/>
  <c r="P250" i="1"/>
  <c r="R313" i="1"/>
  <c r="P148" i="1"/>
  <c r="Q161" i="1"/>
  <c r="P99" i="1"/>
  <c r="P108" i="1"/>
  <c r="R360" i="1"/>
  <c r="Q171" i="1"/>
  <c r="R96" i="1"/>
  <c r="Q146" i="1"/>
  <c r="R74" i="1"/>
  <c r="Q98" i="1"/>
  <c r="R38" i="1"/>
  <c r="R143" i="1"/>
  <c r="R177" i="1"/>
  <c r="S312" i="1"/>
  <c r="J288" i="1"/>
  <c r="K108" i="1"/>
  <c r="J153" i="1"/>
  <c r="H8" i="2"/>
  <c r="H212" i="2"/>
  <c r="H70" i="2"/>
  <c r="H270" i="2"/>
  <c r="H164" i="2"/>
  <c r="H26" i="2"/>
  <c r="I173" i="2"/>
  <c r="I160" i="2"/>
  <c r="I295" i="2"/>
  <c r="I107" i="2"/>
  <c r="I307" i="2"/>
  <c r="J339" i="2"/>
  <c r="J182" i="2"/>
  <c r="J186" i="2"/>
  <c r="J296" i="2"/>
  <c r="J93" i="2"/>
  <c r="J108" i="2"/>
  <c r="G163" i="2"/>
  <c r="G273" i="2"/>
  <c r="G294" i="2"/>
  <c r="G106" i="2"/>
  <c r="G306" i="2"/>
  <c r="H150" i="2"/>
  <c r="I337" i="2"/>
  <c r="I112" i="2"/>
  <c r="I124" i="2"/>
  <c r="J59" i="2"/>
  <c r="J99" i="2"/>
  <c r="G159" i="2"/>
  <c r="G93" i="2"/>
  <c r="G169" i="2"/>
  <c r="I57" i="1"/>
  <c r="K79" i="1"/>
  <c r="J291" i="1"/>
  <c r="I344" i="1"/>
  <c r="I167" i="1"/>
  <c r="K160" i="1"/>
  <c r="J80" i="1"/>
  <c r="K356" i="1"/>
  <c r="J223" i="1"/>
  <c r="J191" i="1"/>
  <c r="J64" i="1"/>
  <c r="J146" i="1"/>
  <c r="J101" i="1"/>
  <c r="I46" i="1"/>
  <c r="I169" i="1"/>
  <c r="J364" i="1"/>
  <c r="I281" i="1"/>
  <c r="H365" i="2"/>
  <c r="H203" i="2"/>
  <c r="H65" i="2"/>
  <c r="H201" i="2"/>
  <c r="H72" i="2"/>
  <c r="I228" i="2"/>
  <c r="I291" i="2"/>
  <c r="I290" i="2"/>
  <c r="I38" i="2"/>
  <c r="J357" i="2"/>
  <c r="J341" i="2"/>
  <c r="J73" i="2"/>
  <c r="J291" i="2"/>
  <c r="G10" i="2"/>
  <c r="G80" i="2"/>
  <c r="G225" i="2"/>
  <c r="G151" i="2"/>
  <c r="G33" i="2"/>
  <c r="H64" i="2"/>
  <c r="I345" i="2"/>
  <c r="J299" i="2"/>
  <c r="J140" i="2"/>
  <c r="G206" i="2"/>
  <c r="K149" i="1"/>
  <c r="I37" i="1"/>
  <c r="J287" i="1"/>
  <c r="K183" i="1"/>
  <c r="K35" i="1"/>
  <c r="K96" i="1"/>
  <c r="I356" i="1"/>
  <c r="I34" i="1"/>
  <c r="J264" i="1"/>
  <c r="I215" i="1"/>
  <c r="K318" i="1"/>
  <c r="K65" i="1"/>
  <c r="K176" i="1"/>
  <c r="H112" i="2"/>
  <c r="H44" i="2"/>
  <c r="H119" i="2"/>
  <c r="H118" i="2"/>
  <c r="I82" i="2"/>
  <c r="I85" i="2"/>
  <c r="I344" i="2"/>
  <c r="J360" i="2"/>
  <c r="J38" i="2"/>
  <c r="J206" i="2"/>
  <c r="J263" i="2"/>
  <c r="G200" i="2"/>
  <c r="G271" i="2"/>
  <c r="G265" i="2"/>
  <c r="H57" i="2"/>
  <c r="I91" i="2"/>
  <c r="J342" i="2"/>
  <c r="G277" i="2"/>
  <c r="G78" i="2"/>
  <c r="K283" i="1"/>
  <c r="J82" i="1"/>
  <c r="J279" i="1"/>
  <c r="J40" i="1"/>
  <c r="J138" i="1"/>
  <c r="J366" i="1"/>
  <c r="K31" i="1"/>
  <c r="K194" i="1"/>
  <c r="I56" i="1"/>
  <c r="J262" i="1"/>
  <c r="H353" i="2"/>
  <c r="H352" i="2"/>
  <c r="H174" i="2"/>
  <c r="H42" i="2"/>
  <c r="I362" i="2"/>
  <c r="I263" i="2"/>
  <c r="I271" i="2"/>
  <c r="J356" i="2"/>
  <c r="J37" i="2"/>
  <c r="J158" i="2"/>
  <c r="J87" i="2"/>
  <c r="G313" i="2"/>
  <c r="G134" i="2"/>
  <c r="G146" i="2"/>
  <c r="H192" i="2"/>
  <c r="I18" i="2"/>
  <c r="J270" i="2"/>
  <c r="G156" i="2"/>
  <c r="I116" i="1"/>
  <c r="J339" i="1"/>
  <c r="I77" i="1"/>
  <c r="J125" i="1"/>
  <c r="I352" i="1"/>
  <c r="I346" i="1"/>
  <c r="K142" i="1"/>
  <c r="K322" i="1"/>
  <c r="H58" i="2"/>
  <c r="H97" i="2"/>
  <c r="H242" i="2"/>
  <c r="I196" i="2"/>
  <c r="I318" i="2"/>
  <c r="I330" i="2"/>
  <c r="J198" i="2"/>
  <c r="J328" i="2"/>
  <c r="J124" i="2"/>
  <c r="G8" i="2"/>
  <c r="G133" i="2"/>
  <c r="G17" i="2"/>
  <c r="P322" i="1"/>
  <c r="P161" i="1"/>
  <c r="P152" i="1"/>
  <c r="P324" i="1"/>
  <c r="Q297" i="1"/>
  <c r="Q197" i="1"/>
  <c r="R124" i="1"/>
  <c r="P10" i="1"/>
  <c r="P198" i="1"/>
  <c r="P358" i="1"/>
  <c r="Q153" i="1"/>
  <c r="Q38" i="1"/>
  <c r="R26" i="1"/>
  <c r="P31" i="1"/>
  <c r="P299" i="1"/>
  <c r="P140" i="1"/>
  <c r="Q51" i="1"/>
  <c r="R120" i="1"/>
  <c r="S234" i="1"/>
  <c r="P296" i="1"/>
  <c r="R127" i="1"/>
  <c r="Q278" i="1"/>
  <c r="P186" i="1"/>
  <c r="R139" i="1"/>
  <c r="P84" i="1"/>
  <c r="Q358" i="1"/>
  <c r="Q64" i="1"/>
  <c r="P20" i="1"/>
  <c r="R198" i="1"/>
  <c r="Q128" i="1"/>
  <c r="R78" i="1"/>
  <c r="Q103" i="1"/>
  <c r="R42" i="1"/>
  <c r="Q292" i="1"/>
  <c r="R6" i="1"/>
  <c r="R222" i="1"/>
  <c r="R113" i="1"/>
  <c r="S285" i="1"/>
  <c r="J66" i="2"/>
  <c r="G99" i="2"/>
  <c r="G340" i="2"/>
  <c r="G230" i="2"/>
  <c r="G12" i="2"/>
  <c r="G242" i="2"/>
  <c r="H51" i="2"/>
  <c r="I200" i="2"/>
  <c r="I308" i="2"/>
  <c r="I31" i="2"/>
  <c r="J97" i="2"/>
  <c r="J12" i="2"/>
  <c r="G300" i="2"/>
  <c r="G356" i="2"/>
  <c r="G18" i="2"/>
  <c r="J218" i="1"/>
  <c r="K316" i="1"/>
  <c r="K114" i="1"/>
  <c r="I125" i="1"/>
  <c r="K240" i="1"/>
  <c r="I67" i="1"/>
  <c r="I277" i="1"/>
  <c r="J120" i="1"/>
  <c r="J194" i="1"/>
  <c r="K278" i="1"/>
  <c r="J357" i="1"/>
  <c r="K188" i="1"/>
  <c r="I172" i="1"/>
  <c r="J154" i="1"/>
  <c r="I15" i="1"/>
  <c r="J159" i="1"/>
  <c r="J214" i="1"/>
  <c r="H318" i="2"/>
  <c r="H139" i="2"/>
  <c r="H195" i="2"/>
  <c r="H237" i="2"/>
  <c r="H43" i="2"/>
  <c r="I164" i="2"/>
  <c r="I99" i="2"/>
  <c r="I226" i="2"/>
  <c r="I298" i="2"/>
  <c r="J346" i="2"/>
  <c r="J213" i="2"/>
  <c r="J280" i="2"/>
  <c r="J274" i="2"/>
  <c r="G282" i="2"/>
  <c r="G214" i="2"/>
  <c r="G296" i="2"/>
  <c r="G87" i="2"/>
  <c r="H313" i="2"/>
  <c r="H127" i="2"/>
  <c r="I153" i="2"/>
  <c r="J171" i="2"/>
  <c r="G149" i="2"/>
  <c r="G223" i="2"/>
  <c r="J358" i="1"/>
  <c r="I178" i="1"/>
  <c r="J341" i="1"/>
  <c r="K104" i="1"/>
  <c r="J65" i="1"/>
  <c r="J333" i="1"/>
  <c r="K80" i="1"/>
  <c r="J30" i="1"/>
  <c r="J145" i="1"/>
  <c r="I53" i="1"/>
  <c r="K365" i="1"/>
  <c r="K292" i="1"/>
  <c r="J166" i="1"/>
  <c r="H253" i="2"/>
  <c r="H172" i="2"/>
  <c r="H36" i="2"/>
  <c r="H46" i="2"/>
  <c r="I20" i="2"/>
  <c r="I272" i="2"/>
  <c r="I280" i="2"/>
  <c r="J266" i="2"/>
  <c r="J225" i="2"/>
  <c r="J163" i="2"/>
  <c r="J92" i="2"/>
  <c r="G318" i="2"/>
  <c r="G207" i="2"/>
  <c r="G201" i="2"/>
  <c r="H66" i="2"/>
  <c r="I366" i="2"/>
  <c r="J214" i="2"/>
  <c r="G85" i="2"/>
  <c r="G164" i="2"/>
  <c r="J28" i="1"/>
  <c r="I100" i="1"/>
  <c r="J325" i="1"/>
  <c r="I211" i="1"/>
  <c r="I325" i="1"/>
  <c r="J272" i="1"/>
  <c r="J345" i="1"/>
  <c r="I328" i="1"/>
  <c r="J13" i="1"/>
  <c r="J89" i="1"/>
  <c r="H295" i="2"/>
  <c r="H102" i="2"/>
  <c r="H110" i="2"/>
  <c r="H10" i="2"/>
  <c r="I287" i="2"/>
  <c r="I199" i="2"/>
  <c r="I339" i="2"/>
  <c r="J209" i="2"/>
  <c r="J127" i="2"/>
  <c r="J115" i="2"/>
  <c r="J44" i="2"/>
  <c r="G34" i="2"/>
  <c r="G74" i="2"/>
  <c r="G82" i="2"/>
  <c r="H219" i="2"/>
  <c r="I157" i="2"/>
  <c r="J211" i="2"/>
  <c r="G334" i="2"/>
  <c r="I294" i="1"/>
  <c r="I64" i="1"/>
  <c r="I72" i="1"/>
  <c r="K262" i="1"/>
  <c r="K153" i="1"/>
  <c r="J173" i="1"/>
  <c r="K287" i="1"/>
  <c r="K301" i="1"/>
  <c r="H349" i="2"/>
  <c r="H12" i="2"/>
  <c r="H350" i="2"/>
  <c r="I132" i="2"/>
  <c r="I254" i="2"/>
  <c r="I266" i="2"/>
  <c r="J155" i="2"/>
  <c r="J243" i="2"/>
  <c r="J82" i="2"/>
  <c r="G113" i="2"/>
  <c r="G68" i="2"/>
  <c r="P44" i="1"/>
  <c r="P258" i="1"/>
  <c r="P163" i="1"/>
  <c r="P216" i="1"/>
  <c r="P362" i="1"/>
  <c r="Q232" i="1"/>
  <c r="Q54" i="1"/>
  <c r="R34" i="1"/>
  <c r="Q252" i="1"/>
  <c r="P94" i="1"/>
  <c r="P310" i="1"/>
  <c r="Q142" i="1"/>
  <c r="Q53" i="1"/>
  <c r="R25" i="1"/>
  <c r="Q129" i="1"/>
  <c r="P24" i="1"/>
  <c r="P76" i="1"/>
  <c r="Q256" i="1"/>
  <c r="R8" i="1"/>
  <c r="P318" i="1"/>
  <c r="P195" i="1"/>
  <c r="R95" i="1"/>
  <c r="P213" i="1"/>
  <c r="Q138" i="1"/>
  <c r="S156" i="1"/>
  <c r="P49" i="1"/>
  <c r="Q22" i="1"/>
  <c r="P262" i="1"/>
  <c r="Q329" i="1"/>
  <c r="S167" i="1"/>
  <c r="Q50" i="1"/>
  <c r="S346" i="1"/>
  <c r="Q80" i="1"/>
  <c r="S43" i="1"/>
  <c r="Q364" i="1"/>
  <c r="S350" i="1"/>
  <c r="R4" i="1"/>
  <c r="R181" i="1"/>
  <c r="H137" i="2"/>
  <c r="H264" i="2"/>
  <c r="I256" i="2"/>
  <c r="I36" i="2"/>
  <c r="I227" i="2"/>
  <c r="I158" i="2"/>
  <c r="I352" i="2"/>
  <c r="I170" i="2"/>
  <c r="J305" i="2"/>
  <c r="J91" i="2"/>
  <c r="J52" i="2"/>
  <c r="J174" i="2"/>
  <c r="J355" i="2"/>
  <c r="J18" i="2"/>
  <c r="G342" i="2"/>
  <c r="G267" i="2"/>
  <c r="G161" i="2"/>
  <c r="G343" i="2"/>
  <c r="G173" i="2"/>
  <c r="H258" i="2"/>
  <c r="H283" i="2"/>
  <c r="I113" i="2"/>
  <c r="I22" i="2"/>
  <c r="J69" i="2"/>
  <c r="J11" i="2"/>
  <c r="G88" i="2"/>
  <c r="G11" i="2"/>
  <c r="K45" i="1"/>
  <c r="I259" i="1"/>
  <c r="J104" i="1"/>
  <c r="K256" i="1"/>
  <c r="I345" i="1"/>
  <c r="J289" i="1"/>
  <c r="I127" i="1"/>
  <c r="I283" i="1"/>
  <c r="J34" i="1"/>
  <c r="I295" i="1"/>
  <c r="I162" i="1"/>
  <c r="J136" i="1"/>
  <c r="K324" i="1"/>
  <c r="J133" i="1"/>
  <c r="K296" i="1"/>
  <c r="K272" i="1"/>
  <c r="H306" i="2"/>
  <c r="H52" i="2"/>
  <c r="H239" i="2"/>
  <c r="H124" i="2"/>
  <c r="H132" i="2"/>
  <c r="H53" i="2"/>
  <c r="I338" i="2"/>
  <c r="I168" i="2"/>
  <c r="I13" i="2"/>
  <c r="I276" i="2"/>
  <c r="I152" i="2"/>
  <c r="I15" i="2"/>
  <c r="J294" i="2"/>
  <c r="J309" i="2"/>
  <c r="J297" i="2"/>
  <c r="J35" i="2"/>
  <c r="J220" i="2"/>
  <c r="G332" i="2"/>
  <c r="G190" i="2"/>
  <c r="G52" i="2"/>
  <c r="G275" i="2"/>
  <c r="G137" i="2"/>
  <c r="G39" i="2"/>
  <c r="H69" i="2"/>
  <c r="I241" i="2"/>
  <c r="I289" i="2"/>
  <c r="J197" i="2"/>
  <c r="J183" i="2"/>
  <c r="G64" i="2"/>
  <c r="I210" i="1"/>
  <c r="J75" i="1"/>
  <c r="K78" i="1"/>
  <c r="I98" i="1"/>
  <c r="I353" i="1"/>
  <c r="J296" i="1"/>
  <c r="K46" i="1"/>
  <c r="K56" i="1"/>
  <c r="J317" i="1"/>
  <c r="K306" i="1"/>
  <c r="I156" i="1"/>
  <c r="K181" i="1"/>
  <c r="J283" i="1"/>
  <c r="K343" i="1"/>
  <c r="K353" i="1"/>
  <c r="K305" i="1"/>
  <c r="K364" i="1"/>
  <c r="H367" i="2"/>
  <c r="H103" i="2"/>
  <c r="H294" i="2"/>
  <c r="H179" i="2"/>
  <c r="H196" i="2"/>
  <c r="H113" i="2"/>
  <c r="I78" i="2"/>
  <c r="I223" i="2"/>
  <c r="I76" i="2"/>
  <c r="I331" i="2"/>
  <c r="I207" i="2"/>
  <c r="I21" i="2"/>
  <c r="J331" i="2"/>
  <c r="J193" i="2"/>
  <c r="J159" i="2"/>
  <c r="J72" i="2"/>
  <c r="J258" i="2"/>
  <c r="G81" i="2"/>
  <c r="G249" i="2"/>
  <c r="G116" i="2"/>
  <c r="G330" i="2"/>
  <c r="G192" i="2"/>
  <c r="G67" i="2"/>
  <c r="H360" i="2"/>
  <c r="H77" i="2"/>
  <c r="I25" i="2"/>
  <c r="I348" i="2"/>
  <c r="J128" i="2"/>
  <c r="J83" i="2"/>
  <c r="G199" i="2"/>
  <c r="G142" i="2"/>
  <c r="I276" i="1"/>
  <c r="J361" i="1"/>
  <c r="I363" i="1"/>
  <c r="I181" i="1"/>
  <c r="J253" i="1"/>
  <c r="J242" i="1"/>
  <c r="I102" i="1"/>
  <c r="K357" i="1"/>
  <c r="K158" i="1"/>
  <c r="I108" i="1"/>
  <c r="I84" i="1"/>
  <c r="K195" i="1"/>
  <c r="I217" i="1"/>
  <c r="I142" i="1"/>
  <c r="J53" i="1"/>
  <c r="K32" i="1"/>
  <c r="I333" i="1"/>
  <c r="H286" i="2"/>
  <c r="H107" i="2"/>
  <c r="H117" i="2"/>
  <c r="H169" i="2"/>
  <c r="H296" i="2"/>
  <c r="I265" i="2"/>
  <c r="I68" i="2"/>
  <c r="I259" i="2"/>
  <c r="I190" i="2"/>
  <c r="I368" i="2"/>
  <c r="I202" i="2"/>
  <c r="J345" i="2"/>
  <c r="J112" i="2"/>
  <c r="J74" i="2"/>
  <c r="J195" i="2"/>
  <c r="J222" i="2"/>
  <c r="J39" i="2"/>
  <c r="G60" i="2"/>
  <c r="G299" i="2"/>
  <c r="G193" i="2"/>
  <c r="G359" i="2"/>
  <c r="G205" i="2"/>
  <c r="P260" i="1"/>
  <c r="P120" i="1"/>
  <c r="P32" i="1"/>
  <c r="P365" i="1"/>
  <c r="Q122" i="1"/>
  <c r="P230" i="1"/>
  <c r="P103" i="1"/>
  <c r="P151" i="1"/>
  <c r="P319" i="1"/>
  <c r="P59" i="1"/>
  <c r="Q147" i="1"/>
  <c r="Q289" i="1"/>
  <c r="Q57" i="1"/>
  <c r="R332" i="1"/>
  <c r="R41" i="1"/>
  <c r="S106" i="1"/>
  <c r="Q198" i="1"/>
  <c r="P134" i="1"/>
  <c r="P30" i="1"/>
  <c r="P78" i="1"/>
  <c r="P246" i="1"/>
  <c r="P23" i="1"/>
  <c r="Q67" i="1"/>
  <c r="Q59" i="1"/>
  <c r="Q48" i="1"/>
  <c r="R195" i="1"/>
  <c r="R24" i="1"/>
  <c r="S298" i="1"/>
  <c r="Q61" i="1"/>
  <c r="P70" i="1"/>
  <c r="P97" i="1"/>
  <c r="P91" i="1"/>
  <c r="P51" i="1"/>
  <c r="Q157" i="1"/>
  <c r="Q182" i="1"/>
  <c r="R160" i="1"/>
  <c r="S139" i="1"/>
  <c r="P4" i="1"/>
  <c r="P289" i="1"/>
  <c r="P256" i="1"/>
  <c r="P131" i="1"/>
  <c r="Q163" i="1"/>
  <c r="R67" i="1"/>
  <c r="S292" i="1"/>
  <c r="P286" i="1"/>
  <c r="P54" i="1"/>
  <c r="Q95" i="1"/>
  <c r="Q26" i="1"/>
  <c r="S112" i="1"/>
  <c r="P275" i="1"/>
  <c r="P220" i="1"/>
  <c r="Q15" i="1"/>
  <c r="Q25" i="1"/>
  <c r="S336" i="1"/>
  <c r="P285" i="1"/>
  <c r="P274" i="1"/>
  <c r="Q201" i="1"/>
  <c r="Q16" i="1"/>
  <c r="S130" i="1"/>
  <c r="Q367" i="1"/>
  <c r="Q18" i="1"/>
  <c r="R126" i="1"/>
  <c r="S124" i="1"/>
  <c r="S253" i="1"/>
  <c r="Q223" i="1"/>
  <c r="R112" i="1"/>
  <c r="S358" i="1"/>
  <c r="S109" i="1"/>
  <c r="Q366" i="1"/>
  <c r="R290" i="1"/>
  <c r="S235" i="1"/>
  <c r="S22" i="1"/>
  <c r="S183" i="1"/>
  <c r="S179" i="1"/>
  <c r="R307" i="1"/>
  <c r="S228" i="1"/>
  <c r="H266" i="2"/>
  <c r="H73" i="2"/>
  <c r="H200" i="2"/>
  <c r="I288" i="2"/>
  <c r="I319" i="2"/>
  <c r="I163" i="2"/>
  <c r="I94" i="2"/>
  <c r="I294" i="2"/>
  <c r="I106" i="2"/>
  <c r="J65" i="2"/>
  <c r="J48" i="2"/>
  <c r="J239" i="2"/>
  <c r="J131" i="2"/>
  <c r="J316" i="2"/>
  <c r="G358" i="2"/>
  <c r="G336" i="2"/>
  <c r="G203" i="2"/>
  <c r="G97" i="2"/>
  <c r="G279" i="2"/>
  <c r="G109" i="2"/>
  <c r="H130" i="2"/>
  <c r="H255" i="2"/>
  <c r="I282" i="2"/>
  <c r="I229" i="2"/>
  <c r="J47" i="2"/>
  <c r="G341" i="2"/>
  <c r="G220" i="2"/>
  <c r="G29" i="2"/>
  <c r="I247" i="1"/>
  <c r="J250" i="1"/>
  <c r="J261" i="1"/>
  <c r="K61" i="1"/>
  <c r="J20" i="1"/>
  <c r="I329" i="1"/>
  <c r="J275" i="1"/>
  <c r="I16" i="1"/>
  <c r="K189" i="1"/>
  <c r="J256" i="1"/>
  <c r="J48" i="1"/>
  <c r="J139" i="1"/>
  <c r="K261" i="1"/>
  <c r="I236" i="1"/>
  <c r="J295" i="1"/>
  <c r="I158" i="1"/>
  <c r="H213" i="2"/>
  <c r="H317" i="2"/>
  <c r="H175" i="2"/>
  <c r="H60" i="2"/>
  <c r="H68" i="2"/>
  <c r="H35" i="2"/>
  <c r="I274" i="2"/>
  <c r="I104" i="2"/>
  <c r="I354" i="2"/>
  <c r="I212" i="2"/>
  <c r="I88" i="2"/>
  <c r="J353" i="2"/>
  <c r="J251" i="2"/>
  <c r="J181" i="2"/>
  <c r="J169" i="2"/>
  <c r="J301" i="2"/>
  <c r="J178" i="2"/>
  <c r="G268" i="2"/>
  <c r="G126" i="2"/>
  <c r="G145" i="2"/>
  <c r="G211" i="2"/>
  <c r="G62" i="2"/>
  <c r="G57" i="2"/>
  <c r="H128" i="2"/>
  <c r="I310" i="2"/>
  <c r="I97" i="2"/>
  <c r="J90" i="2"/>
  <c r="J98" i="2"/>
  <c r="G280" i="2"/>
  <c r="K367" i="1"/>
  <c r="I110" i="1"/>
  <c r="I105" i="1"/>
  <c r="I313" i="1"/>
  <c r="I265" i="1"/>
  <c r="J230" i="1"/>
  <c r="J318" i="1"/>
  <c r="J347" i="1"/>
  <c r="K162" i="1"/>
  <c r="I168" i="1"/>
  <c r="I357" i="1"/>
  <c r="I190" i="1"/>
  <c r="J23" i="1"/>
  <c r="K168" i="1"/>
  <c r="I135" i="1"/>
  <c r="K64" i="1"/>
  <c r="I175" i="1"/>
  <c r="H300" i="2"/>
  <c r="H45" i="2"/>
  <c r="H230" i="2"/>
  <c r="H115" i="2"/>
  <c r="H123" i="2"/>
  <c r="H28" i="2"/>
  <c r="I333" i="2"/>
  <c r="I159" i="2"/>
  <c r="I183" i="2"/>
  <c r="I267" i="2"/>
  <c r="I143" i="2"/>
  <c r="I11" i="2"/>
  <c r="J288" i="2"/>
  <c r="J293" i="2"/>
  <c r="J281" i="2"/>
  <c r="J30" i="2"/>
  <c r="J215" i="2"/>
  <c r="G323" i="2"/>
  <c r="G185" i="2"/>
  <c r="G46" i="2"/>
  <c r="G266" i="2"/>
  <c r="G128" i="2"/>
  <c r="G35" i="2"/>
  <c r="H184" i="2"/>
  <c r="H362" i="2"/>
  <c r="I177" i="2"/>
  <c r="I161" i="2"/>
  <c r="J43" i="2"/>
  <c r="J189" i="2"/>
  <c r="G182" i="2"/>
  <c r="G292" i="2"/>
  <c r="I269" i="1"/>
  <c r="K14" i="1"/>
  <c r="K84" i="1"/>
  <c r="J35" i="1"/>
  <c r="K150" i="1"/>
  <c r="J368" i="1"/>
  <c r="J38" i="1"/>
  <c r="K354" i="1"/>
  <c r="I68" i="1"/>
  <c r="K118" i="1"/>
  <c r="I61" i="1"/>
  <c r="I138" i="1"/>
  <c r="J52" i="1"/>
  <c r="I171" i="1"/>
  <c r="I23" i="1"/>
  <c r="I119" i="1"/>
  <c r="I55" i="1"/>
  <c r="H222" i="2"/>
  <c r="H25" i="2"/>
  <c r="H298" i="2"/>
  <c r="H105" i="2"/>
  <c r="H232" i="2"/>
  <c r="I110" i="2"/>
  <c r="I350" i="2"/>
  <c r="I195" i="2"/>
  <c r="I126" i="2"/>
  <c r="I326" i="2"/>
  <c r="I138" i="2"/>
  <c r="J177" i="2"/>
  <c r="J70" i="2"/>
  <c r="J31" i="2"/>
  <c r="J152" i="2"/>
  <c r="J338" i="2"/>
  <c r="J13" i="2"/>
  <c r="G357" i="2"/>
  <c r="G235" i="2"/>
  <c r="G129" i="2"/>
  <c r="G311" i="2"/>
  <c r="G141" i="2"/>
  <c r="P178" i="1"/>
  <c r="P130" i="1"/>
  <c r="P160" i="1"/>
  <c r="P194" i="1"/>
  <c r="Q253" i="1"/>
  <c r="P271" i="1"/>
  <c r="P249" i="1"/>
  <c r="P87" i="1"/>
  <c r="P255" i="1"/>
  <c r="Q308" i="1"/>
  <c r="Q72" i="1"/>
  <c r="Q65" i="1"/>
  <c r="R233" i="1"/>
  <c r="R204" i="1"/>
  <c r="R32" i="1"/>
  <c r="S259" i="1"/>
  <c r="Q17" i="1"/>
  <c r="P149" i="1"/>
  <c r="P180" i="1"/>
  <c r="P17" i="1"/>
  <c r="P182" i="1"/>
  <c r="Q196" i="1"/>
  <c r="Q221" i="1"/>
  <c r="Q320" i="1"/>
  <c r="R269" i="1"/>
  <c r="R144" i="1"/>
  <c r="S209" i="1"/>
  <c r="S131" i="1"/>
  <c r="R361" i="1"/>
  <c r="P257" i="1"/>
  <c r="P367" i="1"/>
  <c r="P301" i="1"/>
  <c r="P19" i="1"/>
  <c r="Q218" i="1"/>
  <c r="Q107" i="1"/>
  <c r="R315" i="1"/>
  <c r="S187" i="1"/>
  <c r="Q79" i="1"/>
  <c r="P364" i="1"/>
  <c r="P192" i="1"/>
  <c r="P47" i="1"/>
  <c r="Q226" i="1"/>
  <c r="R201" i="1"/>
  <c r="S181" i="1"/>
  <c r="P348" i="1"/>
  <c r="P243" i="1"/>
  <c r="Q47" i="1"/>
  <c r="R362" i="1"/>
  <c r="S199" i="1"/>
  <c r="P356" i="1"/>
  <c r="P292" i="1"/>
  <c r="Q217" i="1"/>
  <c r="R159" i="1"/>
  <c r="S160" i="1"/>
  <c r="P240" i="1"/>
  <c r="P187" i="1"/>
  <c r="Q73" i="1"/>
  <c r="R338" i="1"/>
  <c r="S244" i="1"/>
  <c r="Q300" i="1"/>
  <c r="Q45" i="1"/>
  <c r="R308" i="1"/>
  <c r="S366" i="1"/>
  <c r="S125" i="1"/>
  <c r="Q211" i="1"/>
  <c r="R299" i="1"/>
  <c r="S247" i="1"/>
  <c r="S30" i="1"/>
  <c r="Q299" i="1"/>
  <c r="R226" i="1"/>
  <c r="S35" i="1"/>
  <c r="S53" i="1"/>
  <c r="S236" i="1"/>
  <c r="S136" i="1"/>
  <c r="R243" i="1"/>
  <c r="S186" i="1"/>
  <c r="I210" i="2"/>
  <c r="I40" i="2"/>
  <c r="I336" i="2"/>
  <c r="I148" i="2"/>
  <c r="I151" i="2"/>
  <c r="J321" i="2"/>
  <c r="J208" i="2"/>
  <c r="J53" i="2"/>
  <c r="J41" i="2"/>
  <c r="J173" i="2"/>
  <c r="J135" i="2"/>
  <c r="G204" i="2"/>
  <c r="G40" i="2"/>
  <c r="G335" i="2"/>
  <c r="G147" i="2"/>
  <c r="G118" i="2"/>
  <c r="G25" i="2"/>
  <c r="H141" i="2"/>
  <c r="I154" i="2"/>
  <c r="I165" i="2"/>
  <c r="J175" i="2"/>
  <c r="G346" i="2"/>
  <c r="G152" i="2"/>
  <c r="J108" i="1"/>
  <c r="I159" i="1"/>
  <c r="K349" i="1"/>
  <c r="K36" i="1"/>
  <c r="J234" i="1"/>
  <c r="I327" i="1"/>
  <c r="K294" i="1"/>
  <c r="J212" i="1"/>
  <c r="I28" i="1"/>
  <c r="I230" i="1"/>
  <c r="K217" i="1"/>
  <c r="J277" i="1"/>
  <c r="J363" i="1"/>
  <c r="J151" i="1"/>
  <c r="K178" i="1"/>
  <c r="J45" i="1"/>
  <c r="H181" i="2"/>
  <c r="H308" i="2"/>
  <c r="H166" i="2"/>
  <c r="H49" i="2"/>
  <c r="H59" i="2"/>
  <c r="H31" i="2"/>
  <c r="I269" i="2"/>
  <c r="I95" i="2"/>
  <c r="I346" i="2"/>
  <c r="I203" i="2"/>
  <c r="I79" i="2"/>
  <c r="J324" i="2"/>
  <c r="J246" i="2"/>
  <c r="J165" i="2"/>
  <c r="J153" i="2"/>
  <c r="J285" i="2"/>
  <c r="J172" i="2"/>
  <c r="G259" i="2"/>
  <c r="G121" i="2"/>
  <c r="G368" i="2"/>
  <c r="G202" i="2"/>
  <c r="G56" i="2"/>
  <c r="G53" i="2"/>
  <c r="H56" i="2"/>
  <c r="H191" i="2"/>
  <c r="I49" i="2"/>
  <c r="I293" i="2"/>
  <c r="J325" i="2"/>
  <c r="J351" i="2"/>
  <c r="G194" i="2"/>
  <c r="G75" i="2"/>
  <c r="K203" i="1"/>
  <c r="J103" i="1"/>
  <c r="J134" i="1"/>
  <c r="J337" i="1"/>
  <c r="K273" i="1"/>
  <c r="J127" i="1"/>
  <c r="I20" i="1"/>
  <c r="I224" i="1"/>
  <c r="K185" i="1"/>
  <c r="I286" i="1"/>
  <c r="I222" i="1"/>
  <c r="K298" i="1"/>
  <c r="I111" i="1"/>
  <c r="I296" i="1"/>
  <c r="K206" i="1"/>
  <c r="K25" i="1"/>
  <c r="H333" i="2"/>
  <c r="H158" i="2"/>
  <c r="H348" i="2"/>
  <c r="H234" i="2"/>
  <c r="H301" i="2"/>
  <c r="H168" i="2"/>
  <c r="I233" i="2"/>
  <c r="I278" i="2"/>
  <c r="I131" i="2"/>
  <c r="I62" i="2"/>
  <c r="I262" i="2"/>
  <c r="I74" i="2"/>
  <c r="J362" i="2"/>
  <c r="J27" i="2"/>
  <c r="J212" i="2"/>
  <c r="J110" i="2"/>
  <c r="J295" i="2"/>
  <c r="G209" i="2"/>
  <c r="G304" i="2"/>
  <c r="G171" i="2"/>
  <c r="L171" i="2" s="1"/>
  <c r="G58" i="2"/>
  <c r="G247" i="2"/>
  <c r="G77" i="2"/>
  <c r="P114" i="1"/>
  <c r="P96" i="1"/>
  <c r="P248" i="1"/>
  <c r="P126" i="1"/>
  <c r="Q295" i="1"/>
  <c r="P167" i="1"/>
  <c r="P185" i="1"/>
  <c r="P22" i="1"/>
  <c r="P191" i="1"/>
  <c r="Q202" i="1"/>
  <c r="Q237" i="1"/>
  <c r="Q331" i="1"/>
  <c r="R319" i="1"/>
  <c r="R176" i="1"/>
  <c r="S310" i="1"/>
  <c r="S142" i="1"/>
  <c r="R215" i="1"/>
  <c r="P189" i="1"/>
  <c r="P116" i="1"/>
  <c r="P129" i="1"/>
  <c r="P118" i="1"/>
  <c r="Q154" i="1"/>
  <c r="Q250" i="1"/>
  <c r="Q187" i="1"/>
  <c r="R187" i="1"/>
  <c r="R203" i="1"/>
  <c r="S272" i="1"/>
  <c r="S334" i="1"/>
  <c r="R249" i="1"/>
  <c r="P349" i="1"/>
  <c r="P325" i="1"/>
  <c r="P237" i="1"/>
  <c r="Q365" i="1"/>
  <c r="Q327" i="1"/>
  <c r="Q165" i="1"/>
  <c r="R118" i="1"/>
  <c r="S342" i="1"/>
  <c r="Q152" i="1"/>
  <c r="P239" i="1"/>
  <c r="P128" i="1"/>
  <c r="Q357" i="1"/>
  <c r="Q193" i="1"/>
  <c r="R300" i="1"/>
  <c r="S7" i="1"/>
  <c r="P307" i="1"/>
  <c r="P306" i="1"/>
  <c r="Q179" i="1"/>
  <c r="R206" i="1"/>
  <c r="S246" i="1"/>
  <c r="P294" i="1"/>
  <c r="P196" i="1"/>
  <c r="Q104" i="1"/>
  <c r="R35" i="1"/>
  <c r="S266" i="1"/>
  <c r="P190" i="1"/>
  <c r="P123" i="1"/>
  <c r="Q269" i="1"/>
  <c r="R228" i="1"/>
  <c r="S138" i="1"/>
  <c r="Q210" i="1"/>
  <c r="Q13" i="1"/>
  <c r="R39" i="1"/>
  <c r="S278" i="1"/>
  <c r="S38" i="1"/>
  <c r="Q310" i="1"/>
  <c r="R235" i="1"/>
  <c r="S107" i="1"/>
  <c r="S57" i="1"/>
  <c r="Q224" i="1"/>
  <c r="R162" i="1"/>
  <c r="S67" i="1"/>
  <c r="S21" i="1"/>
  <c r="S321" i="1"/>
  <c r="S94" i="1"/>
  <c r="R179" i="1"/>
  <c r="S143" i="1"/>
  <c r="G326" i="2"/>
  <c r="G138" i="2"/>
  <c r="G338" i="2"/>
  <c r="G21" i="2"/>
  <c r="H261" i="2"/>
  <c r="H39" i="2"/>
  <c r="I218" i="2"/>
  <c r="I101" i="2"/>
  <c r="J143" i="2"/>
  <c r="J226" i="2"/>
  <c r="G191" i="2"/>
  <c r="K304" i="1"/>
  <c r="I304" i="1"/>
  <c r="K244" i="1"/>
  <c r="K24" i="1"/>
  <c r="J152" i="1"/>
  <c r="K122" i="1"/>
  <c r="I245" i="1"/>
  <c r="J290" i="1"/>
  <c r="K222" i="1"/>
  <c r="J69" i="1"/>
  <c r="I191" i="1"/>
  <c r="J304" i="1"/>
  <c r="I368" i="1"/>
  <c r="K197" i="1"/>
  <c r="K345" i="1"/>
  <c r="J301" i="1"/>
  <c r="K167" i="1"/>
  <c r="H282" i="2"/>
  <c r="H94" i="2"/>
  <c r="H289" i="2"/>
  <c r="H170" i="2"/>
  <c r="H187" i="2"/>
  <c r="H104" i="2"/>
  <c r="I73" i="2"/>
  <c r="I214" i="2"/>
  <c r="I67" i="2"/>
  <c r="I322" i="2"/>
  <c r="I198" i="2"/>
  <c r="I16" i="2"/>
  <c r="J326" i="2"/>
  <c r="J161" i="2"/>
  <c r="J154" i="2"/>
  <c r="J67" i="2"/>
  <c r="J252" i="2"/>
  <c r="G66" i="2"/>
  <c r="G240" i="2"/>
  <c r="G107" i="2"/>
  <c r="G325" i="2"/>
  <c r="G183" i="2"/>
  <c r="G63" i="2"/>
  <c r="P361" i="1"/>
  <c r="P366" i="1"/>
  <c r="P207" i="1"/>
  <c r="P135" i="1"/>
  <c r="Q259" i="1"/>
  <c r="P18" i="1"/>
  <c r="P121" i="1"/>
  <c r="P138" i="1"/>
  <c r="P5" i="1"/>
  <c r="Q159" i="1"/>
  <c r="Q282" i="1"/>
  <c r="Q39" i="1"/>
  <c r="R260" i="1"/>
  <c r="R217" i="1"/>
  <c r="S315" i="1"/>
  <c r="S356" i="1"/>
  <c r="R236" i="1"/>
  <c r="P316" i="1"/>
  <c r="P40" i="1"/>
  <c r="P228" i="1"/>
  <c r="P273" i="1"/>
  <c r="Q111" i="1"/>
  <c r="Q338" i="1"/>
  <c r="Q354" i="1"/>
  <c r="R242" i="1"/>
  <c r="R15" i="1"/>
  <c r="S161" i="1"/>
  <c r="S14" i="1"/>
  <c r="R49" i="1"/>
  <c r="P143" i="1"/>
  <c r="P261" i="1"/>
  <c r="P173" i="1"/>
  <c r="Q106" i="1"/>
  <c r="Q220" i="1"/>
  <c r="Q34" i="1"/>
  <c r="R185" i="1"/>
  <c r="S191" i="1"/>
  <c r="R109" i="1"/>
  <c r="P125" i="1"/>
  <c r="P188" i="1"/>
  <c r="Q249" i="1"/>
  <c r="Q325" i="1"/>
  <c r="R234" i="1"/>
  <c r="Q349" i="1"/>
  <c r="P326" i="1"/>
  <c r="P223" i="1"/>
  <c r="Q368" i="1"/>
  <c r="R268" i="1"/>
  <c r="S301" i="1"/>
  <c r="P50" i="1"/>
  <c r="P150" i="1"/>
  <c r="Q332" i="1"/>
  <c r="R122" i="1"/>
  <c r="S17" i="1"/>
  <c r="P57" i="1"/>
  <c r="P77" i="1"/>
  <c r="Q321" i="1"/>
  <c r="R267" i="1"/>
  <c r="S302" i="1"/>
  <c r="Q241" i="1"/>
  <c r="R345" i="1"/>
  <c r="R225" i="1"/>
  <c r="S175" i="1"/>
  <c r="Q290" i="1"/>
  <c r="R133" i="1"/>
  <c r="R156" i="1"/>
  <c r="S127" i="1"/>
  <c r="Q188" i="1"/>
  <c r="R283" i="1"/>
  <c r="R84" i="1"/>
  <c r="S79" i="1"/>
  <c r="R271" i="1"/>
  <c r="S288" i="1"/>
  <c r="R305" i="1"/>
  <c r="S294" i="1"/>
  <c r="S83" i="1"/>
  <c r="P317" i="1"/>
  <c r="P200" i="1"/>
  <c r="R342" i="1"/>
  <c r="P321" i="1"/>
  <c r="P41" i="1"/>
  <c r="P343" i="1"/>
  <c r="P169" i="1"/>
  <c r="P127" i="1"/>
  <c r="P27" i="1"/>
  <c r="Q169" i="1"/>
  <c r="Q242" i="1"/>
  <c r="Q192" i="1"/>
  <c r="Q52" i="1"/>
  <c r="R367" i="1"/>
  <c r="R326" i="1"/>
  <c r="S123" i="1"/>
  <c r="S314" i="1"/>
  <c r="Q330" i="1"/>
  <c r="S150" i="1"/>
  <c r="P280" i="1"/>
  <c r="P308" i="1"/>
  <c r="P270" i="1"/>
  <c r="P100" i="1"/>
  <c r="P58" i="1"/>
  <c r="Q324" i="1"/>
  <c r="Q239" i="1"/>
  <c r="Q130" i="1"/>
  <c r="Q112" i="1"/>
  <c r="Q4" i="1"/>
  <c r="R128" i="1"/>
  <c r="R134" i="1"/>
  <c r="S151" i="1"/>
  <c r="S39" i="1"/>
  <c r="Q313" i="1"/>
  <c r="S163" i="1"/>
  <c r="P245" i="1"/>
  <c r="P235" i="1"/>
  <c r="P197" i="1"/>
  <c r="P211" i="1"/>
  <c r="P332" i="1"/>
  <c r="Q345" i="1"/>
  <c r="Q195" i="1"/>
  <c r="Q260" i="1"/>
  <c r="Q287" i="1"/>
  <c r="R183" i="1"/>
  <c r="R224" i="1"/>
  <c r="R252" i="1"/>
  <c r="S326" i="1"/>
  <c r="S227" i="1"/>
  <c r="Q156" i="1"/>
  <c r="S77" i="1"/>
  <c r="P111" i="1"/>
  <c r="P226" i="1"/>
  <c r="P64" i="1"/>
  <c r="P168" i="1"/>
  <c r="Q303" i="1"/>
  <c r="Q55" i="1"/>
  <c r="Q246" i="1"/>
  <c r="R173" i="1"/>
  <c r="R172" i="1"/>
  <c r="S19" i="1"/>
  <c r="S216" i="1"/>
  <c r="R328" i="1"/>
  <c r="P352" i="1"/>
  <c r="P89" i="1"/>
  <c r="P170" i="1"/>
  <c r="P122" i="1"/>
  <c r="Q110" i="1"/>
  <c r="Q266" i="1"/>
  <c r="R137" i="1"/>
  <c r="R202" i="1"/>
  <c r="S276" i="1"/>
  <c r="Q27" i="1"/>
  <c r="P272" i="1"/>
  <c r="P202" i="1"/>
  <c r="P251" i="1"/>
  <c r="P36" i="1"/>
  <c r="Q285" i="1"/>
  <c r="Q230" i="1"/>
  <c r="R265" i="1"/>
  <c r="R66" i="1"/>
  <c r="S148" i="1"/>
  <c r="Q12" i="1"/>
  <c r="P330" i="1"/>
  <c r="P60" i="1"/>
  <c r="P333" i="1"/>
  <c r="P35" i="1"/>
  <c r="Q93" i="1"/>
  <c r="Q144" i="1"/>
  <c r="R304" i="1"/>
  <c r="R57" i="1"/>
  <c r="S10" i="1"/>
  <c r="S44" i="1"/>
  <c r="Q151" i="1"/>
  <c r="Q86" i="1"/>
  <c r="R136" i="1"/>
  <c r="R101" i="1"/>
  <c r="R240" i="1"/>
  <c r="R5" i="1"/>
  <c r="S75" i="1"/>
  <c r="S293" i="1"/>
  <c r="S8" i="1"/>
  <c r="Q178" i="1"/>
  <c r="Q14" i="1"/>
  <c r="R251" i="1"/>
  <c r="R352" i="1"/>
  <c r="R48" i="1"/>
  <c r="S113" i="1"/>
  <c r="S296" i="1"/>
  <c r="Q120" i="1"/>
  <c r="Q209" i="1"/>
  <c r="Q37" i="1"/>
  <c r="R210" i="1"/>
  <c r="R285" i="1"/>
  <c r="R12" i="1"/>
  <c r="S327" i="1"/>
  <c r="S232" i="1"/>
  <c r="R340" i="1"/>
  <c r="R94" i="1"/>
  <c r="S331" i="1"/>
  <c r="S245" i="1"/>
  <c r="S70" i="1"/>
  <c r="R130" i="1"/>
  <c r="R77" i="1"/>
  <c r="S367" i="1"/>
  <c r="S217" i="1"/>
  <c r="S5" i="1"/>
  <c r="P61" i="1"/>
  <c r="P264" i="1"/>
  <c r="R184" i="1"/>
  <c r="P304" i="1"/>
  <c r="P313" i="1"/>
  <c r="P279" i="1"/>
  <c r="P105" i="1"/>
  <c r="P63" i="1"/>
  <c r="Q361" i="1"/>
  <c r="Q271" i="1"/>
  <c r="Q135" i="1"/>
  <c r="Q134" i="1"/>
  <c r="Q8" i="1"/>
  <c r="R165" i="1"/>
  <c r="R152" i="1"/>
  <c r="S224" i="1"/>
  <c r="S71" i="1"/>
  <c r="Q35" i="1"/>
  <c r="S60" i="1"/>
  <c r="P345" i="1"/>
  <c r="P244" i="1"/>
  <c r="P206" i="1"/>
  <c r="P234" i="1"/>
  <c r="P337" i="1"/>
  <c r="Q340" i="1"/>
  <c r="Q216" i="1"/>
  <c r="Q71" i="1"/>
  <c r="Q7" i="1"/>
  <c r="R196" i="1"/>
  <c r="R261" i="1"/>
  <c r="R266" i="1"/>
  <c r="S144" i="1"/>
  <c r="S248" i="1"/>
  <c r="Q200" i="1"/>
  <c r="P263" i="1"/>
  <c r="P303" i="1"/>
  <c r="P171" i="1"/>
  <c r="P133" i="1"/>
  <c r="P297" i="1"/>
  <c r="P268" i="1"/>
  <c r="Q191" i="1"/>
  <c r="Q136" i="1"/>
  <c r="Q190" i="1"/>
  <c r="Q346" i="1"/>
  <c r="R232" i="1"/>
  <c r="R314" i="1"/>
  <c r="R98" i="1"/>
  <c r="S134" i="1"/>
  <c r="S120" i="1"/>
  <c r="Q342" i="1"/>
  <c r="P231" i="1"/>
  <c r="P254" i="1"/>
  <c r="P162" i="1"/>
  <c r="P252" i="1"/>
  <c r="P42" i="1"/>
  <c r="Q186" i="1"/>
  <c r="Q141" i="1"/>
  <c r="Q102" i="1"/>
  <c r="R219" i="1"/>
  <c r="R331" i="1"/>
  <c r="S320" i="1"/>
  <c r="S99" i="1"/>
  <c r="R178" i="1"/>
  <c r="P344" i="1"/>
  <c r="P225" i="1"/>
  <c r="P265" i="1"/>
  <c r="P52" i="1"/>
  <c r="Q23" i="1"/>
  <c r="Q323" i="1"/>
  <c r="R119" i="1"/>
  <c r="R82" i="1"/>
  <c r="S159" i="1"/>
  <c r="R363" i="1"/>
  <c r="P181" i="1"/>
  <c r="P65" i="1"/>
  <c r="P342" i="1"/>
  <c r="P39" i="1"/>
  <c r="Q109" i="1"/>
  <c r="Q294" i="1"/>
  <c r="R357" i="1"/>
  <c r="R73" i="1"/>
  <c r="S26" i="1"/>
  <c r="R132" i="1"/>
  <c r="P295" i="1"/>
  <c r="P351" i="1"/>
  <c r="P269" i="1"/>
  <c r="Q335" i="1"/>
  <c r="Q222" i="1"/>
  <c r="Q277" i="1"/>
  <c r="R182" i="1"/>
  <c r="R56" i="1"/>
  <c r="S137" i="1"/>
  <c r="S12" i="1"/>
  <c r="Q363" i="1"/>
  <c r="Q255" i="1"/>
  <c r="R310" i="1"/>
  <c r="R333" i="1"/>
  <c r="R356" i="1"/>
  <c r="R52" i="1"/>
  <c r="S140" i="1"/>
  <c r="S307" i="1"/>
  <c r="Q126" i="1"/>
  <c r="Q225" i="1"/>
  <c r="Q41" i="1"/>
  <c r="R302" i="1"/>
  <c r="R294" i="1"/>
  <c r="R16" i="1"/>
  <c r="S338" i="1"/>
  <c r="S238" i="1"/>
  <c r="Q78" i="1"/>
  <c r="Q81" i="1"/>
  <c r="Q5" i="1"/>
  <c r="R286" i="1"/>
  <c r="R221" i="1"/>
  <c r="S311" i="1"/>
  <c r="S172" i="1"/>
  <c r="S190" i="1"/>
  <c r="R276" i="1"/>
  <c r="R62" i="1"/>
  <c r="S192" i="1"/>
  <c r="S18" i="1"/>
  <c r="S6" i="1"/>
  <c r="R55" i="1"/>
  <c r="R45" i="1"/>
  <c r="S262" i="1"/>
  <c r="S89" i="1"/>
  <c r="S48" i="1"/>
  <c r="P357" i="1"/>
  <c r="P312" i="1"/>
  <c r="P107" i="1"/>
  <c r="P69" i="1"/>
  <c r="P354" i="1"/>
  <c r="P204" i="1"/>
  <c r="Q148" i="1"/>
  <c r="Q62" i="1"/>
  <c r="Q236" i="1"/>
  <c r="Q341" i="1"/>
  <c r="R174" i="1"/>
  <c r="R186" i="1"/>
  <c r="R18" i="1"/>
  <c r="S300" i="1"/>
  <c r="S323" i="1"/>
  <c r="Q213" i="1"/>
  <c r="P335" i="1"/>
  <c r="P298" i="1"/>
  <c r="P98" i="1"/>
  <c r="P210" i="1"/>
  <c r="P323" i="1"/>
  <c r="Q143" i="1"/>
  <c r="Q322" i="1"/>
  <c r="Q344" i="1"/>
  <c r="R197" i="1"/>
  <c r="R254" i="1"/>
  <c r="S295" i="1"/>
  <c r="S333" i="1"/>
  <c r="S198" i="1"/>
  <c r="P199" i="1"/>
  <c r="P74" i="1"/>
  <c r="P346" i="1"/>
  <c r="Q298" i="1"/>
  <c r="Q125" i="1"/>
  <c r="Q326" i="1"/>
  <c r="R19" i="1"/>
  <c r="R81" i="1"/>
  <c r="S206" i="1"/>
  <c r="R63" i="1"/>
  <c r="P34" i="1"/>
  <c r="P355" i="1"/>
  <c r="P278" i="1"/>
  <c r="Q175" i="1"/>
  <c r="Q243" i="1"/>
  <c r="Q293" i="1"/>
  <c r="R229" i="1"/>
  <c r="R64" i="1"/>
  <c r="S78" i="1"/>
  <c r="R231" i="1"/>
  <c r="P266" i="1"/>
  <c r="P293" i="1"/>
  <c r="P205" i="1"/>
  <c r="Q127" i="1"/>
  <c r="Q268" i="1"/>
  <c r="Q58" i="1"/>
  <c r="R191" i="1"/>
  <c r="S86" i="1"/>
  <c r="S173" i="1"/>
  <c r="Q131" i="1"/>
  <c r="Q274" i="1"/>
  <c r="Q238" i="1"/>
  <c r="R146" i="1"/>
  <c r="R227" i="1"/>
  <c r="R303" i="1"/>
  <c r="R20" i="1"/>
  <c r="S347" i="1"/>
  <c r="S243" i="1"/>
  <c r="Q83" i="1"/>
  <c r="Q97" i="1"/>
  <c r="Q9" i="1"/>
  <c r="R296" i="1"/>
  <c r="R230" i="1"/>
  <c r="S362" i="1"/>
  <c r="S203" i="1"/>
  <c r="S195" i="1"/>
  <c r="Q301" i="1"/>
  <c r="Q296" i="1"/>
  <c r="Q24" i="1"/>
  <c r="R141" i="1"/>
  <c r="R157" i="1"/>
  <c r="S343" i="1"/>
  <c r="S213" i="1"/>
  <c r="S147" i="1"/>
  <c r="R212" i="1"/>
  <c r="R30" i="1"/>
  <c r="S257" i="1"/>
  <c r="S303" i="1"/>
  <c r="S45" i="1"/>
  <c r="R277" i="1"/>
  <c r="R13" i="1"/>
  <c r="S103" i="1"/>
  <c r="S15" i="1"/>
  <c r="S16" i="1"/>
  <c r="R192" i="1"/>
  <c r="R87" i="1"/>
  <c r="R17" i="1"/>
  <c r="S335" i="1"/>
  <c r="S73" i="1"/>
  <c r="R349" i="1"/>
  <c r="P79" i="1"/>
  <c r="P339" i="1"/>
  <c r="P8" i="1"/>
  <c r="P82" i="1"/>
  <c r="P259" i="1"/>
  <c r="Q100" i="1"/>
  <c r="Q119" i="1"/>
  <c r="Q336" i="1"/>
  <c r="R169" i="1"/>
  <c r="R263" i="1"/>
  <c r="S91" i="1"/>
  <c r="S49" i="1"/>
  <c r="S368" i="1"/>
  <c r="P208" i="1"/>
  <c r="P183" i="1"/>
  <c r="P287" i="1"/>
  <c r="Q180" i="1"/>
  <c r="Q264" i="1"/>
  <c r="Q309" i="1"/>
  <c r="R100" i="1"/>
  <c r="R72" i="1"/>
  <c r="S88" i="1"/>
  <c r="R40" i="1"/>
  <c r="P277" i="1"/>
  <c r="P110" i="1"/>
  <c r="P214" i="1"/>
  <c r="Q132" i="1"/>
  <c r="Q311" i="1"/>
  <c r="Q69" i="1"/>
  <c r="R259" i="1"/>
  <c r="S241" i="1"/>
  <c r="S205" i="1"/>
  <c r="R50" i="1"/>
  <c r="P117" i="1"/>
  <c r="P38" i="1"/>
  <c r="P141" i="1"/>
  <c r="Q84" i="1"/>
  <c r="Q162" i="1"/>
  <c r="Q6" i="1"/>
  <c r="R108" i="1"/>
  <c r="S193" i="1"/>
  <c r="S9" i="1"/>
  <c r="Q88" i="1"/>
  <c r="Q194" i="1"/>
  <c r="Q133" i="1"/>
  <c r="R347" i="1"/>
  <c r="R163" i="1"/>
  <c r="R239" i="1"/>
  <c r="S114" i="1"/>
  <c r="S215" i="1"/>
  <c r="S200" i="1"/>
  <c r="Q317" i="1"/>
  <c r="Q352" i="1"/>
  <c r="Q28" i="1"/>
  <c r="R151" i="1"/>
  <c r="R166" i="1"/>
  <c r="S82" i="1"/>
  <c r="S261" i="1"/>
  <c r="S152" i="1"/>
  <c r="Q173" i="1"/>
  <c r="Q272" i="1"/>
  <c r="R293" i="1"/>
  <c r="R337" i="1"/>
  <c r="R97" i="1"/>
  <c r="S81" i="1"/>
  <c r="S308" i="1"/>
  <c r="S104" i="1"/>
  <c r="R148" i="1"/>
  <c r="R85" i="1"/>
  <c r="S210" i="1"/>
  <c r="S249" i="1"/>
  <c r="S13" i="1"/>
  <c r="R364" i="1"/>
  <c r="R60" i="1"/>
  <c r="S299" i="1"/>
  <c r="S352" i="1"/>
  <c r="P92" i="1"/>
  <c r="P329" i="1"/>
  <c r="P232" i="1"/>
  <c r="P67" i="1"/>
  <c r="Q56" i="1"/>
  <c r="Q360" i="1"/>
  <c r="Q19" i="1"/>
  <c r="Q30" i="1"/>
  <c r="R51" i="1"/>
  <c r="R153" i="1"/>
  <c r="S337" i="1"/>
  <c r="S180" i="1"/>
  <c r="P291" i="1"/>
  <c r="R344" i="1"/>
  <c r="P309" i="1"/>
  <c r="P71" i="1"/>
  <c r="P359" i="1"/>
  <c r="P201" i="1"/>
  <c r="P159" i="1"/>
  <c r="P43" i="1"/>
  <c r="Q233" i="1"/>
  <c r="Q316" i="1"/>
  <c r="Q235" i="1"/>
  <c r="Q29" i="1"/>
  <c r="R288" i="1"/>
  <c r="R167" i="1"/>
  <c r="S306" i="1"/>
  <c r="S85" i="1"/>
  <c r="Q228" i="1"/>
  <c r="S87" i="1"/>
  <c r="P341" i="1"/>
  <c r="P340" i="1"/>
  <c r="P302" i="1"/>
  <c r="P132" i="1"/>
  <c r="P86" i="1"/>
  <c r="P7" i="1"/>
  <c r="Q89" i="1"/>
  <c r="Q167" i="1"/>
  <c r="Q150" i="1"/>
  <c r="Q20" i="1"/>
  <c r="R287" i="1"/>
  <c r="R216" i="1"/>
  <c r="S283" i="1"/>
  <c r="S201" i="1"/>
  <c r="Q164" i="1"/>
  <c r="S274" i="1"/>
  <c r="P166" i="1"/>
  <c r="P267" i="1"/>
  <c r="P229" i="1"/>
  <c r="P48" i="1"/>
  <c r="P21" i="1"/>
  <c r="Q314" i="1"/>
  <c r="Q275" i="1"/>
  <c r="Q87" i="1"/>
  <c r="Q70" i="1"/>
  <c r="R223" i="1"/>
  <c r="R350" i="1"/>
  <c r="R330" i="1"/>
  <c r="S177" i="1"/>
  <c r="S318" i="1"/>
  <c r="S46" i="1"/>
  <c r="Q333" i="1"/>
  <c r="Q108" i="1"/>
  <c r="Q212" i="1"/>
  <c r="Q315" i="1"/>
  <c r="Q32" i="1"/>
  <c r="R351" i="1"/>
  <c r="R164" i="1"/>
  <c r="R244" i="1"/>
  <c r="R175" i="1"/>
  <c r="R46" i="1"/>
  <c r="S155" i="1"/>
  <c r="S119" i="1"/>
  <c r="S51" i="1"/>
  <c r="S349" i="1"/>
  <c r="S158" i="1"/>
  <c r="S61" i="1"/>
  <c r="Q189" i="1"/>
  <c r="Q31" i="1"/>
  <c r="Q288" i="1"/>
  <c r="Q240" i="1"/>
  <c r="R341" i="1"/>
  <c r="R142" i="1"/>
  <c r="R88" i="1"/>
  <c r="R171" i="1"/>
  <c r="R102" i="1"/>
  <c r="R10" i="1"/>
  <c r="S96" i="1"/>
  <c r="S171" i="1"/>
  <c r="S319" i="1"/>
  <c r="S297" i="1"/>
  <c r="S110" i="1"/>
  <c r="S25" i="1"/>
  <c r="Q43" i="1"/>
  <c r="Q270" i="1"/>
  <c r="Q203" i="1"/>
  <c r="Q229" i="1"/>
  <c r="R256" i="1"/>
  <c r="R114" i="1"/>
  <c r="R273" i="1"/>
  <c r="R92" i="1"/>
  <c r="R339" i="1"/>
  <c r="R61" i="1"/>
  <c r="S208" i="1"/>
  <c r="S316" i="1"/>
  <c r="S250" i="1"/>
  <c r="S153" i="1"/>
  <c r="S165" i="1"/>
  <c r="S64" i="1"/>
  <c r="R71" i="1"/>
  <c r="R321" i="1"/>
  <c r="R53" i="1"/>
  <c r="S178" i="1"/>
  <c r="S289" i="1"/>
  <c r="S239" i="1"/>
  <c r="S121" i="1"/>
  <c r="S42" i="1"/>
  <c r="S56" i="1"/>
  <c r="R158" i="1"/>
  <c r="R317" i="1"/>
  <c r="R115" i="1"/>
  <c r="R28" i="1"/>
  <c r="S194" i="1"/>
  <c r="S363" i="1"/>
  <c r="S100" i="1"/>
  <c r="S254" i="1"/>
  <c r="S157" i="1"/>
  <c r="P9" i="1"/>
  <c r="P311" i="1"/>
  <c r="P137" i="1"/>
  <c r="P95" i="1"/>
  <c r="P11" i="1"/>
  <c r="Q105" i="1"/>
  <c r="Q172" i="1"/>
  <c r="Q155" i="1"/>
  <c r="Q36" i="1"/>
  <c r="R297" i="1"/>
  <c r="R248" i="1"/>
  <c r="S128" i="1"/>
  <c r="S233" i="1"/>
  <c r="Q254" i="1"/>
  <c r="S357" i="1"/>
  <c r="P184" i="1"/>
  <c r="P276" i="1"/>
  <c r="P238" i="1"/>
  <c r="P68" i="1"/>
  <c r="P26" i="1"/>
  <c r="Q353" i="1"/>
  <c r="Q302" i="1"/>
  <c r="Q92" i="1"/>
  <c r="Q91" i="1"/>
  <c r="R292" i="1"/>
  <c r="R358" i="1"/>
  <c r="R149" i="1"/>
  <c r="S204" i="1"/>
  <c r="S364" i="1"/>
  <c r="Q94" i="1"/>
  <c r="S275" i="1"/>
  <c r="P29" i="1"/>
  <c r="P203" i="1"/>
  <c r="P165" i="1"/>
  <c r="P83" i="1"/>
  <c r="P300" i="1"/>
  <c r="Q244" i="1"/>
  <c r="Q158" i="1"/>
  <c r="Q334" i="1"/>
  <c r="Q280" i="1"/>
  <c r="R346" i="1"/>
  <c r="R43" i="1"/>
  <c r="R170" i="1"/>
  <c r="S304" i="1"/>
  <c r="S174" i="1"/>
  <c r="S65" i="1"/>
  <c r="Q205" i="1"/>
  <c r="Q66" i="1"/>
  <c r="Q304" i="1"/>
  <c r="Q251" i="1"/>
  <c r="R365" i="1"/>
  <c r="R155" i="1"/>
  <c r="R104" i="1"/>
  <c r="R180" i="1"/>
  <c r="R111" i="1"/>
  <c r="R14" i="1"/>
  <c r="S108" i="1"/>
  <c r="S256" i="1"/>
  <c r="S330" i="1"/>
  <c r="S313" i="1"/>
  <c r="S115" i="1"/>
  <c r="S29" i="1"/>
  <c r="Q60" i="1"/>
  <c r="Q291" i="1"/>
  <c r="Q208" i="1"/>
  <c r="Q245" i="1"/>
  <c r="R329" i="1"/>
  <c r="R200" i="1"/>
  <c r="R282" i="1"/>
  <c r="R107" i="1"/>
  <c r="R368" i="1"/>
  <c r="R65" i="1"/>
  <c r="S220" i="1"/>
  <c r="S341" i="1"/>
  <c r="S255" i="1"/>
  <c r="S169" i="1"/>
  <c r="S197" i="1"/>
  <c r="S68" i="1"/>
  <c r="Q286" i="1"/>
  <c r="Q351" i="1"/>
  <c r="Q160" i="1"/>
  <c r="Q101" i="1"/>
  <c r="R110" i="1"/>
  <c r="R318" i="1"/>
  <c r="R209" i="1"/>
  <c r="R23" i="1"/>
  <c r="R275" i="1"/>
  <c r="R29" i="1"/>
  <c r="S59" i="1"/>
  <c r="S176" i="1"/>
  <c r="S207" i="1"/>
  <c r="S47" i="1"/>
  <c r="S339" i="1"/>
  <c r="S32" i="1"/>
  <c r="R7" i="1"/>
  <c r="R257" i="1"/>
  <c r="R21" i="1"/>
  <c r="S230" i="1"/>
  <c r="S146" i="1"/>
  <c r="S196" i="1"/>
  <c r="S31" i="1"/>
  <c r="S328" i="1"/>
  <c r="S24" i="1"/>
  <c r="R322" i="1"/>
  <c r="R253" i="1"/>
  <c r="R86" i="1"/>
  <c r="S242" i="1"/>
  <c r="S305" i="1"/>
  <c r="S258" i="1"/>
  <c r="S149" i="1"/>
  <c r="S211" i="1"/>
  <c r="S54" i="1"/>
  <c r="P320" i="1"/>
  <c r="P146" i="1"/>
  <c r="P104" i="1"/>
  <c r="P15" i="1"/>
  <c r="Q121" i="1"/>
  <c r="Q183" i="1"/>
  <c r="Q176" i="1"/>
  <c r="Q40" i="1"/>
  <c r="R306" i="1"/>
  <c r="R262" i="1"/>
  <c r="S354" i="1"/>
  <c r="S265" i="1"/>
  <c r="Q185" i="1"/>
  <c r="S116" i="1"/>
  <c r="P221" i="1"/>
  <c r="P281" i="1"/>
  <c r="P247" i="1"/>
  <c r="P73" i="1"/>
  <c r="P37" i="1"/>
  <c r="Q319" i="1"/>
  <c r="Q328" i="1"/>
  <c r="Q114" i="1"/>
  <c r="Q96" i="1"/>
  <c r="R355" i="1"/>
  <c r="R366" i="1"/>
  <c r="R199" i="1"/>
  <c r="S290" i="1"/>
  <c r="S74" i="1"/>
  <c r="Q82" i="1"/>
  <c r="K10" i="1"/>
  <c r="P284" i="1"/>
  <c r="P212" i="1"/>
  <c r="P174" i="1"/>
  <c r="P147" i="1"/>
  <c r="P305" i="1"/>
  <c r="Q276" i="1"/>
  <c r="Q168" i="1"/>
  <c r="Q348" i="1"/>
  <c r="Q307" i="1"/>
  <c r="R354" i="1"/>
  <c r="R75" i="1"/>
  <c r="R188" i="1"/>
  <c r="S332" i="1"/>
  <c r="S184" i="1"/>
  <c r="Q248" i="1"/>
  <c r="P158" i="1"/>
  <c r="P144" i="1"/>
  <c r="P139" i="1"/>
  <c r="P101" i="1"/>
  <c r="P233" i="1"/>
  <c r="P236" i="1"/>
  <c r="Q170" i="1"/>
  <c r="Q99" i="1"/>
  <c r="Q306" i="1"/>
  <c r="Q283" i="1"/>
  <c r="R27" i="1"/>
  <c r="R250" i="1"/>
  <c r="R58" i="1"/>
  <c r="S226" i="1"/>
  <c r="S101" i="1"/>
  <c r="S33" i="1"/>
  <c r="Q77" i="1"/>
  <c r="Q312" i="1"/>
  <c r="Q214" i="1"/>
  <c r="Q261" i="1"/>
  <c r="R150" i="1"/>
  <c r="R247" i="1"/>
  <c r="R291" i="1"/>
  <c r="R116" i="1"/>
  <c r="R117" i="1"/>
  <c r="R69" i="1"/>
  <c r="S251" i="1"/>
  <c r="S267" i="1"/>
  <c r="S260" i="1"/>
  <c r="S185" i="1"/>
  <c r="S277" i="1"/>
  <c r="S72" i="1"/>
  <c r="Q318" i="1"/>
  <c r="Q359" i="1"/>
  <c r="Q166" i="1"/>
  <c r="Q117" i="1"/>
  <c r="R123" i="1"/>
  <c r="R336" i="1"/>
  <c r="R218" i="1"/>
  <c r="R31" i="1"/>
  <c r="R284" i="1"/>
  <c r="R33" i="1"/>
  <c r="S80" i="1"/>
  <c r="S188" i="1"/>
  <c r="S212" i="1"/>
  <c r="S55" i="1"/>
  <c r="S344" i="1"/>
  <c r="S36" i="1"/>
  <c r="Q347" i="1"/>
  <c r="Q258" i="1"/>
  <c r="Q118" i="1"/>
  <c r="Q42" i="1"/>
  <c r="R279" i="1"/>
  <c r="R334" i="1"/>
  <c r="R145" i="1"/>
  <c r="R190" i="1"/>
  <c r="R211" i="1"/>
  <c r="R76" i="1"/>
  <c r="S214" i="1"/>
  <c r="S284" i="1"/>
  <c r="S164" i="1"/>
  <c r="S133" i="1"/>
  <c r="S270" i="1"/>
  <c r="R131" i="1"/>
  <c r="R135" i="1"/>
  <c r="R193" i="1"/>
  <c r="R68" i="1"/>
  <c r="S98" i="1"/>
  <c r="S129" i="1"/>
  <c r="S154" i="1"/>
  <c r="S34" i="1"/>
  <c r="S317" i="1"/>
  <c r="R214" i="1"/>
  <c r="R258" i="1"/>
  <c r="R189" i="1"/>
  <c r="R54" i="1"/>
  <c r="S252" i="1"/>
  <c r="S162" i="1"/>
  <c r="S118" i="1"/>
  <c r="S365" i="1"/>
  <c r="S168" i="1"/>
  <c r="S69" i="1"/>
  <c r="R289" i="1"/>
  <c r="R37" i="1"/>
  <c r="S92" i="1"/>
  <c r="S219" i="1"/>
  <c r="S218" i="1"/>
  <c r="S63" i="1"/>
  <c r="S348" i="1"/>
  <c r="S40" i="1"/>
  <c r="Q355" i="1"/>
  <c r="Q263" i="1"/>
  <c r="Q123" i="1"/>
  <c r="Q46" i="1"/>
  <c r="R301" i="1"/>
  <c r="R343" i="1"/>
  <c r="R154" i="1"/>
  <c r="R213" i="1"/>
  <c r="R220" i="1"/>
  <c r="R80" i="1"/>
  <c r="S268" i="1"/>
  <c r="S11" i="1"/>
  <c r="S170" i="1"/>
  <c r="S229" i="1"/>
  <c r="S286" i="1"/>
  <c r="S4" i="1"/>
  <c r="Q279" i="1"/>
  <c r="Q337" i="1"/>
  <c r="Q75" i="1"/>
  <c r="Q10" i="1"/>
  <c r="R59" i="1"/>
  <c r="R238" i="1"/>
  <c r="R245" i="1"/>
  <c r="R348" i="1"/>
  <c r="R147" i="1"/>
  <c r="R44" i="1"/>
  <c r="S359" i="1"/>
  <c r="S325" i="1"/>
  <c r="S122" i="1"/>
  <c r="S280" i="1"/>
  <c r="S221" i="1"/>
  <c r="R208" i="1"/>
  <c r="R335" i="1"/>
  <c r="R129" i="1"/>
  <c r="R36" i="1"/>
  <c r="S279" i="1"/>
  <c r="S97" i="1"/>
  <c r="S111" i="1"/>
  <c r="S264" i="1"/>
  <c r="S189" i="1"/>
  <c r="R11" i="1"/>
  <c r="R194" i="1"/>
  <c r="R125" i="1"/>
  <c r="R22" i="1"/>
  <c r="S182" i="1"/>
  <c r="S27" i="1"/>
  <c r="S345" i="1"/>
  <c r="S287" i="1"/>
  <c r="S126" i="1"/>
  <c r="S37" i="1"/>
  <c r="L46" i="2" l="1"/>
  <c r="L329" i="2"/>
  <c r="L121" i="2"/>
  <c r="L33" i="2"/>
  <c r="L180" i="2"/>
  <c r="L58" i="2"/>
  <c r="L315" i="2"/>
  <c r="L206" i="2"/>
  <c r="L273" i="2"/>
  <c r="L118" i="2"/>
  <c r="L205" i="2"/>
  <c r="L52" i="2"/>
  <c r="L19" i="2"/>
  <c r="L152" i="2"/>
  <c r="L57" i="2"/>
  <c r="L261" i="2"/>
  <c r="L361" i="2"/>
  <c r="L207" i="2"/>
  <c r="L236" i="2"/>
  <c r="L192" i="2"/>
  <c r="L342" i="2"/>
  <c r="L220" i="2"/>
  <c r="L96" i="2"/>
  <c r="L321" i="2"/>
  <c r="L116" i="2"/>
  <c r="L332" i="2"/>
  <c r="L133" i="2"/>
  <c r="L277" i="2"/>
  <c r="L334" i="2"/>
  <c r="L147" i="2"/>
  <c r="L359" i="2"/>
  <c r="L330" i="2"/>
  <c r="L270" i="2"/>
  <c r="L162" i="2"/>
  <c r="L179" i="2"/>
  <c r="L28" i="2"/>
  <c r="L21" i="2"/>
  <c r="L40" i="2"/>
  <c r="L203" i="2"/>
  <c r="L142" i="2"/>
  <c r="L279" i="2"/>
  <c r="L80" i="2"/>
  <c r="L262" i="2"/>
  <c r="L44" i="2"/>
  <c r="L252" i="2"/>
  <c r="L24" i="2"/>
  <c r="L204" i="2"/>
  <c r="L145" i="2"/>
  <c r="L240" i="2"/>
  <c r="L209" i="2"/>
  <c r="L357" i="2"/>
  <c r="L225" i="2"/>
  <c r="L66" i="2"/>
  <c r="L201" i="2"/>
  <c r="L99" i="2"/>
  <c r="L17" i="2"/>
  <c r="L146" i="2"/>
  <c r="L78" i="2"/>
  <c r="L210" i="2"/>
  <c r="L144" i="2"/>
  <c r="L37" i="2"/>
  <c r="L246" i="2"/>
  <c r="L308" i="2"/>
  <c r="L183" i="2"/>
  <c r="L138" i="2"/>
  <c r="L368" i="2"/>
  <c r="L311" i="2"/>
  <c r="L266" i="2"/>
  <c r="L358" i="2"/>
  <c r="L343" i="2"/>
  <c r="L68" i="2"/>
  <c r="L74" i="2"/>
  <c r="L85" i="2"/>
  <c r="L149" i="2"/>
  <c r="L356" i="2"/>
  <c r="L242" i="2"/>
  <c r="L156" i="2"/>
  <c r="L241" i="2"/>
  <c r="L110" i="2"/>
  <c r="L302" i="2"/>
  <c r="L314" i="2"/>
  <c r="L166" i="2"/>
  <c r="L86" i="2"/>
  <c r="L349" i="2"/>
  <c r="L363" i="2"/>
  <c r="L244" i="2"/>
  <c r="L276" i="2"/>
  <c r="L317" i="2"/>
  <c r="L282" i="2"/>
  <c r="L367" i="2"/>
  <c r="L232" i="2"/>
  <c r="L305" i="2"/>
  <c r="L129" i="2"/>
  <c r="L268" i="2"/>
  <c r="L137" i="2"/>
  <c r="L161" i="2"/>
  <c r="L113" i="2"/>
  <c r="L34" i="2"/>
  <c r="L300" i="2"/>
  <c r="L12" i="2"/>
  <c r="L265" i="2"/>
  <c r="L163" i="2"/>
  <c r="L15" i="2"/>
  <c r="L227" i="2"/>
  <c r="L132" i="2"/>
  <c r="L189" i="2"/>
  <c r="L319" i="2"/>
  <c r="L283" i="2"/>
  <c r="L22" i="2"/>
  <c r="L115" i="2"/>
  <c r="L158" i="2"/>
  <c r="L181" i="2"/>
  <c r="L101" i="2"/>
  <c r="L95" i="2"/>
  <c r="L14" i="2"/>
  <c r="L212" i="2"/>
  <c r="L55" i="2"/>
  <c r="L360" i="2"/>
  <c r="L272" i="2"/>
  <c r="L320" i="2"/>
  <c r="L70" i="2"/>
  <c r="L154" i="2"/>
  <c r="L168" i="2"/>
  <c r="L39" i="2"/>
  <c r="L89" i="2"/>
  <c r="L324" i="2"/>
  <c r="L286" i="2"/>
  <c r="L91" i="2"/>
  <c r="L325" i="2"/>
  <c r="L326" i="2"/>
  <c r="L107" i="2"/>
  <c r="L304" i="2"/>
  <c r="L259" i="2"/>
  <c r="L25" i="2"/>
  <c r="L235" i="2"/>
  <c r="L185" i="2"/>
  <c r="L67" i="2"/>
  <c r="L64" i="2"/>
  <c r="L275" i="2"/>
  <c r="L267" i="2"/>
  <c r="L230" i="2"/>
  <c r="L271" i="2"/>
  <c r="L151" i="2"/>
  <c r="L125" i="2"/>
  <c r="L215" i="2"/>
  <c r="L140" i="2"/>
  <c r="L348" i="2"/>
  <c r="L260" i="2"/>
  <c r="L254" i="2"/>
  <c r="L293" i="2"/>
  <c r="L222" i="2"/>
  <c r="L51" i="2"/>
  <c r="L36" i="2"/>
  <c r="L248" i="2"/>
  <c r="L155" i="2"/>
  <c r="L307" i="2"/>
  <c r="L131" i="2"/>
  <c r="L103" i="2"/>
  <c r="L213" i="2"/>
  <c r="L245" i="2"/>
  <c r="L79" i="2"/>
  <c r="L301" i="2"/>
  <c r="L362" i="2"/>
  <c r="L175" i="2"/>
  <c r="L48" i="2"/>
  <c r="L355" i="2"/>
  <c r="L104" i="2"/>
  <c r="L72" i="2"/>
  <c r="L229" i="2"/>
  <c r="L126" i="2"/>
  <c r="L323" i="2"/>
  <c r="L29" i="2"/>
  <c r="L109" i="2"/>
  <c r="L199" i="2"/>
  <c r="L340" i="2"/>
  <c r="L200" i="2"/>
  <c r="L76" i="2"/>
  <c r="L289" i="2"/>
  <c r="L31" i="2"/>
  <c r="L274" i="2"/>
  <c r="L92" i="2"/>
  <c r="L344" i="2"/>
  <c r="L208" i="2"/>
  <c r="L38" i="2"/>
  <c r="L105" i="2"/>
  <c r="L73" i="2"/>
  <c r="L218" i="2"/>
  <c r="L239" i="2"/>
  <c r="L350" i="2"/>
  <c r="L281" i="2"/>
  <c r="L98" i="2"/>
  <c r="L43" i="2"/>
  <c r="L27" i="2"/>
  <c r="L120" i="2"/>
  <c r="L226" i="2"/>
  <c r="L195" i="2"/>
  <c r="L139" i="2"/>
  <c r="L123" i="2"/>
  <c r="L366" i="2"/>
  <c r="L196" i="2"/>
  <c r="L136" i="2"/>
  <c r="L278" i="2"/>
  <c r="L255" i="2"/>
  <c r="L253" i="2"/>
  <c r="L333" i="2"/>
  <c r="L135" i="2"/>
  <c r="L190" i="2"/>
  <c r="L297" i="2"/>
  <c r="L328" i="2"/>
  <c r="L172" i="2"/>
  <c r="L13" i="2"/>
  <c r="L54" i="2"/>
  <c r="L345" i="2"/>
  <c r="L231" i="2"/>
  <c r="L75" i="2"/>
  <c r="L53" i="2"/>
  <c r="L346" i="2"/>
  <c r="L335" i="2"/>
  <c r="L62" i="2"/>
  <c r="L341" i="2"/>
  <c r="L97" i="2"/>
  <c r="L193" i="2"/>
  <c r="L87" i="2"/>
  <c r="L134" i="2"/>
  <c r="L93" i="2"/>
  <c r="L306" i="2"/>
  <c r="L197" i="2"/>
  <c r="L198" i="2"/>
  <c r="L127" i="2"/>
  <c r="L221" i="2"/>
  <c r="L337" i="2"/>
  <c r="L303" i="2"/>
  <c r="L177" i="2"/>
  <c r="L176" i="2"/>
  <c r="L65" i="2"/>
  <c r="L234" i="2"/>
  <c r="L257" i="2"/>
  <c r="L160" i="2"/>
  <c r="L32" i="2"/>
  <c r="L45" i="2"/>
  <c r="L322" i="2"/>
  <c r="L148" i="2"/>
  <c r="L41" i="2"/>
  <c r="L228" i="2"/>
  <c r="L184" i="2"/>
  <c r="L124" i="2"/>
  <c r="L117" i="2"/>
  <c r="L20" i="2"/>
  <c r="L61" i="2"/>
  <c r="L316" i="2"/>
  <c r="L90" i="2"/>
  <c r="L312" i="2"/>
  <c r="L77" i="2"/>
  <c r="L194" i="2"/>
  <c r="L56" i="2"/>
  <c r="L292" i="2"/>
  <c r="L35" i="2"/>
  <c r="L280" i="2"/>
  <c r="L211" i="2"/>
  <c r="L299" i="2"/>
  <c r="L249" i="2"/>
  <c r="L318" i="2"/>
  <c r="L296" i="2"/>
  <c r="L313" i="2"/>
  <c r="L159" i="2"/>
  <c r="L106" i="2"/>
  <c r="L112" i="2"/>
  <c r="L365" i="2"/>
  <c r="L170" i="2"/>
  <c r="L108" i="2"/>
  <c r="L287" i="2"/>
  <c r="L165" i="2"/>
  <c r="L84" i="2"/>
  <c r="L309" i="2"/>
  <c r="L339" i="2"/>
  <c r="L237" i="2"/>
  <c r="L150" i="2"/>
  <c r="L26" i="2"/>
  <c r="L143" i="2"/>
  <c r="L217" i="2"/>
  <c r="L353" i="2"/>
  <c r="L114" i="2"/>
  <c r="L169" i="2"/>
  <c r="L49" i="2"/>
  <c r="L264" i="2"/>
  <c r="L224" i="2"/>
  <c r="L157" i="2"/>
  <c r="L269" i="2"/>
  <c r="L256" i="2"/>
  <c r="L63" i="2"/>
  <c r="L191" i="2"/>
  <c r="L338" i="2"/>
  <c r="L247" i="2"/>
  <c r="L202" i="2"/>
  <c r="L141" i="2"/>
  <c r="L182" i="2"/>
  <c r="L128" i="2"/>
  <c r="L336" i="2"/>
  <c r="L60" i="2"/>
  <c r="L81" i="2"/>
  <c r="L11" i="2"/>
  <c r="L173" i="2"/>
  <c r="L82" i="2"/>
  <c r="L164" i="2"/>
  <c r="L223" i="2"/>
  <c r="L214" i="2"/>
  <c r="L18" i="2"/>
  <c r="L294" i="2"/>
  <c r="L352" i="2"/>
  <c r="L216" i="2"/>
  <c r="L71" i="2"/>
  <c r="L153" i="2"/>
  <c r="L119" i="2"/>
  <c r="L263" i="2"/>
  <c r="L327" i="2"/>
  <c r="L178" i="2"/>
  <c r="L238" i="2"/>
  <c r="L174" i="2"/>
  <c r="L83" i="2"/>
  <c r="L30" i="2"/>
  <c r="L16" i="2"/>
  <c r="L243" i="2"/>
  <c r="L310" i="2"/>
  <c r="L69" i="2"/>
  <c r="L23" i="2"/>
  <c r="L42" i="2"/>
  <c r="L331" i="2"/>
  <c r="L251" i="2"/>
  <c r="L284" i="2"/>
  <c r="L285" i="2"/>
  <c r="L186" i="2"/>
  <c r="L258" i="2"/>
  <c r="L250" i="2"/>
  <c r="L100" i="2"/>
  <c r="L122" i="2"/>
  <c r="L354" i="2"/>
  <c r="L233" i="2"/>
  <c r="L50" i="2"/>
  <c r="L111" i="2"/>
  <c r="L167" i="2"/>
  <c r="L102" i="2"/>
  <c r="L219" i="2"/>
  <c r="L351" i="2"/>
  <c r="L88" i="2"/>
  <c r="L47" i="2"/>
  <c r="L291" i="2"/>
  <c r="L290" i="2"/>
  <c r="L364" i="2"/>
  <c r="L288" i="2"/>
  <c r="L295" i="2"/>
  <c r="L188" i="2"/>
  <c r="L347" i="2"/>
  <c r="L130" i="2"/>
  <c r="L298" i="2"/>
  <c r="L187" i="2"/>
  <c r="L59" i="2"/>
  <c r="L94" i="2"/>
  <c r="L10" i="2"/>
  <c r="X3" i="3"/>
  <c r="S3" i="3"/>
  <c r="K21" i="2"/>
  <c r="K335" i="2"/>
  <c r="K133" i="2"/>
  <c r="K257" i="2"/>
  <c r="K156" i="2"/>
  <c r="K107" i="2"/>
  <c r="K34" i="2"/>
  <c r="K33" i="2"/>
  <c r="K118" i="2"/>
  <c r="K330" i="2"/>
  <c r="K191" i="2"/>
  <c r="K280" i="2"/>
  <c r="K211" i="2"/>
  <c r="K325" i="2"/>
  <c r="K358" i="2"/>
  <c r="K343" i="2"/>
  <c r="K132" i="2"/>
  <c r="K109" i="2"/>
  <c r="K318" i="2"/>
  <c r="K138" i="2"/>
  <c r="K204" i="2"/>
  <c r="K82" i="2"/>
  <c r="K292" i="2"/>
  <c r="K121" i="2"/>
  <c r="K311" i="2"/>
  <c r="K356" i="2"/>
  <c r="K242" i="2"/>
  <c r="K273" i="2"/>
  <c r="K302" i="2"/>
  <c r="K314" i="2"/>
  <c r="K86" i="2"/>
  <c r="K363" i="2"/>
  <c r="K244" i="2"/>
  <c r="K247" i="2"/>
  <c r="K46" i="2"/>
  <c r="K268" i="2"/>
  <c r="K161" i="2"/>
  <c r="K113" i="2"/>
  <c r="K300" i="2"/>
  <c r="K265" i="2"/>
  <c r="K329" i="2"/>
  <c r="K15" i="2"/>
  <c r="K227" i="2"/>
  <c r="K180" i="2"/>
  <c r="K35" i="2"/>
  <c r="K296" i="2"/>
  <c r="K259" i="2"/>
  <c r="K25" i="2"/>
  <c r="K275" i="2"/>
  <c r="K205" i="2"/>
  <c r="K19" i="2"/>
  <c r="K147" i="2"/>
  <c r="K80" i="2"/>
  <c r="K315" i="2"/>
  <c r="U3" i="3"/>
  <c r="T3" i="3"/>
  <c r="P3" i="3"/>
  <c r="K159" i="2"/>
  <c r="K183" i="2"/>
  <c r="K18" i="2"/>
  <c r="K71" i="2"/>
  <c r="K263" i="2"/>
  <c r="K327" i="2"/>
  <c r="K284" i="2"/>
  <c r="O3" i="3"/>
  <c r="K171" i="2"/>
  <c r="K266" i="2"/>
  <c r="K126" i="2"/>
  <c r="K68" i="2"/>
  <c r="K85" i="2"/>
  <c r="K149" i="2"/>
  <c r="K241" i="2"/>
  <c r="K89" i="2"/>
  <c r="K110" i="2"/>
  <c r="K291" i="2"/>
  <c r="K349" i="2"/>
  <c r="K324" i="2"/>
  <c r="K305" i="2"/>
  <c r="K276" i="2"/>
  <c r="K290" i="2"/>
  <c r="K364" i="2"/>
  <c r="K295" i="2"/>
  <c r="K188" i="2"/>
  <c r="K130" i="2"/>
  <c r="K298" i="2"/>
  <c r="W3" i="3"/>
  <c r="K181" i="2"/>
  <c r="K14" i="2"/>
  <c r="K320" i="2"/>
  <c r="K168" i="2"/>
  <c r="K326" i="2"/>
  <c r="K47" i="2"/>
  <c r="K166" i="2"/>
  <c r="K232" i="2"/>
  <c r="K286" i="2"/>
  <c r="K91" i="2"/>
  <c r="K317" i="2"/>
  <c r="K288" i="2"/>
  <c r="K347" i="2"/>
  <c r="K187" i="2"/>
  <c r="K59" i="2"/>
  <c r="K94" i="2"/>
  <c r="K95" i="2"/>
  <c r="K212" i="2"/>
  <c r="K55" i="2"/>
  <c r="K360" i="2"/>
  <c r="K240" i="2"/>
  <c r="K209" i="2"/>
  <c r="K235" i="2"/>
  <c r="K185" i="2"/>
  <c r="K142" i="2"/>
  <c r="K67" i="2"/>
  <c r="K64" i="2"/>
  <c r="K267" i="2"/>
  <c r="K230" i="2"/>
  <c r="K271" i="2"/>
  <c r="K151" i="2"/>
  <c r="K125" i="2"/>
  <c r="K215" i="2"/>
  <c r="K140" i="2"/>
  <c r="K348" i="2"/>
  <c r="K260" i="2"/>
  <c r="K254" i="2"/>
  <c r="K293" i="2"/>
  <c r="K222" i="2"/>
  <c r="K51" i="2"/>
  <c r="K36" i="2"/>
  <c r="K248" i="2"/>
  <c r="K155" i="2"/>
  <c r="K307" i="2"/>
  <c r="K131" i="2"/>
  <c r="K103" i="2"/>
  <c r="K213" i="2"/>
  <c r="K245" i="2"/>
  <c r="K79" i="2"/>
  <c r="K301" i="2"/>
  <c r="K362" i="2"/>
  <c r="K175" i="2"/>
  <c r="K48" i="2"/>
  <c r="K355" i="2"/>
  <c r="K104" i="2"/>
  <c r="K72" i="2"/>
  <c r="K229" i="2"/>
  <c r="K282" i="2"/>
  <c r="K304" i="2"/>
  <c r="K189" i="2"/>
  <c r="K319" i="2"/>
  <c r="K22" i="2"/>
  <c r="K115" i="2"/>
  <c r="K101" i="2"/>
  <c r="K154" i="2"/>
  <c r="K66" i="2"/>
  <c r="K357" i="2"/>
  <c r="K323" i="2"/>
  <c r="K29" i="2"/>
  <c r="K199" i="2"/>
  <c r="K192" i="2"/>
  <c r="K52" i="2"/>
  <c r="K342" i="2"/>
  <c r="K334" i="2"/>
  <c r="K340" i="2"/>
  <c r="K200" i="2"/>
  <c r="K225" i="2"/>
  <c r="K76" i="2"/>
  <c r="K289" i="2"/>
  <c r="K31" i="2"/>
  <c r="K274" i="2"/>
  <c r="K92" i="2"/>
  <c r="K344" i="2"/>
  <c r="K208" i="2"/>
  <c r="K38" i="2"/>
  <c r="K105" i="2"/>
  <c r="K73" i="2"/>
  <c r="K218" i="2"/>
  <c r="K239" i="2"/>
  <c r="K350" i="2"/>
  <c r="K281" i="2"/>
  <c r="K98" i="2"/>
  <c r="K43" i="2"/>
  <c r="K27" i="2"/>
  <c r="K120" i="2"/>
  <c r="K226" i="2"/>
  <c r="K195" i="2"/>
  <c r="K139" i="2"/>
  <c r="K123" i="2"/>
  <c r="K366" i="2"/>
  <c r="K196" i="2"/>
  <c r="K136" i="2"/>
  <c r="K278" i="2"/>
  <c r="K255" i="2"/>
  <c r="K253" i="2"/>
  <c r="K333" i="2"/>
  <c r="K135" i="2"/>
  <c r="K74" i="2"/>
  <c r="K12" i="2"/>
  <c r="K283" i="2"/>
  <c r="K158" i="2"/>
  <c r="K75" i="2"/>
  <c r="K53" i="2"/>
  <c r="K152" i="2"/>
  <c r="K57" i="2"/>
  <c r="K220" i="2"/>
  <c r="K279" i="2"/>
  <c r="K359" i="2"/>
  <c r="K190" i="2"/>
  <c r="K201" i="2"/>
  <c r="K99" i="2"/>
  <c r="K17" i="2"/>
  <c r="K146" i="2"/>
  <c r="K78" i="2"/>
  <c r="K206" i="2"/>
  <c r="K169" i="2"/>
  <c r="K49" i="2"/>
  <c r="K210" i="2"/>
  <c r="K270" i="2"/>
  <c r="K264" i="2"/>
  <c r="K144" i="2"/>
  <c r="K297" i="2"/>
  <c r="K37" i="2"/>
  <c r="K261" i="2"/>
  <c r="K262" i="2"/>
  <c r="K361" i="2"/>
  <c r="K96" i="2"/>
  <c r="K328" i="2"/>
  <c r="K44" i="2"/>
  <c r="K252" i="2"/>
  <c r="K321" i="2"/>
  <c r="K224" i="2"/>
  <c r="K162" i="2"/>
  <c r="K24" i="2"/>
  <c r="K157" i="2"/>
  <c r="K269" i="2"/>
  <c r="K179" i="2"/>
  <c r="K246" i="2"/>
  <c r="K308" i="2"/>
  <c r="K28" i="2"/>
  <c r="K172" i="2"/>
  <c r="K13" i="2"/>
  <c r="K256" i="2"/>
  <c r="K54" i="2"/>
  <c r="K345" i="2"/>
  <c r="K231" i="2"/>
  <c r="K272" i="2"/>
  <c r="K70" i="2"/>
  <c r="K77" i="2"/>
  <c r="K194" i="2"/>
  <c r="K56" i="2"/>
  <c r="K346" i="2"/>
  <c r="K62" i="2"/>
  <c r="K341" i="2"/>
  <c r="K97" i="2"/>
  <c r="K193" i="2"/>
  <c r="K116" i="2"/>
  <c r="K332" i="2"/>
  <c r="K207" i="2"/>
  <c r="K87" i="2"/>
  <c r="K134" i="2"/>
  <c r="K277" i="2"/>
  <c r="K93" i="2"/>
  <c r="K306" i="2"/>
  <c r="K197" i="2"/>
  <c r="K198" i="2"/>
  <c r="K127" i="2"/>
  <c r="K221" i="2"/>
  <c r="K337" i="2"/>
  <c r="K303" i="2"/>
  <c r="K177" i="2"/>
  <c r="K176" i="2"/>
  <c r="K65" i="2"/>
  <c r="K234" i="2"/>
  <c r="K236" i="2"/>
  <c r="K160" i="2"/>
  <c r="K32" i="2"/>
  <c r="K45" i="2"/>
  <c r="K322" i="2"/>
  <c r="K148" i="2"/>
  <c r="K41" i="2"/>
  <c r="K228" i="2"/>
  <c r="K184" i="2"/>
  <c r="K124" i="2"/>
  <c r="K117" i="2"/>
  <c r="K20" i="2"/>
  <c r="K61" i="2"/>
  <c r="K316" i="2"/>
  <c r="K90" i="2"/>
  <c r="K312" i="2"/>
  <c r="K129" i="2"/>
  <c r="K163" i="2"/>
  <c r="K40" i="2"/>
  <c r="K299" i="2"/>
  <c r="K249" i="2"/>
  <c r="K313" i="2"/>
  <c r="K106" i="2"/>
  <c r="K112" i="2"/>
  <c r="K365" i="2"/>
  <c r="K170" i="2"/>
  <c r="K108" i="2"/>
  <c r="K287" i="2"/>
  <c r="K165" i="2"/>
  <c r="K84" i="2"/>
  <c r="K309" i="2"/>
  <c r="K339" i="2"/>
  <c r="K237" i="2"/>
  <c r="K150" i="2"/>
  <c r="K26" i="2"/>
  <c r="K143" i="2"/>
  <c r="K217" i="2"/>
  <c r="K353" i="2"/>
  <c r="K114" i="2"/>
  <c r="K39" i="2"/>
  <c r="K88" i="2"/>
  <c r="K367" i="2"/>
  <c r="K137" i="2"/>
  <c r="K63" i="2"/>
  <c r="K338" i="2"/>
  <c r="K202" i="2"/>
  <c r="K203" i="2"/>
  <c r="K58" i="2"/>
  <c r="K368" i="2"/>
  <c r="K141" i="2"/>
  <c r="K182" i="2"/>
  <c r="K128" i="2"/>
  <c r="K145" i="2"/>
  <c r="K336" i="2"/>
  <c r="K60" i="2"/>
  <c r="K81" i="2"/>
  <c r="K11" i="2"/>
  <c r="K173" i="2"/>
  <c r="K164" i="2"/>
  <c r="K223" i="2"/>
  <c r="K214" i="2"/>
  <c r="K294" i="2"/>
  <c r="K352" i="2"/>
  <c r="K216" i="2"/>
  <c r="K153" i="2"/>
  <c r="K119" i="2"/>
  <c r="K178" i="2"/>
  <c r="K238" i="2"/>
  <c r="K174" i="2"/>
  <c r="K83" i="2"/>
  <c r="K30" i="2"/>
  <c r="K16" i="2"/>
  <c r="K243" i="2"/>
  <c r="K310" i="2"/>
  <c r="K69" i="2"/>
  <c r="K23" i="2"/>
  <c r="K42" i="2"/>
  <c r="K331" i="2"/>
  <c r="K251" i="2"/>
  <c r="K285" i="2"/>
  <c r="K186" i="2"/>
  <c r="K258" i="2"/>
  <c r="K250" i="2"/>
  <c r="K100" i="2"/>
  <c r="K122" i="2"/>
  <c r="K354" i="2"/>
  <c r="K233" i="2"/>
  <c r="K50" i="2"/>
  <c r="K111" i="2"/>
  <c r="K167" i="2"/>
  <c r="K102" i="2"/>
  <c r="K219" i="2"/>
  <c r="K351" i="2"/>
  <c r="K10" i="2"/>
  <c r="Q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<sst xmlns="http://schemas.openxmlformats.org/spreadsheetml/2006/main" count="120" uniqueCount="117">
  <si>
    <t>Date</t>
  </si>
  <si>
    <t>Listing</t>
  </si>
  <si>
    <t>Menu</t>
  </si>
  <si>
    <t>Carts</t>
  </si>
  <si>
    <t>Payments</t>
  </si>
  <si>
    <t>Orders</t>
  </si>
  <si>
    <t>Facebook</t>
  </si>
  <si>
    <t>Youtube</t>
  </si>
  <si>
    <t>Twitter</t>
  </si>
  <si>
    <t>Others</t>
  </si>
  <si>
    <t>Count of restaurants</t>
  </si>
  <si>
    <t>Average Discount</t>
  </si>
  <si>
    <t>Out of stock Items per restaurant</t>
  </si>
  <si>
    <t>Avearge Packaging charges</t>
  </si>
  <si>
    <t>Average Delivery Charges</t>
  </si>
  <si>
    <t>Avg Cost for two</t>
  </si>
  <si>
    <t>Number of images per restaurant</t>
  </si>
  <si>
    <t>Success Rate of payments</t>
  </si>
  <si>
    <t>Overall conversion</t>
  </si>
  <si>
    <t>L2M</t>
  </si>
  <si>
    <t>M2C</t>
  </si>
  <si>
    <t>C2P</t>
  </si>
  <si>
    <t>P2O</t>
  </si>
  <si>
    <t>Order Change with respect to same day last week</t>
  </si>
  <si>
    <t>Traffic Change with respect to same day last week</t>
  </si>
  <si>
    <t>Conversion change with respect to same day last week</t>
  </si>
  <si>
    <t>Order/Listing</t>
  </si>
  <si>
    <t>Order of current date/ Orders of same day last week -1</t>
  </si>
  <si>
    <t>Traffic of current date/ Traffic of same day last week -1</t>
  </si>
  <si>
    <t>Overall Conversion of current date/ Overall Conversion  of same day last week -1</t>
  </si>
  <si>
    <t>Menu/Listing</t>
  </si>
  <si>
    <t>Cart/Menu</t>
  </si>
  <si>
    <t>Payment/Cart</t>
  </si>
  <si>
    <t>Orders/Payment</t>
  </si>
  <si>
    <t>Facebook Traffic Change %</t>
  </si>
  <si>
    <t>YouTube Traffic Change %</t>
  </si>
  <si>
    <t>Twitter Traffic Change %</t>
  </si>
  <si>
    <t>Others Traffic Change %</t>
  </si>
  <si>
    <t>CONVERSION CHANGES VS PREVIOUS DAY</t>
  </si>
  <si>
    <t>L2M Change</t>
  </si>
  <si>
    <t>M2C Change</t>
  </si>
  <si>
    <t>C2P Change</t>
  </si>
  <si>
    <t>P2O Change</t>
  </si>
  <si>
    <t>Row Labels</t>
  </si>
  <si>
    <t>Grand Total</t>
  </si>
  <si>
    <t>Average of Average Discount</t>
  </si>
  <si>
    <t>Average of Out of stock Items per restaurant</t>
  </si>
  <si>
    <t>Average of Success Rate of payments</t>
  </si>
  <si>
    <t>1/1/2019 - 1/7/2019</t>
  </si>
  <si>
    <t>1/8/2019 - 1/14/2019</t>
  </si>
  <si>
    <t>1/15/2019 - 1/21/2019</t>
  </si>
  <si>
    <t>1/22/2019 - 1/28/2019</t>
  </si>
  <si>
    <t>1/29/2019 - 2/4/2019</t>
  </si>
  <si>
    <t>2/5/2019 - 2/11/2019</t>
  </si>
  <si>
    <t>2/12/2019 - 2/18/2019</t>
  </si>
  <si>
    <t>2/19/2019 - 2/25/2019</t>
  </si>
  <si>
    <t>2/26/2019 - 3/4/2019</t>
  </si>
  <si>
    <t>3/5/2019 - 3/11/2019</t>
  </si>
  <si>
    <t>3/12/2019 - 3/18/2019</t>
  </si>
  <si>
    <t>3/19/2019 - 3/25/2019</t>
  </si>
  <si>
    <t>3/26/2019 - 4/1/2019</t>
  </si>
  <si>
    <t>4/2/2019 - 4/8/2019</t>
  </si>
  <si>
    <t>4/9/2019 - 4/15/2019</t>
  </si>
  <si>
    <t>4/16/2019 - 4/22/2019</t>
  </si>
  <si>
    <t>4/23/2019 - 4/29/2019</t>
  </si>
  <si>
    <t>4/30/2019 - 5/6/2019</t>
  </si>
  <si>
    <t>5/7/2019 - 5/13/2019</t>
  </si>
  <si>
    <t>5/14/2019 - 5/20/2019</t>
  </si>
  <si>
    <t>5/21/2019 - 5/27/2019</t>
  </si>
  <si>
    <t>5/28/2019 - 6/3/2019</t>
  </si>
  <si>
    <t>6/4/2019 - 6/10/2019</t>
  </si>
  <si>
    <t>6/11/2019 - 6/17/2019</t>
  </si>
  <si>
    <t>6/18/2019 - 6/24/2019</t>
  </si>
  <si>
    <t>6/25/2019 - 7/1/2019</t>
  </si>
  <si>
    <t>7/2/2019 - 7/8/2019</t>
  </si>
  <si>
    <t>7/9/2019 - 7/15/2019</t>
  </si>
  <si>
    <t>7/16/2019 - 7/22/2019</t>
  </si>
  <si>
    <t>7/23/2019 - 7/29/2019</t>
  </si>
  <si>
    <t>7/30/2019 - 8/5/2019</t>
  </si>
  <si>
    <t>8/6/2019 - 8/12/2019</t>
  </si>
  <si>
    <t>8/13/2019 - 8/19/2019</t>
  </si>
  <si>
    <t>8/20/2019 - 8/26/2019</t>
  </si>
  <si>
    <t>8/27/2019 - 9/2/2019</t>
  </si>
  <si>
    <t>9/3/2019 - 9/9/2019</t>
  </si>
  <si>
    <t>9/10/2019 - 9/16/2019</t>
  </si>
  <si>
    <t>9/17/2019 - 9/23/2019</t>
  </si>
  <si>
    <t>9/24/2019 - 9/30/2019</t>
  </si>
  <si>
    <t>10/1/2019 - 10/7/2019</t>
  </si>
  <si>
    <t>10/8/2019 - 10/14/2019</t>
  </si>
  <si>
    <t>10/15/2019 - 10/21/2019</t>
  </si>
  <si>
    <t>10/22/2019 - 10/28/2019</t>
  </si>
  <si>
    <t>10/29/2019 - 11/4/2019</t>
  </si>
  <si>
    <t>11/5/2019 - 11/11/2019</t>
  </si>
  <si>
    <t>11/12/2019 - 11/18/2019</t>
  </si>
  <si>
    <t>11/19/2019 - 11/25/2019</t>
  </si>
  <si>
    <t>11/26/2019 - 12/2/2019</t>
  </si>
  <si>
    <t>12/3/2019 - 12/9/2019</t>
  </si>
  <si>
    <t>12/10/2019 - 12/16/2019</t>
  </si>
  <si>
    <t>12/17/2019 - 12/23/2019</t>
  </si>
  <si>
    <t>12/24/2019 - 12/30/2019</t>
  </si>
  <si>
    <t>12/31/2019 - 1/2/2020</t>
  </si>
  <si>
    <t xml:space="preserve">Average Discount Conversion </t>
  </si>
  <si>
    <t>Average L2M Conversion Rate</t>
  </si>
  <si>
    <t>Average M2C Conversion Rate</t>
  </si>
  <si>
    <t>Average C2P Conversion Rate</t>
  </si>
  <si>
    <t>Average P2O Conversion Rate</t>
  </si>
  <si>
    <t>Out-of-stock items and C2P Conversion Rate</t>
  </si>
  <si>
    <t>OOS L2M Conversion Rate</t>
  </si>
  <si>
    <t>OOS M2C Conversion Rate</t>
  </si>
  <si>
    <t>OOS C2P Conversion Rate</t>
  </si>
  <si>
    <t>OOS P2O Conversion Rate</t>
  </si>
  <si>
    <t>Success Rate of Payments conversions Rate</t>
  </si>
  <si>
    <t>SRP L2M Conversion Rate</t>
  </si>
  <si>
    <t>SRP M2C Conversion Rate</t>
  </si>
  <si>
    <t>SRP C2P Conversion Rate</t>
  </si>
  <si>
    <t>SRP P2O Conversion Rate</t>
  </si>
  <si>
    <t>Conversion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</si>
</sst>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4" fontId="2" fillId="2" borderId="1" xfId="0" applyNumberFormat="1" applyFont="1" applyFill="1" applyBorder="1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9" fontId="0" fillId="0" borderId="1" xfId="1" applyFont="1" applyBorder="1"/>
    <xf numFmtId="14" fontId="2" fillId="2" borderId="1" xfId="0" applyNumberFormat="1" applyFont="1" applyFill="1" applyBorder="1" applyAlignment="1">
      <alignment horizontal="center"/>
    </xf>
    <xf numFmtId="1" fontId="0" fillId="0" borderId="0" xfId="0" applyNumberFormat="1"/>
    <xf numFmtId="9" fontId="0" fillId="0" borderId="0" xfId="1" applyFont="1"/>
    <xf numFmtId="0" fontId="2" fillId="2" borderId="2" xfId="0" applyFont="1" applyFill="1" applyBorder="1"/>
    <xf numFmtId="9" fontId="2" fillId="2" borderId="2" xfId="1" applyFont="1" applyFill="1" applyBorder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9" fontId="2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Discount and Success Rate of payments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'Supporting Data'!$D$2</c:f>
              <c:strCache>
                <c:ptCount val="1"/>
                <c:pt idx="0">
                  <c:v>Average Discount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'Supporting Data'!$B$3:$B$368</c:f>
              <c:numCache>
                <c:formatCode>m/d/yyyy</c:formatCode>
                <c:ptCount val="3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</c:numCache>
            </c:numRef>
          </c:cat>
          <c:val>
            <c:numRef>
              <c:f>'Supporting Data'!$D$3:$D$368</c:f>
              <c:numCache>
                <c:formatCode>0%</c:formatCode>
                <c:ptCount val="366"/>
                <c:pt idx="0">
                  <c:v>0.17</c:v>
                </c:pt>
                <c:pt idx="1">
                  <c:v>0.19</c:v>
                </c:pt>
                <c:pt idx="2">
                  <c:v>0.18</c:v>
                </c:pt>
                <c:pt idx="3">
                  <c:v>0.17</c:v>
                </c:pt>
                <c:pt idx="4">
                  <c:v>0.19</c:v>
                </c:pt>
                <c:pt idx="5">
                  <c:v>0.19</c:v>
                </c:pt>
                <c:pt idx="6">
                  <c:v>0.18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0.19</c:v>
                </c:pt>
                <c:pt idx="11">
                  <c:v>0.18</c:v>
                </c:pt>
                <c:pt idx="12">
                  <c:v>0.17</c:v>
                </c:pt>
                <c:pt idx="13">
                  <c:v>0.19</c:v>
                </c:pt>
                <c:pt idx="14">
                  <c:v>0.17</c:v>
                </c:pt>
                <c:pt idx="15">
                  <c:v>0.18</c:v>
                </c:pt>
                <c:pt idx="16">
                  <c:v>0.17</c:v>
                </c:pt>
                <c:pt idx="17">
                  <c:v>0.18</c:v>
                </c:pt>
                <c:pt idx="18">
                  <c:v>0.17</c:v>
                </c:pt>
                <c:pt idx="19">
                  <c:v>0.17</c:v>
                </c:pt>
                <c:pt idx="20">
                  <c:v>0.19</c:v>
                </c:pt>
                <c:pt idx="21">
                  <c:v>0.18</c:v>
                </c:pt>
                <c:pt idx="22">
                  <c:v>0.18</c:v>
                </c:pt>
                <c:pt idx="23">
                  <c:v>0.17</c:v>
                </c:pt>
                <c:pt idx="24">
                  <c:v>0.17</c:v>
                </c:pt>
                <c:pt idx="25">
                  <c:v>0.17</c:v>
                </c:pt>
                <c:pt idx="26">
                  <c:v>0.19</c:v>
                </c:pt>
                <c:pt idx="27">
                  <c:v>0.19</c:v>
                </c:pt>
                <c:pt idx="28">
                  <c:v>0.17</c:v>
                </c:pt>
                <c:pt idx="29">
                  <c:v>0.18</c:v>
                </c:pt>
                <c:pt idx="30">
                  <c:v>0.18</c:v>
                </c:pt>
                <c:pt idx="31">
                  <c:v>0.18</c:v>
                </c:pt>
                <c:pt idx="32">
                  <c:v>0.18</c:v>
                </c:pt>
                <c:pt idx="33">
                  <c:v>0.18</c:v>
                </c:pt>
                <c:pt idx="34">
                  <c:v>0.17</c:v>
                </c:pt>
                <c:pt idx="35">
                  <c:v>0.18</c:v>
                </c:pt>
                <c:pt idx="36">
                  <c:v>0.18</c:v>
                </c:pt>
                <c:pt idx="37">
                  <c:v>0.17</c:v>
                </c:pt>
                <c:pt idx="38">
                  <c:v>0.19</c:v>
                </c:pt>
                <c:pt idx="39">
                  <c:v>0.18</c:v>
                </c:pt>
                <c:pt idx="40">
                  <c:v>0.18</c:v>
                </c:pt>
                <c:pt idx="41">
                  <c:v>0.17</c:v>
                </c:pt>
                <c:pt idx="42">
                  <c:v>0.17</c:v>
                </c:pt>
                <c:pt idx="43">
                  <c:v>0.17</c:v>
                </c:pt>
                <c:pt idx="44">
                  <c:v>0.18</c:v>
                </c:pt>
                <c:pt idx="45">
                  <c:v>0.18</c:v>
                </c:pt>
                <c:pt idx="46">
                  <c:v>0.19</c:v>
                </c:pt>
                <c:pt idx="47">
                  <c:v>0.19</c:v>
                </c:pt>
                <c:pt idx="48">
                  <c:v>0.17</c:v>
                </c:pt>
                <c:pt idx="49">
                  <c:v>0.18</c:v>
                </c:pt>
                <c:pt idx="50">
                  <c:v>0.18</c:v>
                </c:pt>
                <c:pt idx="51">
                  <c:v>0.18</c:v>
                </c:pt>
                <c:pt idx="52">
                  <c:v>0.17</c:v>
                </c:pt>
                <c:pt idx="53">
                  <c:v>0.18</c:v>
                </c:pt>
                <c:pt idx="54">
                  <c:v>0.17</c:v>
                </c:pt>
                <c:pt idx="55">
                  <c:v>0.19</c:v>
                </c:pt>
                <c:pt idx="56">
                  <c:v>0.18</c:v>
                </c:pt>
                <c:pt idx="57">
                  <c:v>0.17</c:v>
                </c:pt>
                <c:pt idx="58">
                  <c:v>0.19</c:v>
                </c:pt>
                <c:pt idx="59">
                  <c:v>0.19</c:v>
                </c:pt>
                <c:pt idx="60">
                  <c:v>0.18</c:v>
                </c:pt>
                <c:pt idx="61">
                  <c:v>0.18</c:v>
                </c:pt>
                <c:pt idx="62">
                  <c:v>0.17</c:v>
                </c:pt>
                <c:pt idx="63">
                  <c:v>0.18</c:v>
                </c:pt>
                <c:pt idx="64">
                  <c:v>0.19</c:v>
                </c:pt>
                <c:pt idx="65">
                  <c:v>0.19</c:v>
                </c:pt>
                <c:pt idx="66">
                  <c:v>0.18</c:v>
                </c:pt>
                <c:pt idx="67">
                  <c:v>0.17</c:v>
                </c:pt>
                <c:pt idx="68">
                  <c:v>0.17</c:v>
                </c:pt>
                <c:pt idx="69">
                  <c:v>0.19</c:v>
                </c:pt>
                <c:pt idx="70">
                  <c:v>0.19</c:v>
                </c:pt>
                <c:pt idx="71">
                  <c:v>0.18</c:v>
                </c:pt>
                <c:pt idx="72">
                  <c:v>0.17</c:v>
                </c:pt>
                <c:pt idx="73">
                  <c:v>0.17</c:v>
                </c:pt>
                <c:pt idx="74">
                  <c:v>0.17</c:v>
                </c:pt>
                <c:pt idx="75">
                  <c:v>0.18</c:v>
                </c:pt>
                <c:pt idx="76">
                  <c:v>0.19</c:v>
                </c:pt>
                <c:pt idx="77">
                  <c:v>0.19</c:v>
                </c:pt>
                <c:pt idx="78">
                  <c:v>0.18</c:v>
                </c:pt>
                <c:pt idx="79">
                  <c:v>0.19</c:v>
                </c:pt>
                <c:pt idx="80">
                  <c:v>0.17</c:v>
                </c:pt>
                <c:pt idx="81">
                  <c:v>0.17</c:v>
                </c:pt>
                <c:pt idx="82">
                  <c:v>0.17</c:v>
                </c:pt>
                <c:pt idx="83">
                  <c:v>0.19</c:v>
                </c:pt>
                <c:pt idx="84">
                  <c:v>0.17</c:v>
                </c:pt>
                <c:pt idx="85">
                  <c:v>0.19</c:v>
                </c:pt>
                <c:pt idx="86">
                  <c:v>0.17</c:v>
                </c:pt>
                <c:pt idx="87">
                  <c:v>0.19</c:v>
                </c:pt>
                <c:pt idx="88">
                  <c:v>0.18</c:v>
                </c:pt>
                <c:pt idx="89">
                  <c:v>0.19</c:v>
                </c:pt>
                <c:pt idx="90">
                  <c:v>0.17</c:v>
                </c:pt>
                <c:pt idx="91">
                  <c:v>0.19</c:v>
                </c:pt>
                <c:pt idx="92">
                  <c:v>0.17</c:v>
                </c:pt>
                <c:pt idx="93">
                  <c:v>0.1</c:v>
                </c:pt>
                <c:pt idx="94">
                  <c:v>0.18</c:v>
                </c:pt>
                <c:pt idx="95">
                  <c:v>0.17</c:v>
                </c:pt>
                <c:pt idx="96">
                  <c:v>0.18</c:v>
                </c:pt>
                <c:pt idx="97">
                  <c:v>0.19</c:v>
                </c:pt>
                <c:pt idx="98">
                  <c:v>0.19</c:v>
                </c:pt>
                <c:pt idx="99">
                  <c:v>0.19</c:v>
                </c:pt>
                <c:pt idx="100">
                  <c:v>0.18</c:v>
                </c:pt>
                <c:pt idx="101">
                  <c:v>0.17</c:v>
                </c:pt>
                <c:pt idx="102">
                  <c:v>0.17</c:v>
                </c:pt>
                <c:pt idx="103">
                  <c:v>0.17</c:v>
                </c:pt>
                <c:pt idx="104">
                  <c:v>0.17</c:v>
                </c:pt>
                <c:pt idx="105">
                  <c:v>0.18</c:v>
                </c:pt>
                <c:pt idx="106">
                  <c:v>0.18</c:v>
                </c:pt>
                <c:pt idx="107">
                  <c:v>0.28999999999999998</c:v>
                </c:pt>
                <c:pt idx="108">
                  <c:v>0.18</c:v>
                </c:pt>
                <c:pt idx="109">
                  <c:v>0.18</c:v>
                </c:pt>
                <c:pt idx="110">
                  <c:v>0.17</c:v>
                </c:pt>
                <c:pt idx="111">
                  <c:v>0.19</c:v>
                </c:pt>
                <c:pt idx="112">
                  <c:v>0.18</c:v>
                </c:pt>
                <c:pt idx="113">
                  <c:v>0.17</c:v>
                </c:pt>
                <c:pt idx="114">
                  <c:v>0.17</c:v>
                </c:pt>
                <c:pt idx="115">
                  <c:v>0.17</c:v>
                </c:pt>
                <c:pt idx="116">
                  <c:v>0.19</c:v>
                </c:pt>
                <c:pt idx="117">
                  <c:v>0.18</c:v>
                </c:pt>
                <c:pt idx="118">
                  <c:v>0.18</c:v>
                </c:pt>
                <c:pt idx="119">
                  <c:v>0.17</c:v>
                </c:pt>
                <c:pt idx="120">
                  <c:v>0.18</c:v>
                </c:pt>
                <c:pt idx="121">
                  <c:v>0.19</c:v>
                </c:pt>
                <c:pt idx="122">
                  <c:v>0.18</c:v>
                </c:pt>
                <c:pt idx="123">
                  <c:v>0.19</c:v>
                </c:pt>
                <c:pt idx="124">
                  <c:v>0.18</c:v>
                </c:pt>
                <c:pt idx="125">
                  <c:v>0.18</c:v>
                </c:pt>
                <c:pt idx="126">
                  <c:v>0.18</c:v>
                </c:pt>
                <c:pt idx="127">
                  <c:v>0.17</c:v>
                </c:pt>
                <c:pt idx="128">
                  <c:v>0.18</c:v>
                </c:pt>
                <c:pt idx="129">
                  <c:v>0.19</c:v>
                </c:pt>
                <c:pt idx="130">
                  <c:v>0.17</c:v>
                </c:pt>
                <c:pt idx="131">
                  <c:v>0.17</c:v>
                </c:pt>
                <c:pt idx="132">
                  <c:v>0.17</c:v>
                </c:pt>
                <c:pt idx="133">
                  <c:v>0.17</c:v>
                </c:pt>
                <c:pt idx="134">
                  <c:v>0.17</c:v>
                </c:pt>
                <c:pt idx="135">
                  <c:v>0.17</c:v>
                </c:pt>
                <c:pt idx="136">
                  <c:v>0.18</c:v>
                </c:pt>
                <c:pt idx="137">
                  <c:v>0.17</c:v>
                </c:pt>
                <c:pt idx="138">
                  <c:v>0.19</c:v>
                </c:pt>
                <c:pt idx="139">
                  <c:v>0.19</c:v>
                </c:pt>
                <c:pt idx="140">
                  <c:v>0.18</c:v>
                </c:pt>
                <c:pt idx="141">
                  <c:v>0.18</c:v>
                </c:pt>
                <c:pt idx="142">
                  <c:v>0.17</c:v>
                </c:pt>
                <c:pt idx="143">
                  <c:v>0.17</c:v>
                </c:pt>
                <c:pt idx="144">
                  <c:v>0.19</c:v>
                </c:pt>
                <c:pt idx="145">
                  <c:v>0.18</c:v>
                </c:pt>
                <c:pt idx="146">
                  <c:v>0.17</c:v>
                </c:pt>
                <c:pt idx="147">
                  <c:v>0.18</c:v>
                </c:pt>
                <c:pt idx="148">
                  <c:v>0.18</c:v>
                </c:pt>
                <c:pt idx="149">
                  <c:v>0.19</c:v>
                </c:pt>
                <c:pt idx="150">
                  <c:v>0.18</c:v>
                </c:pt>
                <c:pt idx="151">
                  <c:v>0.17</c:v>
                </c:pt>
                <c:pt idx="152">
                  <c:v>0.18</c:v>
                </c:pt>
                <c:pt idx="153">
                  <c:v>0.18</c:v>
                </c:pt>
                <c:pt idx="154">
                  <c:v>0.17</c:v>
                </c:pt>
                <c:pt idx="155">
                  <c:v>0.18</c:v>
                </c:pt>
                <c:pt idx="156">
                  <c:v>0.17</c:v>
                </c:pt>
                <c:pt idx="157">
                  <c:v>0.19</c:v>
                </c:pt>
                <c:pt idx="158">
                  <c:v>0.19</c:v>
                </c:pt>
                <c:pt idx="159">
                  <c:v>0.18</c:v>
                </c:pt>
                <c:pt idx="160">
                  <c:v>0.17</c:v>
                </c:pt>
                <c:pt idx="161">
                  <c:v>0.17</c:v>
                </c:pt>
                <c:pt idx="162">
                  <c:v>0.17</c:v>
                </c:pt>
                <c:pt idx="163">
                  <c:v>0.17</c:v>
                </c:pt>
                <c:pt idx="164">
                  <c:v>0.18</c:v>
                </c:pt>
                <c:pt idx="165">
                  <c:v>0.17</c:v>
                </c:pt>
                <c:pt idx="166">
                  <c:v>0.19</c:v>
                </c:pt>
                <c:pt idx="167">
                  <c:v>0.17</c:v>
                </c:pt>
                <c:pt idx="168">
                  <c:v>0.19</c:v>
                </c:pt>
                <c:pt idx="169">
                  <c:v>0.18</c:v>
                </c:pt>
                <c:pt idx="170">
                  <c:v>0.17</c:v>
                </c:pt>
                <c:pt idx="171">
                  <c:v>0.17</c:v>
                </c:pt>
                <c:pt idx="172">
                  <c:v>0.17</c:v>
                </c:pt>
                <c:pt idx="173">
                  <c:v>0.18</c:v>
                </c:pt>
                <c:pt idx="174">
                  <c:v>0.19</c:v>
                </c:pt>
                <c:pt idx="175">
                  <c:v>0.17</c:v>
                </c:pt>
                <c:pt idx="176">
                  <c:v>0.18</c:v>
                </c:pt>
                <c:pt idx="177">
                  <c:v>0.19</c:v>
                </c:pt>
                <c:pt idx="178">
                  <c:v>0.17</c:v>
                </c:pt>
                <c:pt idx="179">
                  <c:v>0.18</c:v>
                </c:pt>
                <c:pt idx="180">
                  <c:v>0.19</c:v>
                </c:pt>
                <c:pt idx="181">
                  <c:v>0.17</c:v>
                </c:pt>
                <c:pt idx="182">
                  <c:v>0.17</c:v>
                </c:pt>
                <c:pt idx="183">
                  <c:v>0.17</c:v>
                </c:pt>
                <c:pt idx="184">
                  <c:v>0.18</c:v>
                </c:pt>
                <c:pt idx="185">
                  <c:v>0.19</c:v>
                </c:pt>
                <c:pt idx="186">
                  <c:v>0.18</c:v>
                </c:pt>
                <c:pt idx="187">
                  <c:v>0.18</c:v>
                </c:pt>
                <c:pt idx="188">
                  <c:v>0.18</c:v>
                </c:pt>
                <c:pt idx="189">
                  <c:v>0.17</c:v>
                </c:pt>
                <c:pt idx="190">
                  <c:v>0.19</c:v>
                </c:pt>
                <c:pt idx="191">
                  <c:v>0.19</c:v>
                </c:pt>
                <c:pt idx="192">
                  <c:v>0.18</c:v>
                </c:pt>
                <c:pt idx="193">
                  <c:v>0.17</c:v>
                </c:pt>
                <c:pt idx="194">
                  <c:v>0.17</c:v>
                </c:pt>
                <c:pt idx="195">
                  <c:v>0.18</c:v>
                </c:pt>
                <c:pt idx="196">
                  <c:v>0.17</c:v>
                </c:pt>
                <c:pt idx="197">
                  <c:v>0.18</c:v>
                </c:pt>
                <c:pt idx="198">
                  <c:v>0.17</c:v>
                </c:pt>
                <c:pt idx="199">
                  <c:v>0.19</c:v>
                </c:pt>
                <c:pt idx="200">
                  <c:v>0.17</c:v>
                </c:pt>
                <c:pt idx="201">
                  <c:v>0.19</c:v>
                </c:pt>
                <c:pt idx="202">
                  <c:v>0.19</c:v>
                </c:pt>
                <c:pt idx="203">
                  <c:v>0.19</c:v>
                </c:pt>
                <c:pt idx="204">
                  <c:v>0.19</c:v>
                </c:pt>
                <c:pt idx="205">
                  <c:v>0.19</c:v>
                </c:pt>
                <c:pt idx="206">
                  <c:v>0.19</c:v>
                </c:pt>
                <c:pt idx="207">
                  <c:v>0.17</c:v>
                </c:pt>
                <c:pt idx="208">
                  <c:v>0.17</c:v>
                </c:pt>
                <c:pt idx="209">
                  <c:v>0.17</c:v>
                </c:pt>
                <c:pt idx="210">
                  <c:v>0.19</c:v>
                </c:pt>
                <c:pt idx="211">
                  <c:v>0.17</c:v>
                </c:pt>
                <c:pt idx="212">
                  <c:v>0.19</c:v>
                </c:pt>
                <c:pt idx="213">
                  <c:v>0.17</c:v>
                </c:pt>
                <c:pt idx="214">
                  <c:v>0.19</c:v>
                </c:pt>
                <c:pt idx="215">
                  <c:v>0.18</c:v>
                </c:pt>
                <c:pt idx="216">
                  <c:v>0.17</c:v>
                </c:pt>
                <c:pt idx="217">
                  <c:v>0.17</c:v>
                </c:pt>
                <c:pt idx="218">
                  <c:v>0.19</c:v>
                </c:pt>
                <c:pt idx="219">
                  <c:v>0.18</c:v>
                </c:pt>
                <c:pt idx="220">
                  <c:v>0.17</c:v>
                </c:pt>
                <c:pt idx="221">
                  <c:v>0.19</c:v>
                </c:pt>
                <c:pt idx="222">
                  <c:v>0.19</c:v>
                </c:pt>
                <c:pt idx="223">
                  <c:v>0.18</c:v>
                </c:pt>
                <c:pt idx="224">
                  <c:v>0.19</c:v>
                </c:pt>
                <c:pt idx="225">
                  <c:v>0.17</c:v>
                </c:pt>
                <c:pt idx="226">
                  <c:v>0.17</c:v>
                </c:pt>
                <c:pt idx="227">
                  <c:v>0.19</c:v>
                </c:pt>
                <c:pt idx="228">
                  <c:v>0.17</c:v>
                </c:pt>
                <c:pt idx="229">
                  <c:v>0.17</c:v>
                </c:pt>
                <c:pt idx="230">
                  <c:v>0.18</c:v>
                </c:pt>
                <c:pt idx="231">
                  <c:v>0.18</c:v>
                </c:pt>
                <c:pt idx="232">
                  <c:v>0.19</c:v>
                </c:pt>
                <c:pt idx="233">
                  <c:v>0.19</c:v>
                </c:pt>
                <c:pt idx="234">
                  <c:v>0.19</c:v>
                </c:pt>
                <c:pt idx="235">
                  <c:v>0.19</c:v>
                </c:pt>
                <c:pt idx="236">
                  <c:v>0.19</c:v>
                </c:pt>
                <c:pt idx="237">
                  <c:v>0.17</c:v>
                </c:pt>
                <c:pt idx="238">
                  <c:v>0.19</c:v>
                </c:pt>
                <c:pt idx="239">
                  <c:v>0.19</c:v>
                </c:pt>
                <c:pt idx="240">
                  <c:v>0.17</c:v>
                </c:pt>
                <c:pt idx="241">
                  <c:v>0.19</c:v>
                </c:pt>
                <c:pt idx="242">
                  <c:v>0.19</c:v>
                </c:pt>
                <c:pt idx="243">
                  <c:v>0.18</c:v>
                </c:pt>
                <c:pt idx="244">
                  <c:v>0.17</c:v>
                </c:pt>
                <c:pt idx="245">
                  <c:v>0.18</c:v>
                </c:pt>
                <c:pt idx="246">
                  <c:v>0.19</c:v>
                </c:pt>
                <c:pt idx="247">
                  <c:v>0.17</c:v>
                </c:pt>
                <c:pt idx="248">
                  <c:v>0.18</c:v>
                </c:pt>
                <c:pt idx="249">
                  <c:v>0.17</c:v>
                </c:pt>
                <c:pt idx="250">
                  <c:v>0.18</c:v>
                </c:pt>
                <c:pt idx="251">
                  <c:v>0.18</c:v>
                </c:pt>
                <c:pt idx="252">
                  <c:v>0.18</c:v>
                </c:pt>
                <c:pt idx="253">
                  <c:v>0.18</c:v>
                </c:pt>
                <c:pt idx="254">
                  <c:v>0.18</c:v>
                </c:pt>
                <c:pt idx="255">
                  <c:v>0.19</c:v>
                </c:pt>
                <c:pt idx="256">
                  <c:v>0.17</c:v>
                </c:pt>
                <c:pt idx="257">
                  <c:v>0.19</c:v>
                </c:pt>
                <c:pt idx="258">
                  <c:v>0.19</c:v>
                </c:pt>
                <c:pt idx="259">
                  <c:v>0.17</c:v>
                </c:pt>
                <c:pt idx="260">
                  <c:v>0.18</c:v>
                </c:pt>
                <c:pt idx="261">
                  <c:v>0.19</c:v>
                </c:pt>
                <c:pt idx="262">
                  <c:v>0.19</c:v>
                </c:pt>
                <c:pt idx="263">
                  <c:v>0.17</c:v>
                </c:pt>
                <c:pt idx="264">
                  <c:v>0.19</c:v>
                </c:pt>
                <c:pt idx="265">
                  <c:v>0.19</c:v>
                </c:pt>
                <c:pt idx="266">
                  <c:v>0.19</c:v>
                </c:pt>
                <c:pt idx="267">
                  <c:v>0.17</c:v>
                </c:pt>
                <c:pt idx="268">
                  <c:v>0.19</c:v>
                </c:pt>
                <c:pt idx="269">
                  <c:v>0.19</c:v>
                </c:pt>
                <c:pt idx="270">
                  <c:v>0.19</c:v>
                </c:pt>
                <c:pt idx="271">
                  <c:v>0.18</c:v>
                </c:pt>
                <c:pt idx="272">
                  <c:v>0.18</c:v>
                </c:pt>
                <c:pt idx="273">
                  <c:v>0.17</c:v>
                </c:pt>
                <c:pt idx="274">
                  <c:v>0.19</c:v>
                </c:pt>
                <c:pt idx="275">
                  <c:v>0.17</c:v>
                </c:pt>
                <c:pt idx="276">
                  <c:v>0.19</c:v>
                </c:pt>
                <c:pt idx="277">
                  <c:v>0.19</c:v>
                </c:pt>
                <c:pt idx="278">
                  <c:v>0.17</c:v>
                </c:pt>
                <c:pt idx="279">
                  <c:v>0.18</c:v>
                </c:pt>
                <c:pt idx="280">
                  <c:v>0.19</c:v>
                </c:pt>
                <c:pt idx="281">
                  <c:v>0.19</c:v>
                </c:pt>
                <c:pt idx="282">
                  <c:v>0.17</c:v>
                </c:pt>
                <c:pt idx="283">
                  <c:v>0.18</c:v>
                </c:pt>
                <c:pt idx="284">
                  <c:v>0.17</c:v>
                </c:pt>
                <c:pt idx="285">
                  <c:v>0.19</c:v>
                </c:pt>
                <c:pt idx="286">
                  <c:v>0.18</c:v>
                </c:pt>
                <c:pt idx="287">
                  <c:v>0.19</c:v>
                </c:pt>
                <c:pt idx="288">
                  <c:v>0.19</c:v>
                </c:pt>
                <c:pt idx="289">
                  <c:v>0.17</c:v>
                </c:pt>
                <c:pt idx="290">
                  <c:v>0.18</c:v>
                </c:pt>
                <c:pt idx="291">
                  <c:v>0.19</c:v>
                </c:pt>
                <c:pt idx="292">
                  <c:v>0.19</c:v>
                </c:pt>
                <c:pt idx="293">
                  <c:v>0.19</c:v>
                </c:pt>
                <c:pt idx="294">
                  <c:v>0.18</c:v>
                </c:pt>
                <c:pt idx="295">
                  <c:v>0.18</c:v>
                </c:pt>
                <c:pt idx="296">
                  <c:v>0.18</c:v>
                </c:pt>
                <c:pt idx="297">
                  <c:v>0.19</c:v>
                </c:pt>
                <c:pt idx="298">
                  <c:v>0.17</c:v>
                </c:pt>
                <c:pt idx="299">
                  <c:v>0.18</c:v>
                </c:pt>
                <c:pt idx="300">
                  <c:v>0.19</c:v>
                </c:pt>
                <c:pt idx="301">
                  <c:v>0.18</c:v>
                </c:pt>
                <c:pt idx="302">
                  <c:v>0.17</c:v>
                </c:pt>
                <c:pt idx="303">
                  <c:v>0.17</c:v>
                </c:pt>
                <c:pt idx="304">
                  <c:v>0.19</c:v>
                </c:pt>
                <c:pt idx="305">
                  <c:v>0.18</c:v>
                </c:pt>
                <c:pt idx="306">
                  <c:v>0.19</c:v>
                </c:pt>
                <c:pt idx="307">
                  <c:v>0.19</c:v>
                </c:pt>
                <c:pt idx="308">
                  <c:v>0.17</c:v>
                </c:pt>
                <c:pt idx="309">
                  <c:v>0.18</c:v>
                </c:pt>
                <c:pt idx="310">
                  <c:v>0.18</c:v>
                </c:pt>
                <c:pt idx="311">
                  <c:v>0.19</c:v>
                </c:pt>
                <c:pt idx="312">
                  <c:v>0.19</c:v>
                </c:pt>
                <c:pt idx="313">
                  <c:v>0.19</c:v>
                </c:pt>
                <c:pt idx="314">
                  <c:v>0.17</c:v>
                </c:pt>
                <c:pt idx="315">
                  <c:v>0.18</c:v>
                </c:pt>
                <c:pt idx="316">
                  <c:v>0.19</c:v>
                </c:pt>
                <c:pt idx="317">
                  <c:v>0.19</c:v>
                </c:pt>
                <c:pt idx="318">
                  <c:v>0.19</c:v>
                </c:pt>
                <c:pt idx="319">
                  <c:v>0.18</c:v>
                </c:pt>
                <c:pt idx="320">
                  <c:v>0.19</c:v>
                </c:pt>
                <c:pt idx="321">
                  <c:v>0.18</c:v>
                </c:pt>
                <c:pt idx="322">
                  <c:v>0.19</c:v>
                </c:pt>
                <c:pt idx="323">
                  <c:v>0.19</c:v>
                </c:pt>
                <c:pt idx="324">
                  <c:v>0.18</c:v>
                </c:pt>
                <c:pt idx="325">
                  <c:v>0.18</c:v>
                </c:pt>
                <c:pt idx="326">
                  <c:v>0.18</c:v>
                </c:pt>
                <c:pt idx="327">
                  <c:v>0.19</c:v>
                </c:pt>
                <c:pt idx="328">
                  <c:v>0.19</c:v>
                </c:pt>
                <c:pt idx="329">
                  <c:v>0.17</c:v>
                </c:pt>
                <c:pt idx="330">
                  <c:v>0.19</c:v>
                </c:pt>
                <c:pt idx="331">
                  <c:v>0.18</c:v>
                </c:pt>
                <c:pt idx="332">
                  <c:v>0.17</c:v>
                </c:pt>
                <c:pt idx="333">
                  <c:v>0.19</c:v>
                </c:pt>
                <c:pt idx="334">
                  <c:v>0.18</c:v>
                </c:pt>
                <c:pt idx="335">
                  <c:v>0.17</c:v>
                </c:pt>
                <c:pt idx="336">
                  <c:v>0.19</c:v>
                </c:pt>
                <c:pt idx="337">
                  <c:v>0.19</c:v>
                </c:pt>
                <c:pt idx="338">
                  <c:v>0.18</c:v>
                </c:pt>
                <c:pt idx="339">
                  <c:v>0.19</c:v>
                </c:pt>
                <c:pt idx="340">
                  <c:v>0.17</c:v>
                </c:pt>
                <c:pt idx="341">
                  <c:v>0.19</c:v>
                </c:pt>
                <c:pt idx="342">
                  <c:v>0.17</c:v>
                </c:pt>
                <c:pt idx="343">
                  <c:v>0.18</c:v>
                </c:pt>
                <c:pt idx="344">
                  <c:v>0.18</c:v>
                </c:pt>
                <c:pt idx="345">
                  <c:v>0.18</c:v>
                </c:pt>
                <c:pt idx="346">
                  <c:v>0.17</c:v>
                </c:pt>
                <c:pt idx="347">
                  <c:v>0.17</c:v>
                </c:pt>
                <c:pt idx="348">
                  <c:v>0.18</c:v>
                </c:pt>
                <c:pt idx="349">
                  <c:v>0.19</c:v>
                </c:pt>
                <c:pt idx="350">
                  <c:v>0.17</c:v>
                </c:pt>
                <c:pt idx="351">
                  <c:v>0.19</c:v>
                </c:pt>
                <c:pt idx="352">
                  <c:v>0.17</c:v>
                </c:pt>
                <c:pt idx="353">
                  <c:v>0.18</c:v>
                </c:pt>
                <c:pt idx="354">
                  <c:v>0.17</c:v>
                </c:pt>
                <c:pt idx="355">
                  <c:v>0.18</c:v>
                </c:pt>
                <c:pt idx="356">
                  <c:v>0.17</c:v>
                </c:pt>
                <c:pt idx="357">
                  <c:v>0.17</c:v>
                </c:pt>
                <c:pt idx="358">
                  <c:v>0.19</c:v>
                </c:pt>
                <c:pt idx="359">
                  <c:v>0.18</c:v>
                </c:pt>
                <c:pt idx="360">
                  <c:v>0.19</c:v>
                </c:pt>
                <c:pt idx="361">
                  <c:v>0.19</c:v>
                </c:pt>
                <c:pt idx="362">
                  <c:v>0.17</c:v>
                </c:pt>
                <c:pt idx="363">
                  <c:v>0.18</c:v>
                </c:pt>
                <c:pt idx="364">
                  <c:v>0.19</c:v>
                </c:pt>
                <c:pt idx="36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0-4DCF-B3E5-26398B7F2027}"/>
            </c:ext>
          </c:extLst>
        </c:ser>
        <c:ser>
          <c:idx val="1"/>
          <c:order val="1"/>
          <c:tx>
            <c:strRef>
              <c:f>'Supporting Data'!$J$2</c:f>
              <c:strCache>
                <c:ptCount val="1"/>
                <c:pt idx="0">
                  <c:v>Success Rate of payments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'Supporting Data'!$B$3:$B$368</c:f>
              <c:numCache>
                <c:formatCode>m/d/yyyy</c:formatCode>
                <c:ptCount val="3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</c:numCache>
            </c:numRef>
          </c:cat>
          <c:val>
            <c:numRef>
              <c:f>'Supporting Data'!$J$3:$J$368</c:f>
              <c:numCache>
                <c:formatCode>0%</c:formatCode>
                <c:ptCount val="366"/>
                <c:pt idx="0">
                  <c:v>0.95</c:v>
                </c:pt>
                <c:pt idx="1">
                  <c:v>0.95</c:v>
                </c:pt>
                <c:pt idx="2">
                  <c:v>0.94</c:v>
                </c:pt>
                <c:pt idx="3">
                  <c:v>0.94</c:v>
                </c:pt>
                <c:pt idx="4">
                  <c:v>0.92</c:v>
                </c:pt>
                <c:pt idx="5">
                  <c:v>0.93</c:v>
                </c:pt>
                <c:pt idx="6">
                  <c:v>0.93</c:v>
                </c:pt>
                <c:pt idx="7">
                  <c:v>0.95</c:v>
                </c:pt>
                <c:pt idx="8">
                  <c:v>0.93</c:v>
                </c:pt>
                <c:pt idx="9">
                  <c:v>0.92</c:v>
                </c:pt>
                <c:pt idx="10">
                  <c:v>0.91</c:v>
                </c:pt>
                <c:pt idx="11">
                  <c:v>0.95</c:v>
                </c:pt>
                <c:pt idx="12">
                  <c:v>0.92</c:v>
                </c:pt>
                <c:pt idx="13">
                  <c:v>0.94</c:v>
                </c:pt>
                <c:pt idx="14">
                  <c:v>0.91</c:v>
                </c:pt>
                <c:pt idx="15">
                  <c:v>0.91</c:v>
                </c:pt>
                <c:pt idx="16">
                  <c:v>0.95</c:v>
                </c:pt>
                <c:pt idx="17">
                  <c:v>0.91</c:v>
                </c:pt>
                <c:pt idx="18">
                  <c:v>0.95</c:v>
                </c:pt>
                <c:pt idx="19">
                  <c:v>0.91</c:v>
                </c:pt>
                <c:pt idx="20">
                  <c:v>0.92</c:v>
                </c:pt>
                <c:pt idx="21">
                  <c:v>0.94</c:v>
                </c:pt>
                <c:pt idx="22">
                  <c:v>0.95</c:v>
                </c:pt>
                <c:pt idx="23">
                  <c:v>0.94</c:v>
                </c:pt>
                <c:pt idx="24">
                  <c:v>0.94</c:v>
                </c:pt>
                <c:pt idx="25">
                  <c:v>0.92</c:v>
                </c:pt>
                <c:pt idx="26">
                  <c:v>0.91</c:v>
                </c:pt>
                <c:pt idx="27">
                  <c:v>0.91</c:v>
                </c:pt>
                <c:pt idx="28">
                  <c:v>0.94</c:v>
                </c:pt>
                <c:pt idx="29">
                  <c:v>0.93</c:v>
                </c:pt>
                <c:pt idx="30">
                  <c:v>0.94</c:v>
                </c:pt>
                <c:pt idx="31">
                  <c:v>0.94</c:v>
                </c:pt>
                <c:pt idx="32">
                  <c:v>0.95</c:v>
                </c:pt>
                <c:pt idx="33">
                  <c:v>0.91</c:v>
                </c:pt>
                <c:pt idx="34">
                  <c:v>0.93</c:v>
                </c:pt>
                <c:pt idx="35">
                  <c:v>0.91</c:v>
                </c:pt>
                <c:pt idx="36">
                  <c:v>0.93</c:v>
                </c:pt>
                <c:pt idx="37">
                  <c:v>0.94</c:v>
                </c:pt>
                <c:pt idx="38">
                  <c:v>0.92</c:v>
                </c:pt>
                <c:pt idx="39">
                  <c:v>0.95</c:v>
                </c:pt>
                <c:pt idx="40">
                  <c:v>0.95</c:v>
                </c:pt>
                <c:pt idx="41">
                  <c:v>0.94</c:v>
                </c:pt>
                <c:pt idx="42">
                  <c:v>0.92</c:v>
                </c:pt>
                <c:pt idx="43">
                  <c:v>0.94</c:v>
                </c:pt>
                <c:pt idx="44">
                  <c:v>0.91</c:v>
                </c:pt>
                <c:pt idx="45">
                  <c:v>0.93</c:v>
                </c:pt>
                <c:pt idx="46">
                  <c:v>0.91</c:v>
                </c:pt>
                <c:pt idx="47">
                  <c:v>0.94</c:v>
                </c:pt>
                <c:pt idx="48">
                  <c:v>0.95</c:v>
                </c:pt>
                <c:pt idx="49">
                  <c:v>0.92</c:v>
                </c:pt>
                <c:pt idx="50">
                  <c:v>0.91</c:v>
                </c:pt>
                <c:pt idx="51">
                  <c:v>0.94</c:v>
                </c:pt>
                <c:pt idx="52">
                  <c:v>0.94</c:v>
                </c:pt>
                <c:pt idx="53">
                  <c:v>0.91</c:v>
                </c:pt>
                <c:pt idx="54">
                  <c:v>0.91</c:v>
                </c:pt>
                <c:pt idx="55">
                  <c:v>0.93</c:v>
                </c:pt>
                <c:pt idx="56">
                  <c:v>0.95</c:v>
                </c:pt>
                <c:pt idx="57">
                  <c:v>0.95</c:v>
                </c:pt>
                <c:pt idx="58">
                  <c:v>0.93</c:v>
                </c:pt>
                <c:pt idx="59">
                  <c:v>0.94</c:v>
                </c:pt>
                <c:pt idx="60">
                  <c:v>0.95</c:v>
                </c:pt>
                <c:pt idx="61">
                  <c:v>0.93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0.94</c:v>
                </c:pt>
                <c:pt idx="66">
                  <c:v>0.95</c:v>
                </c:pt>
                <c:pt idx="67">
                  <c:v>0.95</c:v>
                </c:pt>
                <c:pt idx="68">
                  <c:v>0.92</c:v>
                </c:pt>
                <c:pt idx="69">
                  <c:v>0.93</c:v>
                </c:pt>
                <c:pt idx="70">
                  <c:v>0.91</c:v>
                </c:pt>
                <c:pt idx="71">
                  <c:v>0.91</c:v>
                </c:pt>
                <c:pt idx="72">
                  <c:v>0.94</c:v>
                </c:pt>
                <c:pt idx="73">
                  <c:v>0.95</c:v>
                </c:pt>
                <c:pt idx="74">
                  <c:v>0.93</c:v>
                </c:pt>
                <c:pt idx="75">
                  <c:v>0.93</c:v>
                </c:pt>
                <c:pt idx="76">
                  <c:v>0.95</c:v>
                </c:pt>
                <c:pt idx="77">
                  <c:v>0.65</c:v>
                </c:pt>
                <c:pt idx="78">
                  <c:v>0.93</c:v>
                </c:pt>
                <c:pt idx="79">
                  <c:v>0.95</c:v>
                </c:pt>
                <c:pt idx="80">
                  <c:v>0.95</c:v>
                </c:pt>
                <c:pt idx="81">
                  <c:v>0.92</c:v>
                </c:pt>
                <c:pt idx="82">
                  <c:v>0.91</c:v>
                </c:pt>
                <c:pt idx="83">
                  <c:v>0.92</c:v>
                </c:pt>
                <c:pt idx="84">
                  <c:v>0.94</c:v>
                </c:pt>
                <c:pt idx="85">
                  <c:v>0.93</c:v>
                </c:pt>
                <c:pt idx="86">
                  <c:v>0.93</c:v>
                </c:pt>
                <c:pt idx="87">
                  <c:v>0.95</c:v>
                </c:pt>
                <c:pt idx="88">
                  <c:v>0.92</c:v>
                </c:pt>
                <c:pt idx="89">
                  <c:v>0.95</c:v>
                </c:pt>
                <c:pt idx="90">
                  <c:v>0.91</c:v>
                </c:pt>
                <c:pt idx="91">
                  <c:v>0.95</c:v>
                </c:pt>
                <c:pt idx="92">
                  <c:v>0.91</c:v>
                </c:pt>
                <c:pt idx="93">
                  <c:v>0.92</c:v>
                </c:pt>
                <c:pt idx="94">
                  <c:v>0.95</c:v>
                </c:pt>
                <c:pt idx="95">
                  <c:v>0.91</c:v>
                </c:pt>
                <c:pt idx="96">
                  <c:v>0.95</c:v>
                </c:pt>
                <c:pt idx="97">
                  <c:v>0.92</c:v>
                </c:pt>
                <c:pt idx="98">
                  <c:v>0.95</c:v>
                </c:pt>
                <c:pt idx="99">
                  <c:v>0.95</c:v>
                </c:pt>
                <c:pt idx="100">
                  <c:v>0.91</c:v>
                </c:pt>
                <c:pt idx="101">
                  <c:v>0.95</c:v>
                </c:pt>
                <c:pt idx="102">
                  <c:v>0.91</c:v>
                </c:pt>
                <c:pt idx="103">
                  <c:v>0.95</c:v>
                </c:pt>
                <c:pt idx="104">
                  <c:v>0.94</c:v>
                </c:pt>
                <c:pt idx="105">
                  <c:v>0.92</c:v>
                </c:pt>
                <c:pt idx="106">
                  <c:v>0.92</c:v>
                </c:pt>
                <c:pt idx="107">
                  <c:v>0.91</c:v>
                </c:pt>
                <c:pt idx="108">
                  <c:v>0.95</c:v>
                </c:pt>
                <c:pt idx="109">
                  <c:v>0.94</c:v>
                </c:pt>
                <c:pt idx="110">
                  <c:v>0.94</c:v>
                </c:pt>
                <c:pt idx="111">
                  <c:v>0.95</c:v>
                </c:pt>
                <c:pt idx="112">
                  <c:v>0.93</c:v>
                </c:pt>
                <c:pt idx="113">
                  <c:v>0.94</c:v>
                </c:pt>
                <c:pt idx="114">
                  <c:v>0.91</c:v>
                </c:pt>
                <c:pt idx="115">
                  <c:v>0.94</c:v>
                </c:pt>
                <c:pt idx="116">
                  <c:v>0.94</c:v>
                </c:pt>
                <c:pt idx="117">
                  <c:v>0.93</c:v>
                </c:pt>
                <c:pt idx="118">
                  <c:v>0.91</c:v>
                </c:pt>
                <c:pt idx="119">
                  <c:v>0.94</c:v>
                </c:pt>
                <c:pt idx="120">
                  <c:v>0.94</c:v>
                </c:pt>
                <c:pt idx="121">
                  <c:v>0.95</c:v>
                </c:pt>
                <c:pt idx="122">
                  <c:v>0.93</c:v>
                </c:pt>
                <c:pt idx="123">
                  <c:v>0.94</c:v>
                </c:pt>
                <c:pt idx="124">
                  <c:v>0.93</c:v>
                </c:pt>
                <c:pt idx="125">
                  <c:v>0.93</c:v>
                </c:pt>
                <c:pt idx="126">
                  <c:v>0.95</c:v>
                </c:pt>
                <c:pt idx="127">
                  <c:v>0.91</c:v>
                </c:pt>
                <c:pt idx="128">
                  <c:v>0.95</c:v>
                </c:pt>
                <c:pt idx="129">
                  <c:v>0.92</c:v>
                </c:pt>
                <c:pt idx="130">
                  <c:v>0.91</c:v>
                </c:pt>
                <c:pt idx="131">
                  <c:v>0.94</c:v>
                </c:pt>
                <c:pt idx="132">
                  <c:v>0.93</c:v>
                </c:pt>
                <c:pt idx="133">
                  <c:v>0.91</c:v>
                </c:pt>
                <c:pt idx="134">
                  <c:v>0.95</c:v>
                </c:pt>
                <c:pt idx="135">
                  <c:v>0.93</c:v>
                </c:pt>
                <c:pt idx="136">
                  <c:v>0.91</c:v>
                </c:pt>
                <c:pt idx="137">
                  <c:v>0.93</c:v>
                </c:pt>
                <c:pt idx="138">
                  <c:v>0.92</c:v>
                </c:pt>
                <c:pt idx="139">
                  <c:v>0.93</c:v>
                </c:pt>
                <c:pt idx="140">
                  <c:v>0.94</c:v>
                </c:pt>
                <c:pt idx="141">
                  <c:v>0.94</c:v>
                </c:pt>
                <c:pt idx="142">
                  <c:v>0.93</c:v>
                </c:pt>
                <c:pt idx="143">
                  <c:v>0.92</c:v>
                </c:pt>
                <c:pt idx="144">
                  <c:v>0.95</c:v>
                </c:pt>
                <c:pt idx="145">
                  <c:v>0.91</c:v>
                </c:pt>
                <c:pt idx="146">
                  <c:v>0.91</c:v>
                </c:pt>
                <c:pt idx="147">
                  <c:v>0.92</c:v>
                </c:pt>
                <c:pt idx="148">
                  <c:v>0.93</c:v>
                </c:pt>
                <c:pt idx="149">
                  <c:v>0.91</c:v>
                </c:pt>
                <c:pt idx="150">
                  <c:v>0.95</c:v>
                </c:pt>
                <c:pt idx="151">
                  <c:v>0.93</c:v>
                </c:pt>
                <c:pt idx="152">
                  <c:v>0.93</c:v>
                </c:pt>
                <c:pt idx="153">
                  <c:v>0.95</c:v>
                </c:pt>
                <c:pt idx="154">
                  <c:v>0.95</c:v>
                </c:pt>
                <c:pt idx="155">
                  <c:v>0.94</c:v>
                </c:pt>
                <c:pt idx="156">
                  <c:v>0.95</c:v>
                </c:pt>
                <c:pt idx="157">
                  <c:v>0.95</c:v>
                </c:pt>
                <c:pt idx="158">
                  <c:v>0.93</c:v>
                </c:pt>
                <c:pt idx="159">
                  <c:v>0.95</c:v>
                </c:pt>
                <c:pt idx="160">
                  <c:v>0.91</c:v>
                </c:pt>
                <c:pt idx="161">
                  <c:v>0.94</c:v>
                </c:pt>
                <c:pt idx="162">
                  <c:v>0.95</c:v>
                </c:pt>
                <c:pt idx="163">
                  <c:v>0.92</c:v>
                </c:pt>
                <c:pt idx="164">
                  <c:v>0.94</c:v>
                </c:pt>
                <c:pt idx="165">
                  <c:v>0.91</c:v>
                </c:pt>
                <c:pt idx="166">
                  <c:v>0.93</c:v>
                </c:pt>
                <c:pt idx="167">
                  <c:v>0.93</c:v>
                </c:pt>
                <c:pt idx="168">
                  <c:v>0.93</c:v>
                </c:pt>
                <c:pt idx="169">
                  <c:v>0.94</c:v>
                </c:pt>
                <c:pt idx="170">
                  <c:v>0.91</c:v>
                </c:pt>
                <c:pt idx="171">
                  <c:v>0.95</c:v>
                </c:pt>
                <c:pt idx="172">
                  <c:v>0.93</c:v>
                </c:pt>
                <c:pt idx="173">
                  <c:v>0.91</c:v>
                </c:pt>
                <c:pt idx="174">
                  <c:v>0.93</c:v>
                </c:pt>
                <c:pt idx="175">
                  <c:v>0.95</c:v>
                </c:pt>
                <c:pt idx="176">
                  <c:v>0.92</c:v>
                </c:pt>
                <c:pt idx="177">
                  <c:v>0.91</c:v>
                </c:pt>
                <c:pt idx="178">
                  <c:v>0.92</c:v>
                </c:pt>
                <c:pt idx="179">
                  <c:v>0.92</c:v>
                </c:pt>
                <c:pt idx="180">
                  <c:v>0.91</c:v>
                </c:pt>
                <c:pt idx="181">
                  <c:v>0.93</c:v>
                </c:pt>
                <c:pt idx="182">
                  <c:v>0.94</c:v>
                </c:pt>
                <c:pt idx="183">
                  <c:v>0.94</c:v>
                </c:pt>
                <c:pt idx="184">
                  <c:v>0.91</c:v>
                </c:pt>
                <c:pt idx="185">
                  <c:v>0.92</c:v>
                </c:pt>
                <c:pt idx="186">
                  <c:v>0.94</c:v>
                </c:pt>
                <c:pt idx="187">
                  <c:v>0.94</c:v>
                </c:pt>
                <c:pt idx="188">
                  <c:v>0.92</c:v>
                </c:pt>
                <c:pt idx="189">
                  <c:v>0.91</c:v>
                </c:pt>
                <c:pt idx="190">
                  <c:v>0.94</c:v>
                </c:pt>
                <c:pt idx="191">
                  <c:v>0.91</c:v>
                </c:pt>
                <c:pt idx="192">
                  <c:v>0.95</c:v>
                </c:pt>
                <c:pt idx="193">
                  <c:v>0.91</c:v>
                </c:pt>
                <c:pt idx="194">
                  <c:v>0.92</c:v>
                </c:pt>
                <c:pt idx="195">
                  <c:v>0.94</c:v>
                </c:pt>
                <c:pt idx="196">
                  <c:v>0.95</c:v>
                </c:pt>
                <c:pt idx="197">
                  <c:v>0.93</c:v>
                </c:pt>
                <c:pt idx="198">
                  <c:v>0.94</c:v>
                </c:pt>
                <c:pt idx="199">
                  <c:v>0.94</c:v>
                </c:pt>
                <c:pt idx="200">
                  <c:v>0.95</c:v>
                </c:pt>
                <c:pt idx="201">
                  <c:v>0.93</c:v>
                </c:pt>
                <c:pt idx="202">
                  <c:v>0.94</c:v>
                </c:pt>
                <c:pt idx="203">
                  <c:v>0.93</c:v>
                </c:pt>
                <c:pt idx="204">
                  <c:v>0.93</c:v>
                </c:pt>
                <c:pt idx="205">
                  <c:v>0.94</c:v>
                </c:pt>
                <c:pt idx="206">
                  <c:v>0.91</c:v>
                </c:pt>
                <c:pt idx="207">
                  <c:v>0.95</c:v>
                </c:pt>
                <c:pt idx="208">
                  <c:v>0.91</c:v>
                </c:pt>
                <c:pt idx="209">
                  <c:v>0.92</c:v>
                </c:pt>
                <c:pt idx="210">
                  <c:v>0.92</c:v>
                </c:pt>
                <c:pt idx="211">
                  <c:v>0.95</c:v>
                </c:pt>
                <c:pt idx="212">
                  <c:v>0.94</c:v>
                </c:pt>
                <c:pt idx="213">
                  <c:v>0.93</c:v>
                </c:pt>
                <c:pt idx="214">
                  <c:v>0.92</c:v>
                </c:pt>
                <c:pt idx="215">
                  <c:v>0.95</c:v>
                </c:pt>
                <c:pt idx="216">
                  <c:v>0.92</c:v>
                </c:pt>
                <c:pt idx="217">
                  <c:v>0.95</c:v>
                </c:pt>
                <c:pt idx="218">
                  <c:v>0.91</c:v>
                </c:pt>
                <c:pt idx="219">
                  <c:v>0.92</c:v>
                </c:pt>
                <c:pt idx="220">
                  <c:v>0.93</c:v>
                </c:pt>
                <c:pt idx="221">
                  <c:v>0.93</c:v>
                </c:pt>
                <c:pt idx="222">
                  <c:v>0.95</c:v>
                </c:pt>
                <c:pt idx="223">
                  <c:v>0.91</c:v>
                </c:pt>
                <c:pt idx="224">
                  <c:v>0.93</c:v>
                </c:pt>
                <c:pt idx="225">
                  <c:v>0.91</c:v>
                </c:pt>
                <c:pt idx="226">
                  <c:v>0.92</c:v>
                </c:pt>
                <c:pt idx="227">
                  <c:v>0.95</c:v>
                </c:pt>
                <c:pt idx="228">
                  <c:v>0.94</c:v>
                </c:pt>
                <c:pt idx="229">
                  <c:v>0.94</c:v>
                </c:pt>
                <c:pt idx="230">
                  <c:v>0.93</c:v>
                </c:pt>
                <c:pt idx="231">
                  <c:v>0.92</c:v>
                </c:pt>
                <c:pt idx="232">
                  <c:v>0.93</c:v>
                </c:pt>
                <c:pt idx="233">
                  <c:v>0.95</c:v>
                </c:pt>
                <c:pt idx="234">
                  <c:v>0.93</c:v>
                </c:pt>
                <c:pt idx="235">
                  <c:v>0.94</c:v>
                </c:pt>
                <c:pt idx="236">
                  <c:v>0.95</c:v>
                </c:pt>
                <c:pt idx="237">
                  <c:v>0.94</c:v>
                </c:pt>
                <c:pt idx="238">
                  <c:v>0.94</c:v>
                </c:pt>
                <c:pt idx="239">
                  <c:v>0.95</c:v>
                </c:pt>
                <c:pt idx="240">
                  <c:v>0.92</c:v>
                </c:pt>
                <c:pt idx="241">
                  <c:v>0.91</c:v>
                </c:pt>
                <c:pt idx="242">
                  <c:v>0.95</c:v>
                </c:pt>
                <c:pt idx="243">
                  <c:v>0.94</c:v>
                </c:pt>
                <c:pt idx="244">
                  <c:v>0.92</c:v>
                </c:pt>
                <c:pt idx="245">
                  <c:v>0.95</c:v>
                </c:pt>
                <c:pt idx="246">
                  <c:v>0.93</c:v>
                </c:pt>
                <c:pt idx="247">
                  <c:v>0.93</c:v>
                </c:pt>
                <c:pt idx="248">
                  <c:v>0.92</c:v>
                </c:pt>
                <c:pt idx="249">
                  <c:v>0.95</c:v>
                </c:pt>
                <c:pt idx="250">
                  <c:v>0.91</c:v>
                </c:pt>
                <c:pt idx="251">
                  <c:v>0.94</c:v>
                </c:pt>
                <c:pt idx="252">
                  <c:v>0.91</c:v>
                </c:pt>
                <c:pt idx="253">
                  <c:v>0.94</c:v>
                </c:pt>
                <c:pt idx="254">
                  <c:v>0.91</c:v>
                </c:pt>
                <c:pt idx="255">
                  <c:v>0.92</c:v>
                </c:pt>
                <c:pt idx="256">
                  <c:v>0.93</c:v>
                </c:pt>
                <c:pt idx="257">
                  <c:v>0.94</c:v>
                </c:pt>
                <c:pt idx="258">
                  <c:v>0.95</c:v>
                </c:pt>
                <c:pt idx="259">
                  <c:v>0.94</c:v>
                </c:pt>
                <c:pt idx="260">
                  <c:v>0.93</c:v>
                </c:pt>
                <c:pt idx="261">
                  <c:v>0.95</c:v>
                </c:pt>
                <c:pt idx="262">
                  <c:v>0.93</c:v>
                </c:pt>
                <c:pt idx="263">
                  <c:v>0.91</c:v>
                </c:pt>
                <c:pt idx="264">
                  <c:v>0.95</c:v>
                </c:pt>
                <c:pt idx="265">
                  <c:v>0.91</c:v>
                </c:pt>
                <c:pt idx="266">
                  <c:v>0.95</c:v>
                </c:pt>
                <c:pt idx="267">
                  <c:v>0.91</c:v>
                </c:pt>
                <c:pt idx="268">
                  <c:v>0.91</c:v>
                </c:pt>
                <c:pt idx="269">
                  <c:v>0.92</c:v>
                </c:pt>
                <c:pt idx="270">
                  <c:v>0.94</c:v>
                </c:pt>
                <c:pt idx="271">
                  <c:v>0.91</c:v>
                </c:pt>
                <c:pt idx="272">
                  <c:v>0.91</c:v>
                </c:pt>
                <c:pt idx="273">
                  <c:v>0.92</c:v>
                </c:pt>
                <c:pt idx="274">
                  <c:v>0.94</c:v>
                </c:pt>
                <c:pt idx="275">
                  <c:v>0.93</c:v>
                </c:pt>
                <c:pt idx="276">
                  <c:v>0.94</c:v>
                </c:pt>
                <c:pt idx="277">
                  <c:v>0.95</c:v>
                </c:pt>
                <c:pt idx="278">
                  <c:v>0.94</c:v>
                </c:pt>
                <c:pt idx="279">
                  <c:v>0.91</c:v>
                </c:pt>
                <c:pt idx="280">
                  <c:v>0.95</c:v>
                </c:pt>
                <c:pt idx="281">
                  <c:v>0.91</c:v>
                </c:pt>
                <c:pt idx="282">
                  <c:v>0.93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0.93</c:v>
                </c:pt>
                <c:pt idx="287">
                  <c:v>0.91</c:v>
                </c:pt>
                <c:pt idx="288">
                  <c:v>0.95</c:v>
                </c:pt>
                <c:pt idx="289">
                  <c:v>0.92</c:v>
                </c:pt>
                <c:pt idx="290">
                  <c:v>0.94</c:v>
                </c:pt>
                <c:pt idx="291">
                  <c:v>0.92</c:v>
                </c:pt>
                <c:pt idx="292">
                  <c:v>0.94</c:v>
                </c:pt>
                <c:pt idx="293">
                  <c:v>0.92</c:v>
                </c:pt>
                <c:pt idx="294">
                  <c:v>0.94</c:v>
                </c:pt>
                <c:pt idx="295">
                  <c:v>0.95</c:v>
                </c:pt>
                <c:pt idx="296">
                  <c:v>0.91</c:v>
                </c:pt>
                <c:pt idx="297">
                  <c:v>0.93</c:v>
                </c:pt>
                <c:pt idx="298">
                  <c:v>0.92</c:v>
                </c:pt>
                <c:pt idx="299">
                  <c:v>0.95</c:v>
                </c:pt>
                <c:pt idx="300">
                  <c:v>0.94</c:v>
                </c:pt>
                <c:pt idx="301">
                  <c:v>0.93</c:v>
                </c:pt>
                <c:pt idx="302">
                  <c:v>0.91</c:v>
                </c:pt>
                <c:pt idx="303">
                  <c:v>0.95</c:v>
                </c:pt>
                <c:pt idx="304">
                  <c:v>0.91</c:v>
                </c:pt>
                <c:pt idx="305">
                  <c:v>0.91</c:v>
                </c:pt>
                <c:pt idx="306">
                  <c:v>0.94</c:v>
                </c:pt>
                <c:pt idx="307">
                  <c:v>0.92</c:v>
                </c:pt>
                <c:pt idx="308">
                  <c:v>0.91</c:v>
                </c:pt>
                <c:pt idx="309">
                  <c:v>0.94</c:v>
                </c:pt>
                <c:pt idx="310">
                  <c:v>0.93</c:v>
                </c:pt>
                <c:pt idx="311">
                  <c:v>0.94</c:v>
                </c:pt>
                <c:pt idx="312">
                  <c:v>0.93</c:v>
                </c:pt>
                <c:pt idx="313">
                  <c:v>0.92</c:v>
                </c:pt>
                <c:pt idx="314">
                  <c:v>0.94</c:v>
                </c:pt>
                <c:pt idx="315">
                  <c:v>0.93</c:v>
                </c:pt>
                <c:pt idx="316">
                  <c:v>0.95</c:v>
                </c:pt>
                <c:pt idx="317">
                  <c:v>0.92</c:v>
                </c:pt>
                <c:pt idx="318">
                  <c:v>0.91</c:v>
                </c:pt>
                <c:pt idx="319">
                  <c:v>0.92</c:v>
                </c:pt>
                <c:pt idx="320">
                  <c:v>0.95</c:v>
                </c:pt>
                <c:pt idx="321">
                  <c:v>0.94</c:v>
                </c:pt>
                <c:pt idx="322">
                  <c:v>0.92</c:v>
                </c:pt>
                <c:pt idx="323">
                  <c:v>0.92</c:v>
                </c:pt>
                <c:pt idx="324">
                  <c:v>0.92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0.94</c:v>
                </c:pt>
                <c:pt idx="329">
                  <c:v>0.95</c:v>
                </c:pt>
                <c:pt idx="330">
                  <c:v>0.91</c:v>
                </c:pt>
                <c:pt idx="331">
                  <c:v>0.94</c:v>
                </c:pt>
                <c:pt idx="332">
                  <c:v>0.94</c:v>
                </c:pt>
                <c:pt idx="333">
                  <c:v>0.93</c:v>
                </c:pt>
                <c:pt idx="334">
                  <c:v>0.92</c:v>
                </c:pt>
                <c:pt idx="335">
                  <c:v>0.91</c:v>
                </c:pt>
                <c:pt idx="336">
                  <c:v>0.94</c:v>
                </c:pt>
                <c:pt idx="337">
                  <c:v>0.92</c:v>
                </c:pt>
                <c:pt idx="338">
                  <c:v>0.91</c:v>
                </c:pt>
                <c:pt idx="339">
                  <c:v>0.91</c:v>
                </c:pt>
                <c:pt idx="340">
                  <c:v>0.95</c:v>
                </c:pt>
                <c:pt idx="341">
                  <c:v>0.93</c:v>
                </c:pt>
                <c:pt idx="342">
                  <c:v>0.92</c:v>
                </c:pt>
                <c:pt idx="343">
                  <c:v>0.94</c:v>
                </c:pt>
                <c:pt idx="344">
                  <c:v>0.94</c:v>
                </c:pt>
                <c:pt idx="345">
                  <c:v>0.92</c:v>
                </c:pt>
                <c:pt idx="346">
                  <c:v>0.92</c:v>
                </c:pt>
                <c:pt idx="347">
                  <c:v>0.92</c:v>
                </c:pt>
                <c:pt idx="348">
                  <c:v>0.91</c:v>
                </c:pt>
                <c:pt idx="349">
                  <c:v>0.95</c:v>
                </c:pt>
                <c:pt idx="350">
                  <c:v>0.92</c:v>
                </c:pt>
                <c:pt idx="351">
                  <c:v>0.93</c:v>
                </c:pt>
                <c:pt idx="352">
                  <c:v>0.92</c:v>
                </c:pt>
                <c:pt idx="353">
                  <c:v>0.95</c:v>
                </c:pt>
                <c:pt idx="354">
                  <c:v>0.91</c:v>
                </c:pt>
                <c:pt idx="355">
                  <c:v>0.92</c:v>
                </c:pt>
                <c:pt idx="356">
                  <c:v>0.92</c:v>
                </c:pt>
                <c:pt idx="357">
                  <c:v>0.93</c:v>
                </c:pt>
                <c:pt idx="358">
                  <c:v>0.93</c:v>
                </c:pt>
                <c:pt idx="359">
                  <c:v>0.95</c:v>
                </c:pt>
                <c:pt idx="360">
                  <c:v>0.91</c:v>
                </c:pt>
                <c:pt idx="361">
                  <c:v>0.91</c:v>
                </c:pt>
                <c:pt idx="362">
                  <c:v>0.94</c:v>
                </c:pt>
                <c:pt idx="363">
                  <c:v>0.95</c:v>
                </c:pt>
                <c:pt idx="364">
                  <c:v>0.91</c:v>
                </c:pt>
                <c:pt idx="365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0-4DCF-B3E5-26398B7F2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049919"/>
        <c:axId val="1472052319"/>
      </c:lineChart>
      <c:dateAx>
        <c:axId val="14720499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52319"/>
        <c:crosses val="autoZero"/>
        <c:auto val="1"/>
        <c:lblOffset val="100"/>
        <c:baseTimeUnit val="days"/>
      </c:dateAx>
      <c:valAx>
        <c:axId val="147205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4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'Supporting Data'!$E$2</c:f>
              <c:strCache>
                <c:ptCount val="1"/>
                <c:pt idx="0">
                  <c:v>Out of stock Items per restaurant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7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01-4C95-BF9C-AFA95CD882D4}"/>
              </c:ext>
            </c:extLst>
          </c:dPt>
          <c:cat>
            <c:numRef>
              <c:f>'Supporting Data'!$B$3:$B$368</c:f>
              <c:numCache>
                <c:formatCode>m/d/yyyy</c:formatCode>
                <c:ptCount val="3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</c:numCache>
            </c:numRef>
          </c:cat>
          <c:val>
            <c:numRef>
              <c:f>'Supporting Data'!$E$3:$E$368</c:f>
              <c:numCache>
                <c:formatCode>General</c:formatCode>
                <c:ptCount val="366"/>
                <c:pt idx="0">
                  <c:v>37</c:v>
                </c:pt>
                <c:pt idx="1">
                  <c:v>31</c:v>
                </c:pt>
                <c:pt idx="2">
                  <c:v>30</c:v>
                </c:pt>
                <c:pt idx="3">
                  <c:v>30</c:v>
                </c:pt>
                <c:pt idx="4">
                  <c:v>31</c:v>
                </c:pt>
                <c:pt idx="5">
                  <c:v>33</c:v>
                </c:pt>
                <c:pt idx="6">
                  <c:v>36</c:v>
                </c:pt>
                <c:pt idx="7">
                  <c:v>39</c:v>
                </c:pt>
                <c:pt idx="8">
                  <c:v>40</c:v>
                </c:pt>
                <c:pt idx="9">
                  <c:v>32</c:v>
                </c:pt>
                <c:pt idx="10">
                  <c:v>36</c:v>
                </c:pt>
                <c:pt idx="11">
                  <c:v>37</c:v>
                </c:pt>
                <c:pt idx="12">
                  <c:v>34</c:v>
                </c:pt>
                <c:pt idx="13">
                  <c:v>36</c:v>
                </c:pt>
                <c:pt idx="14">
                  <c:v>36</c:v>
                </c:pt>
                <c:pt idx="15">
                  <c:v>30</c:v>
                </c:pt>
                <c:pt idx="16">
                  <c:v>36</c:v>
                </c:pt>
                <c:pt idx="17">
                  <c:v>31</c:v>
                </c:pt>
                <c:pt idx="18">
                  <c:v>37</c:v>
                </c:pt>
                <c:pt idx="19">
                  <c:v>40</c:v>
                </c:pt>
                <c:pt idx="20">
                  <c:v>39</c:v>
                </c:pt>
                <c:pt idx="21">
                  <c:v>35</c:v>
                </c:pt>
                <c:pt idx="22">
                  <c:v>36</c:v>
                </c:pt>
                <c:pt idx="23">
                  <c:v>33</c:v>
                </c:pt>
                <c:pt idx="24">
                  <c:v>32</c:v>
                </c:pt>
                <c:pt idx="25">
                  <c:v>37</c:v>
                </c:pt>
                <c:pt idx="26">
                  <c:v>30</c:v>
                </c:pt>
                <c:pt idx="27">
                  <c:v>40</c:v>
                </c:pt>
                <c:pt idx="28">
                  <c:v>31</c:v>
                </c:pt>
                <c:pt idx="29">
                  <c:v>37</c:v>
                </c:pt>
                <c:pt idx="30">
                  <c:v>38</c:v>
                </c:pt>
                <c:pt idx="31">
                  <c:v>34</c:v>
                </c:pt>
                <c:pt idx="32">
                  <c:v>33</c:v>
                </c:pt>
                <c:pt idx="33">
                  <c:v>30</c:v>
                </c:pt>
                <c:pt idx="34">
                  <c:v>39</c:v>
                </c:pt>
                <c:pt idx="35">
                  <c:v>30</c:v>
                </c:pt>
                <c:pt idx="36">
                  <c:v>40</c:v>
                </c:pt>
                <c:pt idx="37">
                  <c:v>30</c:v>
                </c:pt>
                <c:pt idx="38">
                  <c:v>37</c:v>
                </c:pt>
                <c:pt idx="39">
                  <c:v>34</c:v>
                </c:pt>
                <c:pt idx="40">
                  <c:v>38</c:v>
                </c:pt>
                <c:pt idx="41">
                  <c:v>33</c:v>
                </c:pt>
                <c:pt idx="42">
                  <c:v>39</c:v>
                </c:pt>
                <c:pt idx="43">
                  <c:v>32</c:v>
                </c:pt>
                <c:pt idx="44">
                  <c:v>40</c:v>
                </c:pt>
                <c:pt idx="45">
                  <c:v>34</c:v>
                </c:pt>
                <c:pt idx="46">
                  <c:v>33</c:v>
                </c:pt>
                <c:pt idx="47">
                  <c:v>31</c:v>
                </c:pt>
                <c:pt idx="48">
                  <c:v>36</c:v>
                </c:pt>
                <c:pt idx="49">
                  <c:v>35</c:v>
                </c:pt>
                <c:pt idx="50">
                  <c:v>32</c:v>
                </c:pt>
                <c:pt idx="51">
                  <c:v>36</c:v>
                </c:pt>
                <c:pt idx="52">
                  <c:v>30</c:v>
                </c:pt>
                <c:pt idx="53">
                  <c:v>35</c:v>
                </c:pt>
                <c:pt idx="54">
                  <c:v>38</c:v>
                </c:pt>
                <c:pt idx="55">
                  <c:v>34</c:v>
                </c:pt>
                <c:pt idx="56">
                  <c:v>33</c:v>
                </c:pt>
                <c:pt idx="57">
                  <c:v>38</c:v>
                </c:pt>
                <c:pt idx="58">
                  <c:v>30</c:v>
                </c:pt>
                <c:pt idx="59">
                  <c:v>34</c:v>
                </c:pt>
                <c:pt idx="60">
                  <c:v>40</c:v>
                </c:pt>
                <c:pt idx="61">
                  <c:v>32</c:v>
                </c:pt>
                <c:pt idx="62">
                  <c:v>31</c:v>
                </c:pt>
                <c:pt idx="63">
                  <c:v>35</c:v>
                </c:pt>
                <c:pt idx="64">
                  <c:v>39</c:v>
                </c:pt>
                <c:pt idx="65">
                  <c:v>31</c:v>
                </c:pt>
                <c:pt idx="66">
                  <c:v>30</c:v>
                </c:pt>
                <c:pt idx="67">
                  <c:v>33</c:v>
                </c:pt>
                <c:pt idx="68">
                  <c:v>33</c:v>
                </c:pt>
                <c:pt idx="69">
                  <c:v>35</c:v>
                </c:pt>
                <c:pt idx="70">
                  <c:v>30</c:v>
                </c:pt>
                <c:pt idx="71">
                  <c:v>31</c:v>
                </c:pt>
                <c:pt idx="72">
                  <c:v>34</c:v>
                </c:pt>
                <c:pt idx="73">
                  <c:v>34</c:v>
                </c:pt>
                <c:pt idx="74">
                  <c:v>40</c:v>
                </c:pt>
                <c:pt idx="75">
                  <c:v>36</c:v>
                </c:pt>
                <c:pt idx="76">
                  <c:v>30</c:v>
                </c:pt>
                <c:pt idx="77">
                  <c:v>37</c:v>
                </c:pt>
                <c:pt idx="78">
                  <c:v>38</c:v>
                </c:pt>
                <c:pt idx="79">
                  <c:v>36</c:v>
                </c:pt>
                <c:pt idx="80">
                  <c:v>40</c:v>
                </c:pt>
                <c:pt idx="81">
                  <c:v>38</c:v>
                </c:pt>
                <c:pt idx="82">
                  <c:v>38</c:v>
                </c:pt>
                <c:pt idx="83">
                  <c:v>31</c:v>
                </c:pt>
                <c:pt idx="84">
                  <c:v>39</c:v>
                </c:pt>
                <c:pt idx="85">
                  <c:v>35</c:v>
                </c:pt>
                <c:pt idx="86">
                  <c:v>35</c:v>
                </c:pt>
                <c:pt idx="87">
                  <c:v>38</c:v>
                </c:pt>
                <c:pt idx="88">
                  <c:v>39</c:v>
                </c:pt>
                <c:pt idx="89">
                  <c:v>36</c:v>
                </c:pt>
                <c:pt idx="90">
                  <c:v>36</c:v>
                </c:pt>
                <c:pt idx="91">
                  <c:v>35</c:v>
                </c:pt>
                <c:pt idx="92">
                  <c:v>37</c:v>
                </c:pt>
                <c:pt idx="93">
                  <c:v>35</c:v>
                </c:pt>
                <c:pt idx="94">
                  <c:v>34</c:v>
                </c:pt>
                <c:pt idx="95">
                  <c:v>30</c:v>
                </c:pt>
                <c:pt idx="96">
                  <c:v>37</c:v>
                </c:pt>
                <c:pt idx="97">
                  <c:v>32</c:v>
                </c:pt>
                <c:pt idx="98">
                  <c:v>34</c:v>
                </c:pt>
                <c:pt idx="99">
                  <c:v>32</c:v>
                </c:pt>
                <c:pt idx="100">
                  <c:v>35</c:v>
                </c:pt>
                <c:pt idx="101">
                  <c:v>32</c:v>
                </c:pt>
                <c:pt idx="102">
                  <c:v>31</c:v>
                </c:pt>
                <c:pt idx="103">
                  <c:v>38</c:v>
                </c:pt>
                <c:pt idx="104">
                  <c:v>31</c:v>
                </c:pt>
                <c:pt idx="105">
                  <c:v>33</c:v>
                </c:pt>
                <c:pt idx="106">
                  <c:v>31</c:v>
                </c:pt>
                <c:pt idx="107">
                  <c:v>32</c:v>
                </c:pt>
                <c:pt idx="108">
                  <c:v>39</c:v>
                </c:pt>
                <c:pt idx="109">
                  <c:v>35</c:v>
                </c:pt>
                <c:pt idx="110">
                  <c:v>34</c:v>
                </c:pt>
                <c:pt idx="111">
                  <c:v>31</c:v>
                </c:pt>
                <c:pt idx="112">
                  <c:v>38</c:v>
                </c:pt>
                <c:pt idx="113">
                  <c:v>37</c:v>
                </c:pt>
                <c:pt idx="114">
                  <c:v>30</c:v>
                </c:pt>
                <c:pt idx="115">
                  <c:v>38</c:v>
                </c:pt>
                <c:pt idx="116">
                  <c:v>31</c:v>
                </c:pt>
                <c:pt idx="117">
                  <c:v>30</c:v>
                </c:pt>
                <c:pt idx="118">
                  <c:v>38</c:v>
                </c:pt>
                <c:pt idx="119">
                  <c:v>33</c:v>
                </c:pt>
                <c:pt idx="120">
                  <c:v>40</c:v>
                </c:pt>
                <c:pt idx="121">
                  <c:v>31</c:v>
                </c:pt>
                <c:pt idx="122">
                  <c:v>37</c:v>
                </c:pt>
                <c:pt idx="123">
                  <c:v>39</c:v>
                </c:pt>
                <c:pt idx="124">
                  <c:v>34</c:v>
                </c:pt>
                <c:pt idx="125">
                  <c:v>32</c:v>
                </c:pt>
                <c:pt idx="126">
                  <c:v>37</c:v>
                </c:pt>
                <c:pt idx="127">
                  <c:v>35</c:v>
                </c:pt>
                <c:pt idx="128">
                  <c:v>32</c:v>
                </c:pt>
                <c:pt idx="129">
                  <c:v>40</c:v>
                </c:pt>
                <c:pt idx="130">
                  <c:v>39</c:v>
                </c:pt>
                <c:pt idx="131">
                  <c:v>34</c:v>
                </c:pt>
                <c:pt idx="132">
                  <c:v>37</c:v>
                </c:pt>
                <c:pt idx="133">
                  <c:v>35</c:v>
                </c:pt>
                <c:pt idx="134">
                  <c:v>37</c:v>
                </c:pt>
                <c:pt idx="135">
                  <c:v>37</c:v>
                </c:pt>
                <c:pt idx="136">
                  <c:v>32</c:v>
                </c:pt>
                <c:pt idx="137">
                  <c:v>35</c:v>
                </c:pt>
                <c:pt idx="138">
                  <c:v>31</c:v>
                </c:pt>
                <c:pt idx="139">
                  <c:v>32</c:v>
                </c:pt>
                <c:pt idx="140">
                  <c:v>35</c:v>
                </c:pt>
                <c:pt idx="141">
                  <c:v>35</c:v>
                </c:pt>
                <c:pt idx="142">
                  <c:v>38</c:v>
                </c:pt>
                <c:pt idx="143">
                  <c:v>34</c:v>
                </c:pt>
                <c:pt idx="144">
                  <c:v>31</c:v>
                </c:pt>
                <c:pt idx="145">
                  <c:v>35</c:v>
                </c:pt>
                <c:pt idx="146">
                  <c:v>40</c:v>
                </c:pt>
                <c:pt idx="147">
                  <c:v>39</c:v>
                </c:pt>
                <c:pt idx="148">
                  <c:v>39</c:v>
                </c:pt>
                <c:pt idx="149">
                  <c:v>30</c:v>
                </c:pt>
                <c:pt idx="150">
                  <c:v>34</c:v>
                </c:pt>
                <c:pt idx="151">
                  <c:v>34</c:v>
                </c:pt>
                <c:pt idx="152">
                  <c:v>31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40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37</c:v>
                </c:pt>
                <c:pt idx="161">
                  <c:v>31</c:v>
                </c:pt>
                <c:pt idx="162">
                  <c:v>36</c:v>
                </c:pt>
                <c:pt idx="163">
                  <c:v>36</c:v>
                </c:pt>
                <c:pt idx="164">
                  <c:v>36</c:v>
                </c:pt>
                <c:pt idx="165">
                  <c:v>38</c:v>
                </c:pt>
                <c:pt idx="166">
                  <c:v>31</c:v>
                </c:pt>
                <c:pt idx="167">
                  <c:v>30</c:v>
                </c:pt>
                <c:pt idx="168">
                  <c:v>40</c:v>
                </c:pt>
                <c:pt idx="169">
                  <c:v>32</c:v>
                </c:pt>
                <c:pt idx="170">
                  <c:v>34</c:v>
                </c:pt>
                <c:pt idx="171">
                  <c:v>36</c:v>
                </c:pt>
                <c:pt idx="172">
                  <c:v>36</c:v>
                </c:pt>
                <c:pt idx="173">
                  <c:v>33</c:v>
                </c:pt>
                <c:pt idx="174">
                  <c:v>32</c:v>
                </c:pt>
                <c:pt idx="175">
                  <c:v>33</c:v>
                </c:pt>
                <c:pt idx="176">
                  <c:v>38</c:v>
                </c:pt>
                <c:pt idx="177">
                  <c:v>31</c:v>
                </c:pt>
                <c:pt idx="178">
                  <c:v>31</c:v>
                </c:pt>
                <c:pt idx="179">
                  <c:v>38</c:v>
                </c:pt>
                <c:pt idx="180">
                  <c:v>36</c:v>
                </c:pt>
                <c:pt idx="181">
                  <c:v>31</c:v>
                </c:pt>
                <c:pt idx="182">
                  <c:v>34</c:v>
                </c:pt>
                <c:pt idx="183">
                  <c:v>39</c:v>
                </c:pt>
                <c:pt idx="184">
                  <c:v>36</c:v>
                </c:pt>
                <c:pt idx="185">
                  <c:v>40</c:v>
                </c:pt>
                <c:pt idx="186">
                  <c:v>35</c:v>
                </c:pt>
                <c:pt idx="187">
                  <c:v>32</c:v>
                </c:pt>
                <c:pt idx="188">
                  <c:v>40</c:v>
                </c:pt>
                <c:pt idx="189">
                  <c:v>39</c:v>
                </c:pt>
                <c:pt idx="190">
                  <c:v>40</c:v>
                </c:pt>
                <c:pt idx="191">
                  <c:v>32</c:v>
                </c:pt>
                <c:pt idx="192">
                  <c:v>37</c:v>
                </c:pt>
                <c:pt idx="193">
                  <c:v>34</c:v>
                </c:pt>
                <c:pt idx="194">
                  <c:v>38</c:v>
                </c:pt>
                <c:pt idx="195">
                  <c:v>39</c:v>
                </c:pt>
                <c:pt idx="196">
                  <c:v>38</c:v>
                </c:pt>
                <c:pt idx="197">
                  <c:v>30</c:v>
                </c:pt>
                <c:pt idx="198">
                  <c:v>36</c:v>
                </c:pt>
                <c:pt idx="199">
                  <c:v>32</c:v>
                </c:pt>
                <c:pt idx="200">
                  <c:v>34</c:v>
                </c:pt>
                <c:pt idx="201">
                  <c:v>35</c:v>
                </c:pt>
                <c:pt idx="202">
                  <c:v>33</c:v>
                </c:pt>
                <c:pt idx="203">
                  <c:v>32</c:v>
                </c:pt>
                <c:pt idx="204">
                  <c:v>39</c:v>
                </c:pt>
                <c:pt idx="205">
                  <c:v>31</c:v>
                </c:pt>
                <c:pt idx="206">
                  <c:v>32</c:v>
                </c:pt>
                <c:pt idx="207">
                  <c:v>38</c:v>
                </c:pt>
                <c:pt idx="208">
                  <c:v>40</c:v>
                </c:pt>
                <c:pt idx="209">
                  <c:v>35</c:v>
                </c:pt>
                <c:pt idx="210">
                  <c:v>34</c:v>
                </c:pt>
                <c:pt idx="211">
                  <c:v>33</c:v>
                </c:pt>
                <c:pt idx="212">
                  <c:v>32</c:v>
                </c:pt>
                <c:pt idx="213">
                  <c:v>37</c:v>
                </c:pt>
                <c:pt idx="214">
                  <c:v>30</c:v>
                </c:pt>
                <c:pt idx="215">
                  <c:v>35</c:v>
                </c:pt>
                <c:pt idx="216">
                  <c:v>39</c:v>
                </c:pt>
                <c:pt idx="217">
                  <c:v>31</c:v>
                </c:pt>
                <c:pt idx="218">
                  <c:v>34</c:v>
                </c:pt>
                <c:pt idx="219">
                  <c:v>32</c:v>
                </c:pt>
                <c:pt idx="220">
                  <c:v>32</c:v>
                </c:pt>
                <c:pt idx="221">
                  <c:v>30</c:v>
                </c:pt>
                <c:pt idx="222">
                  <c:v>34</c:v>
                </c:pt>
                <c:pt idx="223">
                  <c:v>36</c:v>
                </c:pt>
                <c:pt idx="224">
                  <c:v>30</c:v>
                </c:pt>
                <c:pt idx="225">
                  <c:v>32</c:v>
                </c:pt>
                <c:pt idx="226">
                  <c:v>36</c:v>
                </c:pt>
                <c:pt idx="227">
                  <c:v>35</c:v>
                </c:pt>
                <c:pt idx="228">
                  <c:v>35</c:v>
                </c:pt>
                <c:pt idx="229">
                  <c:v>38</c:v>
                </c:pt>
                <c:pt idx="230">
                  <c:v>35</c:v>
                </c:pt>
                <c:pt idx="231">
                  <c:v>35</c:v>
                </c:pt>
                <c:pt idx="232">
                  <c:v>36</c:v>
                </c:pt>
                <c:pt idx="233">
                  <c:v>36</c:v>
                </c:pt>
                <c:pt idx="234">
                  <c:v>39</c:v>
                </c:pt>
                <c:pt idx="235">
                  <c:v>36</c:v>
                </c:pt>
                <c:pt idx="236">
                  <c:v>31</c:v>
                </c:pt>
                <c:pt idx="237">
                  <c:v>32</c:v>
                </c:pt>
                <c:pt idx="238">
                  <c:v>39</c:v>
                </c:pt>
                <c:pt idx="239">
                  <c:v>31</c:v>
                </c:pt>
                <c:pt idx="240">
                  <c:v>35</c:v>
                </c:pt>
                <c:pt idx="241">
                  <c:v>30</c:v>
                </c:pt>
                <c:pt idx="242">
                  <c:v>38</c:v>
                </c:pt>
                <c:pt idx="243">
                  <c:v>35</c:v>
                </c:pt>
                <c:pt idx="244">
                  <c:v>31</c:v>
                </c:pt>
                <c:pt idx="245">
                  <c:v>38</c:v>
                </c:pt>
                <c:pt idx="246">
                  <c:v>39</c:v>
                </c:pt>
                <c:pt idx="247">
                  <c:v>32</c:v>
                </c:pt>
                <c:pt idx="248">
                  <c:v>33</c:v>
                </c:pt>
                <c:pt idx="249">
                  <c:v>34</c:v>
                </c:pt>
                <c:pt idx="250">
                  <c:v>35</c:v>
                </c:pt>
                <c:pt idx="251">
                  <c:v>35</c:v>
                </c:pt>
                <c:pt idx="252">
                  <c:v>35</c:v>
                </c:pt>
                <c:pt idx="253">
                  <c:v>40</c:v>
                </c:pt>
                <c:pt idx="254">
                  <c:v>34</c:v>
                </c:pt>
                <c:pt idx="255">
                  <c:v>30</c:v>
                </c:pt>
                <c:pt idx="256">
                  <c:v>64</c:v>
                </c:pt>
                <c:pt idx="257">
                  <c:v>31</c:v>
                </c:pt>
                <c:pt idx="258">
                  <c:v>33</c:v>
                </c:pt>
                <c:pt idx="259">
                  <c:v>32</c:v>
                </c:pt>
                <c:pt idx="260">
                  <c:v>32</c:v>
                </c:pt>
                <c:pt idx="261">
                  <c:v>33</c:v>
                </c:pt>
                <c:pt idx="262">
                  <c:v>39</c:v>
                </c:pt>
                <c:pt idx="263">
                  <c:v>37</c:v>
                </c:pt>
                <c:pt idx="264">
                  <c:v>31</c:v>
                </c:pt>
                <c:pt idx="265">
                  <c:v>35</c:v>
                </c:pt>
                <c:pt idx="266">
                  <c:v>38</c:v>
                </c:pt>
                <c:pt idx="267">
                  <c:v>32</c:v>
                </c:pt>
                <c:pt idx="268">
                  <c:v>30</c:v>
                </c:pt>
                <c:pt idx="269">
                  <c:v>37</c:v>
                </c:pt>
                <c:pt idx="270">
                  <c:v>38</c:v>
                </c:pt>
                <c:pt idx="271">
                  <c:v>30</c:v>
                </c:pt>
                <c:pt idx="272">
                  <c:v>32</c:v>
                </c:pt>
                <c:pt idx="273">
                  <c:v>30</c:v>
                </c:pt>
                <c:pt idx="274">
                  <c:v>34</c:v>
                </c:pt>
                <c:pt idx="275">
                  <c:v>37</c:v>
                </c:pt>
                <c:pt idx="276">
                  <c:v>34</c:v>
                </c:pt>
                <c:pt idx="277">
                  <c:v>32</c:v>
                </c:pt>
                <c:pt idx="278">
                  <c:v>31</c:v>
                </c:pt>
                <c:pt idx="279">
                  <c:v>30</c:v>
                </c:pt>
                <c:pt idx="280">
                  <c:v>38</c:v>
                </c:pt>
                <c:pt idx="281">
                  <c:v>34</c:v>
                </c:pt>
                <c:pt idx="282">
                  <c:v>33</c:v>
                </c:pt>
                <c:pt idx="283">
                  <c:v>31</c:v>
                </c:pt>
                <c:pt idx="284">
                  <c:v>33</c:v>
                </c:pt>
                <c:pt idx="285">
                  <c:v>32</c:v>
                </c:pt>
                <c:pt idx="286">
                  <c:v>31</c:v>
                </c:pt>
                <c:pt idx="287">
                  <c:v>35</c:v>
                </c:pt>
                <c:pt idx="288">
                  <c:v>38</c:v>
                </c:pt>
                <c:pt idx="289">
                  <c:v>37</c:v>
                </c:pt>
                <c:pt idx="290">
                  <c:v>35</c:v>
                </c:pt>
                <c:pt idx="291">
                  <c:v>34</c:v>
                </c:pt>
                <c:pt idx="292">
                  <c:v>38</c:v>
                </c:pt>
                <c:pt idx="293">
                  <c:v>31</c:v>
                </c:pt>
                <c:pt idx="294">
                  <c:v>37</c:v>
                </c:pt>
                <c:pt idx="295">
                  <c:v>37</c:v>
                </c:pt>
                <c:pt idx="296">
                  <c:v>38</c:v>
                </c:pt>
                <c:pt idx="297">
                  <c:v>37</c:v>
                </c:pt>
                <c:pt idx="298">
                  <c:v>36</c:v>
                </c:pt>
                <c:pt idx="299">
                  <c:v>33</c:v>
                </c:pt>
                <c:pt idx="300">
                  <c:v>31</c:v>
                </c:pt>
                <c:pt idx="301">
                  <c:v>32</c:v>
                </c:pt>
                <c:pt idx="302">
                  <c:v>34</c:v>
                </c:pt>
                <c:pt idx="303">
                  <c:v>40</c:v>
                </c:pt>
                <c:pt idx="304">
                  <c:v>33</c:v>
                </c:pt>
                <c:pt idx="305">
                  <c:v>33</c:v>
                </c:pt>
                <c:pt idx="306">
                  <c:v>32</c:v>
                </c:pt>
                <c:pt idx="307">
                  <c:v>34</c:v>
                </c:pt>
                <c:pt idx="308">
                  <c:v>31</c:v>
                </c:pt>
                <c:pt idx="309">
                  <c:v>34</c:v>
                </c:pt>
                <c:pt idx="310">
                  <c:v>36</c:v>
                </c:pt>
                <c:pt idx="311">
                  <c:v>31</c:v>
                </c:pt>
                <c:pt idx="312">
                  <c:v>40</c:v>
                </c:pt>
                <c:pt idx="313">
                  <c:v>34</c:v>
                </c:pt>
                <c:pt idx="314">
                  <c:v>38</c:v>
                </c:pt>
                <c:pt idx="315">
                  <c:v>32</c:v>
                </c:pt>
                <c:pt idx="316">
                  <c:v>36</c:v>
                </c:pt>
                <c:pt idx="317">
                  <c:v>34</c:v>
                </c:pt>
                <c:pt idx="318">
                  <c:v>30</c:v>
                </c:pt>
                <c:pt idx="319">
                  <c:v>40</c:v>
                </c:pt>
                <c:pt idx="320">
                  <c:v>112</c:v>
                </c:pt>
                <c:pt idx="321">
                  <c:v>37</c:v>
                </c:pt>
                <c:pt idx="322">
                  <c:v>33</c:v>
                </c:pt>
                <c:pt idx="323">
                  <c:v>40</c:v>
                </c:pt>
                <c:pt idx="324">
                  <c:v>38</c:v>
                </c:pt>
                <c:pt idx="325">
                  <c:v>35</c:v>
                </c:pt>
                <c:pt idx="326">
                  <c:v>37</c:v>
                </c:pt>
                <c:pt idx="327">
                  <c:v>34</c:v>
                </c:pt>
                <c:pt idx="328">
                  <c:v>34</c:v>
                </c:pt>
                <c:pt idx="329">
                  <c:v>35</c:v>
                </c:pt>
                <c:pt idx="330">
                  <c:v>35</c:v>
                </c:pt>
                <c:pt idx="331">
                  <c:v>33</c:v>
                </c:pt>
                <c:pt idx="332">
                  <c:v>39</c:v>
                </c:pt>
                <c:pt idx="333">
                  <c:v>40</c:v>
                </c:pt>
                <c:pt idx="334">
                  <c:v>40</c:v>
                </c:pt>
                <c:pt idx="335">
                  <c:v>37</c:v>
                </c:pt>
                <c:pt idx="336">
                  <c:v>36</c:v>
                </c:pt>
                <c:pt idx="337">
                  <c:v>37</c:v>
                </c:pt>
                <c:pt idx="338">
                  <c:v>30</c:v>
                </c:pt>
                <c:pt idx="339">
                  <c:v>34</c:v>
                </c:pt>
                <c:pt idx="340">
                  <c:v>38</c:v>
                </c:pt>
                <c:pt idx="341">
                  <c:v>30</c:v>
                </c:pt>
                <c:pt idx="342">
                  <c:v>36</c:v>
                </c:pt>
                <c:pt idx="343">
                  <c:v>31</c:v>
                </c:pt>
                <c:pt idx="344">
                  <c:v>36</c:v>
                </c:pt>
                <c:pt idx="345">
                  <c:v>36</c:v>
                </c:pt>
                <c:pt idx="346">
                  <c:v>32</c:v>
                </c:pt>
                <c:pt idx="347">
                  <c:v>38</c:v>
                </c:pt>
                <c:pt idx="348">
                  <c:v>30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34</c:v>
                </c:pt>
                <c:pt idx="353">
                  <c:v>34</c:v>
                </c:pt>
                <c:pt idx="354">
                  <c:v>39</c:v>
                </c:pt>
                <c:pt idx="355">
                  <c:v>30</c:v>
                </c:pt>
                <c:pt idx="356">
                  <c:v>34</c:v>
                </c:pt>
                <c:pt idx="357">
                  <c:v>40</c:v>
                </c:pt>
                <c:pt idx="358">
                  <c:v>38</c:v>
                </c:pt>
                <c:pt idx="359">
                  <c:v>39</c:v>
                </c:pt>
                <c:pt idx="360">
                  <c:v>30</c:v>
                </c:pt>
                <c:pt idx="361">
                  <c:v>30</c:v>
                </c:pt>
                <c:pt idx="362">
                  <c:v>38</c:v>
                </c:pt>
                <c:pt idx="363">
                  <c:v>38</c:v>
                </c:pt>
                <c:pt idx="364">
                  <c:v>33</c:v>
                </c:pt>
                <c:pt idx="36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01-4C95-BF9C-AFA95CD88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837807"/>
        <c:axId val="1440838287"/>
      </c:lineChart>
      <c:dateAx>
        <c:axId val="14408378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838287"/>
        <c:crosses val="autoZero"/>
        <c:auto val="1"/>
        <c:lblOffset val="100"/>
        <c:baseTimeUnit val="days"/>
      </c:dateAx>
      <c:valAx>
        <c:axId val="144083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83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'Supporting Data'!$K$2</c:f>
              <c:strCache>
                <c:ptCount val="1"/>
                <c:pt idx="0">
                  <c:v>L2M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'Supporting Data'!$B$3:$B$368</c:f>
              <c:numCache>
                <c:formatCode>m/d/yyyy</c:formatCode>
                <c:ptCount val="3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</c:numCache>
            </c:numRef>
          </c:cat>
          <c:val>
            <c:numRef>
              <c:f>'Supporting Data'!$K$3:$K$368</c:f>
              <c:numCache>
                <c:formatCode>0%</c:formatCode>
                <c:ptCount val="366"/>
                <c:pt idx="0">
                  <c:v>0.2449999870495187</c:v>
                </c:pt>
                <c:pt idx="1">
                  <c:v>0.24750000148168322</c:v>
                </c:pt>
                <c:pt idx="2">
                  <c:v>0.24999997601762725</c:v>
                </c:pt>
                <c:pt idx="3">
                  <c:v>0.2624999654653839</c:v>
                </c:pt>
                <c:pt idx="4">
                  <c:v>0.20579999705946239</c:v>
                </c:pt>
                <c:pt idx="5">
                  <c:v>0.2015999886824669</c:v>
                </c:pt>
                <c:pt idx="6">
                  <c:v>0.23749997094706898</c:v>
                </c:pt>
                <c:pt idx="7">
                  <c:v>0.24499998618615354</c:v>
                </c:pt>
                <c:pt idx="8">
                  <c:v>0.25999996280887561</c:v>
                </c:pt>
                <c:pt idx="9">
                  <c:v>0.25749997932621504</c:v>
                </c:pt>
                <c:pt idx="10">
                  <c:v>0.23999997479578894</c:v>
                </c:pt>
                <c:pt idx="11">
                  <c:v>0.21209999338027297</c:v>
                </c:pt>
                <c:pt idx="12">
                  <c:v>0.21209998788185327</c:v>
                </c:pt>
                <c:pt idx="13">
                  <c:v>0.25499999525297379</c:v>
                </c:pt>
                <c:pt idx="14">
                  <c:v>0.2374999606493316</c:v>
                </c:pt>
                <c:pt idx="15">
                  <c:v>0.26249996439730333</c:v>
                </c:pt>
                <c:pt idx="16">
                  <c:v>0.25249999329424921</c:v>
                </c:pt>
                <c:pt idx="17">
                  <c:v>0.25999997201116104</c:v>
                </c:pt>
                <c:pt idx="18">
                  <c:v>0.20369999828585886</c:v>
                </c:pt>
                <c:pt idx="19">
                  <c:v>0.20789999237863413</c:v>
                </c:pt>
                <c:pt idx="20">
                  <c:v>0.25999997201116104</c:v>
                </c:pt>
                <c:pt idx="21">
                  <c:v>0.25999998722418821</c:v>
                </c:pt>
                <c:pt idx="22">
                  <c:v>0.25249999220936281</c:v>
                </c:pt>
                <c:pt idx="23">
                  <c:v>0.23749995940667931</c:v>
                </c:pt>
                <c:pt idx="24">
                  <c:v>0.24499995710437156</c:v>
                </c:pt>
                <c:pt idx="25">
                  <c:v>0.21209998133416308</c:v>
                </c:pt>
                <c:pt idx="26">
                  <c:v>0.21209999468885796</c:v>
                </c:pt>
                <c:pt idx="27">
                  <c:v>0.2474999639383427</c:v>
                </c:pt>
                <c:pt idx="28">
                  <c:v>0.11749999776474974</c:v>
                </c:pt>
                <c:pt idx="29">
                  <c:v>0.24750000670575076</c:v>
                </c:pt>
                <c:pt idx="30">
                  <c:v>0.25499996498573574</c:v>
                </c:pt>
                <c:pt idx="31">
                  <c:v>0.24499995710437156</c:v>
                </c:pt>
                <c:pt idx="32">
                  <c:v>0.20789998258735065</c:v>
                </c:pt>
                <c:pt idx="33">
                  <c:v>0.21630000167076002</c:v>
                </c:pt>
                <c:pt idx="34">
                  <c:v>0.2374999606493316</c:v>
                </c:pt>
                <c:pt idx="35">
                  <c:v>0.26249996647124618</c:v>
                </c:pt>
                <c:pt idx="36">
                  <c:v>0.26000000096939274</c:v>
                </c:pt>
                <c:pt idx="37">
                  <c:v>0.2474999759611988</c:v>
                </c:pt>
                <c:pt idx="38">
                  <c:v>0.23750000740841615</c:v>
                </c:pt>
                <c:pt idx="39">
                  <c:v>0.20789998989587982</c:v>
                </c:pt>
                <c:pt idx="40">
                  <c:v>0.21629998657119884</c:v>
                </c:pt>
                <c:pt idx="41">
                  <c:v>0.23749998882374873</c:v>
                </c:pt>
                <c:pt idx="42">
                  <c:v>0.25499996557501758</c:v>
                </c:pt>
                <c:pt idx="43">
                  <c:v>0.25249998388384581</c:v>
                </c:pt>
                <c:pt idx="44">
                  <c:v>0.24249997686064484</c:v>
                </c:pt>
                <c:pt idx="45">
                  <c:v>0.25499997279090902</c:v>
                </c:pt>
                <c:pt idx="46">
                  <c:v>0.21419999696423994</c:v>
                </c:pt>
                <c:pt idx="47">
                  <c:v>0.21839998404892885</c:v>
                </c:pt>
                <c:pt idx="48">
                  <c:v>0.25749999769769227</c:v>
                </c:pt>
                <c:pt idx="49">
                  <c:v>0.25749999555495034</c:v>
                </c:pt>
                <c:pt idx="50">
                  <c:v>0.24499998577986409</c:v>
                </c:pt>
                <c:pt idx="51">
                  <c:v>0.23999999808141018</c:v>
                </c:pt>
                <c:pt idx="52">
                  <c:v>0.25749998182982631</c:v>
                </c:pt>
                <c:pt idx="53">
                  <c:v>0.20999998607699977</c:v>
                </c:pt>
                <c:pt idx="54">
                  <c:v>0.201600000792064</c:v>
                </c:pt>
                <c:pt idx="55">
                  <c:v>0.2399999620237902</c:v>
                </c:pt>
                <c:pt idx="56">
                  <c:v>0.24499996870649643</c:v>
                </c:pt>
                <c:pt idx="57">
                  <c:v>0.25499997279090902</c:v>
                </c:pt>
                <c:pt idx="58">
                  <c:v>0.25499997033565081</c:v>
                </c:pt>
                <c:pt idx="59">
                  <c:v>0.25999997317699697</c:v>
                </c:pt>
                <c:pt idx="60">
                  <c:v>0.20999999143199985</c:v>
                </c:pt>
                <c:pt idx="61">
                  <c:v>0.20369999469221134</c:v>
                </c:pt>
                <c:pt idx="62">
                  <c:v>0.2624999654653839</c:v>
                </c:pt>
                <c:pt idx="63">
                  <c:v>0.24250000230230775</c:v>
                </c:pt>
                <c:pt idx="64">
                  <c:v>0.24499995727676396</c:v>
                </c:pt>
                <c:pt idx="65">
                  <c:v>0.23749998848846129</c:v>
                </c:pt>
                <c:pt idx="66">
                  <c:v>0.2624999654653839</c:v>
                </c:pt>
                <c:pt idx="67">
                  <c:v>0.20789999601587994</c:v>
                </c:pt>
                <c:pt idx="68">
                  <c:v>0.21839999672985225</c:v>
                </c:pt>
                <c:pt idx="69">
                  <c:v>0.23999998496452074</c:v>
                </c:pt>
                <c:pt idx="70">
                  <c:v>0.25249999220936281</c:v>
                </c:pt>
                <c:pt idx="71">
                  <c:v>0.2624999654653839</c:v>
                </c:pt>
                <c:pt idx="72">
                  <c:v>0.23749997094706898</c:v>
                </c:pt>
                <c:pt idx="73">
                  <c:v>0.23749996918628585</c:v>
                </c:pt>
                <c:pt idx="74">
                  <c:v>0.21839998970108357</c:v>
                </c:pt>
                <c:pt idx="75">
                  <c:v>0.20369999828585886</c:v>
                </c:pt>
                <c:pt idx="76">
                  <c:v>0.23999998211799797</c:v>
                </c:pt>
                <c:pt idx="77">
                  <c:v>0.26249996979645729</c:v>
                </c:pt>
                <c:pt idx="78">
                  <c:v>0.25499998989803735</c:v>
                </c:pt>
                <c:pt idx="79">
                  <c:v>0.25</c:v>
                </c:pt>
                <c:pt idx="80">
                  <c:v>0.26249996439730333</c:v>
                </c:pt>
                <c:pt idx="81">
                  <c:v>0.21629998866133376</c:v>
                </c:pt>
                <c:pt idx="82">
                  <c:v>0.20789997972590626</c:v>
                </c:pt>
                <c:pt idx="83">
                  <c:v>0.24750000670575076</c:v>
                </c:pt>
                <c:pt idx="84">
                  <c:v>0.2449999870495187</c:v>
                </c:pt>
                <c:pt idx="85">
                  <c:v>0.24999997601762725</c:v>
                </c:pt>
                <c:pt idx="86">
                  <c:v>0.24499995744219102</c:v>
                </c:pt>
                <c:pt idx="87">
                  <c:v>0.25249996634245347</c:v>
                </c:pt>
                <c:pt idx="88">
                  <c:v>0.22050000278460005</c:v>
                </c:pt>
                <c:pt idx="89">
                  <c:v>0.20159999951225532</c:v>
                </c:pt>
                <c:pt idx="90">
                  <c:v>0.25749996914432954</c:v>
                </c:pt>
                <c:pt idx="91">
                  <c:v>0.24999996710988942</c:v>
                </c:pt>
                <c:pt idx="92">
                  <c:v>0.24750000670575076</c:v>
                </c:pt>
                <c:pt idx="93">
                  <c:v>0.26249996219249577</c:v>
                </c:pt>
                <c:pt idx="94">
                  <c:v>0.26249995904548801</c:v>
                </c:pt>
                <c:pt idx="95">
                  <c:v>0.2141999822642397</c:v>
                </c:pt>
                <c:pt idx="96">
                  <c:v>0.20159998477751973</c:v>
                </c:pt>
                <c:pt idx="97">
                  <c:v>0.25749999988372185</c:v>
                </c:pt>
                <c:pt idx="98">
                  <c:v>0.25749999769769227</c:v>
                </c:pt>
                <c:pt idx="99">
                  <c:v>0.24999996511655004</c:v>
                </c:pt>
                <c:pt idx="100">
                  <c:v>0.24749997249348119</c:v>
                </c:pt>
                <c:pt idx="101">
                  <c:v>0.24499995710437156</c:v>
                </c:pt>
                <c:pt idx="102">
                  <c:v>0.21209999220311987</c:v>
                </c:pt>
                <c:pt idx="103">
                  <c:v>0.20999999143199985</c:v>
                </c:pt>
                <c:pt idx="104">
                  <c:v>0.25999999050594758</c:v>
                </c:pt>
                <c:pt idx="105">
                  <c:v>0.25999996280887561</c:v>
                </c:pt>
                <c:pt idx="106">
                  <c:v>0.24249998164992312</c:v>
                </c:pt>
                <c:pt idx="107">
                  <c:v>0.23749997094706898</c:v>
                </c:pt>
                <c:pt idx="108">
                  <c:v>0.24999996614253353</c:v>
                </c:pt>
                <c:pt idx="109">
                  <c:v>0.21629998866133376</c:v>
                </c:pt>
                <c:pt idx="110">
                  <c:v>0.21629999910035999</c:v>
                </c:pt>
                <c:pt idx="111">
                  <c:v>0.2574999834521628</c:v>
                </c:pt>
                <c:pt idx="112">
                  <c:v>0.23749995940667931</c:v>
                </c:pt>
                <c:pt idx="113">
                  <c:v>0.2624999654653839</c:v>
                </c:pt>
                <c:pt idx="114">
                  <c:v>0.24999996710988942</c:v>
                </c:pt>
                <c:pt idx="115">
                  <c:v>0.25999997201116104</c:v>
                </c:pt>
                <c:pt idx="116">
                  <c:v>0.21209998133416308</c:v>
                </c:pt>
                <c:pt idx="117">
                  <c:v>0.19949999181381664</c:v>
                </c:pt>
                <c:pt idx="118">
                  <c:v>0.25250000327170047</c:v>
                </c:pt>
                <c:pt idx="119">
                  <c:v>0.25249997389135576</c:v>
                </c:pt>
                <c:pt idx="120">
                  <c:v>0.24249996941219715</c:v>
                </c:pt>
                <c:pt idx="121">
                  <c:v>0.25999999154254289</c:v>
                </c:pt>
                <c:pt idx="122">
                  <c:v>0.25249999448405425</c:v>
                </c:pt>
                <c:pt idx="123">
                  <c:v>0.21629998125035968</c:v>
                </c:pt>
                <c:pt idx="124">
                  <c:v>0.2015999970903771</c:v>
                </c:pt>
                <c:pt idx="125">
                  <c:v>0.23749998848846129</c:v>
                </c:pt>
                <c:pt idx="126">
                  <c:v>0.26249996219249577</c:v>
                </c:pt>
                <c:pt idx="127">
                  <c:v>0.25249996634245347</c:v>
                </c:pt>
                <c:pt idx="128">
                  <c:v>0.24249998338540821</c:v>
                </c:pt>
                <c:pt idx="129">
                  <c:v>0.247499978638382</c:v>
                </c:pt>
                <c:pt idx="130">
                  <c:v>0.22049998531259976</c:v>
                </c:pt>
                <c:pt idx="131">
                  <c:v>0.20999999460666943</c:v>
                </c:pt>
                <c:pt idx="132">
                  <c:v>0.2600000019185898</c:v>
                </c:pt>
                <c:pt idx="133">
                  <c:v>0.24999996710988942</c:v>
                </c:pt>
                <c:pt idx="134">
                  <c:v>0.24999998860243672</c:v>
                </c:pt>
                <c:pt idx="135">
                  <c:v>0.25749996914432954</c:v>
                </c:pt>
                <c:pt idx="136">
                  <c:v>0.25749998558028309</c:v>
                </c:pt>
                <c:pt idx="137">
                  <c:v>0.20789999944307999</c:v>
                </c:pt>
                <c:pt idx="138">
                  <c:v>0.19949998979510394</c:v>
                </c:pt>
                <c:pt idx="139">
                  <c:v>0.24499996870649643</c:v>
                </c:pt>
                <c:pt idx="140">
                  <c:v>0.24249997541224722</c:v>
                </c:pt>
                <c:pt idx="141">
                  <c:v>0.25749999555495034</c:v>
                </c:pt>
                <c:pt idx="142">
                  <c:v>0.25249997389135576</c:v>
                </c:pt>
                <c:pt idx="143">
                  <c:v>0.23749998882374873</c:v>
                </c:pt>
                <c:pt idx="144">
                  <c:v>0.21000000042432002</c:v>
                </c:pt>
                <c:pt idx="145">
                  <c:v>0.2078999982984768</c:v>
                </c:pt>
                <c:pt idx="146">
                  <c:v>0.2399999620237902</c:v>
                </c:pt>
                <c:pt idx="147">
                  <c:v>0.24249998915258872</c:v>
                </c:pt>
                <c:pt idx="148">
                  <c:v>0.25499997019117343</c:v>
                </c:pt>
                <c:pt idx="149">
                  <c:v>0.25249999220936281</c:v>
                </c:pt>
                <c:pt idx="150">
                  <c:v>0.23999998211799797</c:v>
                </c:pt>
                <c:pt idx="151">
                  <c:v>0.2183999945164799</c:v>
                </c:pt>
                <c:pt idx="152">
                  <c:v>0.2099999958661608</c:v>
                </c:pt>
                <c:pt idx="153">
                  <c:v>0.24999996511655004</c:v>
                </c:pt>
                <c:pt idx="154">
                  <c:v>0.2574999798827477</c:v>
                </c:pt>
                <c:pt idx="155">
                  <c:v>0.24750000670575076</c:v>
                </c:pt>
                <c:pt idx="156">
                  <c:v>0.25999997317699697</c:v>
                </c:pt>
                <c:pt idx="157">
                  <c:v>0.25999999050594758</c:v>
                </c:pt>
                <c:pt idx="158">
                  <c:v>0.20159999951225532</c:v>
                </c:pt>
                <c:pt idx="159">
                  <c:v>0.21839999108927985</c:v>
                </c:pt>
                <c:pt idx="160">
                  <c:v>0.24249998164992312</c:v>
                </c:pt>
                <c:pt idx="161">
                  <c:v>0.2574999798827477</c:v>
                </c:pt>
                <c:pt idx="162">
                  <c:v>0.26249996979645729</c:v>
                </c:pt>
                <c:pt idx="163">
                  <c:v>0.25249998388384581</c:v>
                </c:pt>
                <c:pt idx="164">
                  <c:v>0.25999997317699697</c:v>
                </c:pt>
                <c:pt idx="165">
                  <c:v>0.19949999609593452</c:v>
                </c:pt>
                <c:pt idx="166">
                  <c:v>0.20159999842751997</c:v>
                </c:pt>
                <c:pt idx="167">
                  <c:v>0.26249995904548801</c:v>
                </c:pt>
                <c:pt idx="168">
                  <c:v>0.26249996439730333</c:v>
                </c:pt>
                <c:pt idx="169">
                  <c:v>0.23749997009257129</c:v>
                </c:pt>
                <c:pt idx="170">
                  <c:v>0.24749993876841234</c:v>
                </c:pt>
                <c:pt idx="171">
                  <c:v>0.24249998338540821</c:v>
                </c:pt>
                <c:pt idx="172">
                  <c:v>0.20789999944307999</c:v>
                </c:pt>
                <c:pt idx="173">
                  <c:v>0.20369997899550371</c:v>
                </c:pt>
                <c:pt idx="174">
                  <c:v>0.2374999606493316</c:v>
                </c:pt>
                <c:pt idx="175">
                  <c:v>0.24999997786242595</c:v>
                </c:pt>
                <c:pt idx="176">
                  <c:v>0.2574999798827477</c:v>
                </c:pt>
                <c:pt idx="177">
                  <c:v>0.2574999798827477</c:v>
                </c:pt>
                <c:pt idx="178">
                  <c:v>0.25249996558284826</c:v>
                </c:pt>
                <c:pt idx="179">
                  <c:v>0.2141999822642397</c:v>
                </c:pt>
                <c:pt idx="180">
                  <c:v>0.19949999948854286</c:v>
                </c:pt>
                <c:pt idx="181">
                  <c:v>0.24249997686064484</c:v>
                </c:pt>
                <c:pt idx="182">
                  <c:v>0.23999999452916962</c:v>
                </c:pt>
                <c:pt idx="183">
                  <c:v>0.26249996219249577</c:v>
                </c:pt>
                <c:pt idx="184">
                  <c:v>0.2574999798827477</c:v>
                </c:pt>
                <c:pt idx="185">
                  <c:v>0.23749995940667931</c:v>
                </c:pt>
                <c:pt idx="186">
                  <c:v>0.20789999944307999</c:v>
                </c:pt>
                <c:pt idx="187">
                  <c:v>0.2099999958661608</c:v>
                </c:pt>
                <c:pt idx="188">
                  <c:v>0.2474999639383427</c:v>
                </c:pt>
                <c:pt idx="189">
                  <c:v>0.24749996787732534</c:v>
                </c:pt>
                <c:pt idx="190">
                  <c:v>0.25499996557501758</c:v>
                </c:pt>
                <c:pt idx="191">
                  <c:v>0.24749998453500385</c:v>
                </c:pt>
                <c:pt idx="192">
                  <c:v>0.24750000551594573</c:v>
                </c:pt>
                <c:pt idx="193">
                  <c:v>0.22050000278460005</c:v>
                </c:pt>
                <c:pt idx="194">
                  <c:v>0.21419999832923997</c:v>
                </c:pt>
                <c:pt idx="195">
                  <c:v>0.25999998046526801</c:v>
                </c:pt>
                <c:pt idx="196">
                  <c:v>9.9999985459109E-2</c:v>
                </c:pt>
                <c:pt idx="197">
                  <c:v>0.24499995744219102</c:v>
                </c:pt>
                <c:pt idx="198">
                  <c:v>0.25999997201116104</c:v>
                </c:pt>
                <c:pt idx="199">
                  <c:v>0.25999996280887561</c:v>
                </c:pt>
                <c:pt idx="200">
                  <c:v>0.20999999707476361</c:v>
                </c:pt>
                <c:pt idx="201">
                  <c:v>0.2141999921538765</c:v>
                </c:pt>
                <c:pt idx="202">
                  <c:v>0.24749998453500385</c:v>
                </c:pt>
                <c:pt idx="203">
                  <c:v>0.2374999606493316</c:v>
                </c:pt>
                <c:pt idx="204">
                  <c:v>0.25500000843419685</c:v>
                </c:pt>
                <c:pt idx="205">
                  <c:v>0.2624999678888657</c:v>
                </c:pt>
                <c:pt idx="206">
                  <c:v>0.25249997389135576</c:v>
                </c:pt>
                <c:pt idx="207">
                  <c:v>0.21419998997543982</c:v>
                </c:pt>
                <c:pt idx="208">
                  <c:v>0.2015999886824669</c:v>
                </c:pt>
                <c:pt idx="209">
                  <c:v>0.25749999988372185</c:v>
                </c:pt>
                <c:pt idx="210">
                  <c:v>0.24999997601762725</c:v>
                </c:pt>
                <c:pt idx="211">
                  <c:v>0.25</c:v>
                </c:pt>
                <c:pt idx="212">
                  <c:v>0.25749998182982631</c:v>
                </c:pt>
                <c:pt idx="213">
                  <c:v>0.25499996557501758</c:v>
                </c:pt>
                <c:pt idx="214">
                  <c:v>0.19949999391247838</c:v>
                </c:pt>
                <c:pt idx="215">
                  <c:v>0.20579999229404558</c:v>
                </c:pt>
                <c:pt idx="216">
                  <c:v>0.25</c:v>
                </c:pt>
                <c:pt idx="217">
                  <c:v>0.23999999291597632</c:v>
                </c:pt>
                <c:pt idx="218">
                  <c:v>0.23749999667936389</c:v>
                </c:pt>
                <c:pt idx="219">
                  <c:v>0.25249999448405425</c:v>
                </c:pt>
                <c:pt idx="220">
                  <c:v>0.24749998162581355</c:v>
                </c:pt>
                <c:pt idx="221">
                  <c:v>0.2015999883475198</c:v>
                </c:pt>
                <c:pt idx="222">
                  <c:v>0.22049999823831426</c:v>
                </c:pt>
                <c:pt idx="223">
                  <c:v>0.24999998788259084</c:v>
                </c:pt>
                <c:pt idx="224">
                  <c:v>0.25499996498573574</c:v>
                </c:pt>
                <c:pt idx="225">
                  <c:v>0.24249998915258872</c:v>
                </c:pt>
                <c:pt idx="226">
                  <c:v>0.25999998267570379</c:v>
                </c:pt>
                <c:pt idx="227">
                  <c:v>0.2574999672273538</c:v>
                </c:pt>
                <c:pt idx="228">
                  <c:v>0.21629999910035999</c:v>
                </c:pt>
                <c:pt idx="229">
                  <c:v>0.20999999823550097</c:v>
                </c:pt>
                <c:pt idx="230">
                  <c:v>0.23749998813243445</c:v>
                </c:pt>
                <c:pt idx="231">
                  <c:v>0.26249996979645729</c:v>
                </c:pt>
                <c:pt idx="232">
                  <c:v>0.25</c:v>
                </c:pt>
                <c:pt idx="233">
                  <c:v>0.24999998860243672</c:v>
                </c:pt>
                <c:pt idx="234">
                  <c:v>0.2600000019185898</c:v>
                </c:pt>
                <c:pt idx="235">
                  <c:v>0.21629998125035968</c:v>
                </c:pt>
                <c:pt idx="236">
                  <c:v>0.20999999707476361</c:v>
                </c:pt>
                <c:pt idx="237">
                  <c:v>0.24249997541224722</c:v>
                </c:pt>
                <c:pt idx="238">
                  <c:v>0.23999999808141018</c:v>
                </c:pt>
                <c:pt idx="239">
                  <c:v>0.25500000843419685</c:v>
                </c:pt>
                <c:pt idx="240">
                  <c:v>0.24499998660902628</c:v>
                </c:pt>
                <c:pt idx="241">
                  <c:v>0.24249998164992312</c:v>
                </c:pt>
                <c:pt idx="242">
                  <c:v>0.20369998681919232</c:v>
                </c:pt>
                <c:pt idx="243">
                  <c:v>0.21629999092748003</c:v>
                </c:pt>
                <c:pt idx="244">
                  <c:v>0.24249996941219715</c:v>
                </c:pt>
                <c:pt idx="245">
                  <c:v>0.25249997409903835</c:v>
                </c:pt>
                <c:pt idx="246">
                  <c:v>0.25</c:v>
                </c:pt>
                <c:pt idx="247">
                  <c:v>0.25499997019117343</c:v>
                </c:pt>
                <c:pt idx="248">
                  <c:v>0.25249999448405425</c:v>
                </c:pt>
                <c:pt idx="249">
                  <c:v>0.19949999293139989</c:v>
                </c:pt>
                <c:pt idx="250">
                  <c:v>0.21419999832923997</c:v>
                </c:pt>
                <c:pt idx="251">
                  <c:v>0.24749997006999935</c:v>
                </c:pt>
                <c:pt idx="252">
                  <c:v>0.24499996870649643</c:v>
                </c:pt>
                <c:pt idx="253">
                  <c:v>0.2399999620237902</c:v>
                </c:pt>
                <c:pt idx="254">
                  <c:v>0.24750000551594573</c:v>
                </c:pt>
                <c:pt idx="255">
                  <c:v>0.26249996327270986</c:v>
                </c:pt>
                <c:pt idx="256">
                  <c:v>0.20999999707476361</c:v>
                </c:pt>
                <c:pt idx="257">
                  <c:v>0.20580000066181561</c:v>
                </c:pt>
                <c:pt idx="258">
                  <c:v>0.24749997249348119</c:v>
                </c:pt>
                <c:pt idx="259">
                  <c:v>0.23749998882374873</c:v>
                </c:pt>
                <c:pt idx="260">
                  <c:v>0.26249996104681417</c:v>
                </c:pt>
                <c:pt idx="261">
                  <c:v>0.2374999606493316</c:v>
                </c:pt>
                <c:pt idx="262">
                  <c:v>0.23999998496452074</c:v>
                </c:pt>
                <c:pt idx="263">
                  <c:v>0.2015999970903771</c:v>
                </c:pt>
                <c:pt idx="264">
                  <c:v>0.20579998337975972</c:v>
                </c:pt>
                <c:pt idx="265">
                  <c:v>0.25249999448405425</c:v>
                </c:pt>
                <c:pt idx="266">
                  <c:v>0.25999998267570379</c:v>
                </c:pt>
                <c:pt idx="267">
                  <c:v>0.26249996887185933</c:v>
                </c:pt>
                <c:pt idx="268">
                  <c:v>0.24249997541224722</c:v>
                </c:pt>
                <c:pt idx="269">
                  <c:v>0.24249996858309167</c:v>
                </c:pt>
                <c:pt idx="270">
                  <c:v>0.20999998749771406</c:v>
                </c:pt>
                <c:pt idx="271">
                  <c:v>0.20789999583306593</c:v>
                </c:pt>
                <c:pt idx="272">
                  <c:v>0.24749997006999935</c:v>
                </c:pt>
                <c:pt idx="273">
                  <c:v>0.24249998164992312</c:v>
                </c:pt>
                <c:pt idx="274">
                  <c:v>0.24499995744219102</c:v>
                </c:pt>
                <c:pt idx="275">
                  <c:v>0.2574999672273538</c:v>
                </c:pt>
                <c:pt idx="276">
                  <c:v>0.247499978638382</c:v>
                </c:pt>
                <c:pt idx="277">
                  <c:v>0.20789998919250774</c:v>
                </c:pt>
                <c:pt idx="278">
                  <c:v>0.2099999958661608</c:v>
                </c:pt>
                <c:pt idx="279">
                  <c:v>0.26249996104681417</c:v>
                </c:pt>
                <c:pt idx="280">
                  <c:v>0.24750000670575076</c:v>
                </c:pt>
                <c:pt idx="281">
                  <c:v>0.2624999678888657</c:v>
                </c:pt>
                <c:pt idx="282">
                  <c:v>0.2474999639383427</c:v>
                </c:pt>
                <c:pt idx="283">
                  <c:v>0.2474999639383427</c:v>
                </c:pt>
                <c:pt idx="284">
                  <c:v>0.19949999391247838</c:v>
                </c:pt>
                <c:pt idx="285">
                  <c:v>0.21839998008408137</c:v>
                </c:pt>
                <c:pt idx="286">
                  <c:v>0.2449999870495187</c:v>
                </c:pt>
                <c:pt idx="287">
                  <c:v>0.23750000740841615</c:v>
                </c:pt>
                <c:pt idx="288">
                  <c:v>0.26000000096939274</c:v>
                </c:pt>
                <c:pt idx="289">
                  <c:v>0.25499999164849158</c:v>
                </c:pt>
                <c:pt idx="290">
                  <c:v>0.25499996498573574</c:v>
                </c:pt>
                <c:pt idx="291">
                  <c:v>0.2036999905031622</c:v>
                </c:pt>
                <c:pt idx="292">
                  <c:v>0.21209999220311987</c:v>
                </c:pt>
                <c:pt idx="293">
                  <c:v>0.24999996710988942</c:v>
                </c:pt>
                <c:pt idx="294">
                  <c:v>0.25</c:v>
                </c:pt>
                <c:pt idx="295">
                  <c:v>0.24499998618615354</c:v>
                </c:pt>
                <c:pt idx="296">
                  <c:v>0.25249997389135576</c:v>
                </c:pt>
                <c:pt idx="297">
                  <c:v>0.24749998453500385</c:v>
                </c:pt>
                <c:pt idx="298">
                  <c:v>0.2120999850995483</c:v>
                </c:pt>
                <c:pt idx="299">
                  <c:v>0.21629998125035968</c:v>
                </c:pt>
                <c:pt idx="300">
                  <c:v>0.25749996914432954</c:v>
                </c:pt>
                <c:pt idx="301">
                  <c:v>0.23749997009257129</c:v>
                </c:pt>
                <c:pt idx="302">
                  <c:v>0.26249996104681417</c:v>
                </c:pt>
                <c:pt idx="303">
                  <c:v>0.24249999018489857</c:v>
                </c:pt>
                <c:pt idx="304">
                  <c:v>0.2399999620237902</c:v>
                </c:pt>
                <c:pt idx="305">
                  <c:v>0.2141999921538765</c:v>
                </c:pt>
                <c:pt idx="306">
                  <c:v>0.2120999935681199</c:v>
                </c:pt>
                <c:pt idx="307">
                  <c:v>0.23999998496452074</c:v>
                </c:pt>
                <c:pt idx="308">
                  <c:v>0.2600000019185898</c:v>
                </c:pt>
                <c:pt idx="309">
                  <c:v>0.23749996918628585</c:v>
                </c:pt>
                <c:pt idx="310">
                  <c:v>0.25249999448405425</c:v>
                </c:pt>
                <c:pt idx="311">
                  <c:v>0.24249998338540821</c:v>
                </c:pt>
                <c:pt idx="312">
                  <c:v>0.2120999935681199</c:v>
                </c:pt>
                <c:pt idx="313">
                  <c:v>0.21419998346000629</c:v>
                </c:pt>
                <c:pt idx="314">
                  <c:v>0.25499997279090902</c:v>
                </c:pt>
                <c:pt idx="315">
                  <c:v>0.23749995940667931</c:v>
                </c:pt>
                <c:pt idx="316">
                  <c:v>0.26249996104681417</c:v>
                </c:pt>
                <c:pt idx="317">
                  <c:v>0.24750000551594573</c:v>
                </c:pt>
                <c:pt idx="318">
                  <c:v>0.23999997237230711</c:v>
                </c:pt>
                <c:pt idx="319">
                  <c:v>0.19949998979510394</c:v>
                </c:pt>
                <c:pt idx="320">
                  <c:v>0.2120999850995483</c:v>
                </c:pt>
                <c:pt idx="321">
                  <c:v>0.26249996327270986</c:v>
                </c:pt>
                <c:pt idx="322">
                  <c:v>0.25249996558284826</c:v>
                </c:pt>
                <c:pt idx="323">
                  <c:v>0.25249999329424921</c:v>
                </c:pt>
                <c:pt idx="324">
                  <c:v>0.2374999606493316</c:v>
                </c:pt>
                <c:pt idx="325">
                  <c:v>0.24249996941219715</c:v>
                </c:pt>
                <c:pt idx="326">
                  <c:v>0.20789998677587979</c:v>
                </c:pt>
                <c:pt idx="327">
                  <c:v>0.20999999935116115</c:v>
                </c:pt>
                <c:pt idx="328">
                  <c:v>0.2525000014671569</c:v>
                </c:pt>
                <c:pt idx="329">
                  <c:v>0.25749996914432954</c:v>
                </c:pt>
                <c:pt idx="330">
                  <c:v>0.26249996327270986</c:v>
                </c:pt>
                <c:pt idx="331">
                  <c:v>0.23999997017963307</c:v>
                </c:pt>
                <c:pt idx="332">
                  <c:v>0.25499996776769163</c:v>
                </c:pt>
                <c:pt idx="333">
                  <c:v>0.21629998558584951</c:v>
                </c:pt>
                <c:pt idx="334">
                  <c:v>0.2183999945164799</c:v>
                </c:pt>
                <c:pt idx="335">
                  <c:v>0.26249996104681417</c:v>
                </c:pt>
                <c:pt idx="336">
                  <c:v>0.2600000019185898</c:v>
                </c:pt>
                <c:pt idx="337">
                  <c:v>0.2574999798827477</c:v>
                </c:pt>
                <c:pt idx="338">
                  <c:v>0.25749996657226321</c:v>
                </c:pt>
                <c:pt idx="339">
                  <c:v>0.24249998338540821</c:v>
                </c:pt>
                <c:pt idx="340">
                  <c:v>0.20789998989587982</c:v>
                </c:pt>
                <c:pt idx="341">
                  <c:v>0.20999998749771406</c:v>
                </c:pt>
                <c:pt idx="342">
                  <c:v>0.24499998538920112</c:v>
                </c:pt>
                <c:pt idx="343">
                  <c:v>0.24249997686064484</c:v>
                </c:pt>
                <c:pt idx="344">
                  <c:v>0.24249998915258872</c:v>
                </c:pt>
                <c:pt idx="345">
                  <c:v>0.25749999555495034</c:v>
                </c:pt>
                <c:pt idx="346">
                  <c:v>0.25999996404014575</c:v>
                </c:pt>
                <c:pt idx="347">
                  <c:v>0.20159999842751997</c:v>
                </c:pt>
                <c:pt idx="348">
                  <c:v>0.20159998477751973</c:v>
                </c:pt>
                <c:pt idx="349">
                  <c:v>0.25499998989803735</c:v>
                </c:pt>
                <c:pt idx="350">
                  <c:v>0.24249998338540821</c:v>
                </c:pt>
                <c:pt idx="351">
                  <c:v>0.24249997541224722</c:v>
                </c:pt>
                <c:pt idx="352">
                  <c:v>0.247499978638382</c:v>
                </c:pt>
                <c:pt idx="353">
                  <c:v>0.23749997009257129</c:v>
                </c:pt>
                <c:pt idx="354">
                  <c:v>0.20159998034450877</c:v>
                </c:pt>
                <c:pt idx="355">
                  <c:v>0.21209999220311987</c:v>
                </c:pt>
                <c:pt idx="356">
                  <c:v>0.23749996918628585</c:v>
                </c:pt>
                <c:pt idx="357">
                  <c:v>0.24999998825353181</c:v>
                </c:pt>
                <c:pt idx="358">
                  <c:v>0.25499997019117343</c:v>
                </c:pt>
                <c:pt idx="359">
                  <c:v>0.25250000327170047</c:v>
                </c:pt>
                <c:pt idx="360">
                  <c:v>0.25249999329424921</c:v>
                </c:pt>
                <c:pt idx="361">
                  <c:v>0.20999999823550097</c:v>
                </c:pt>
                <c:pt idx="362">
                  <c:v>0.2015999886824669</c:v>
                </c:pt>
                <c:pt idx="363">
                  <c:v>0.23999996027390599</c:v>
                </c:pt>
                <c:pt idx="364">
                  <c:v>0.24249998164992312</c:v>
                </c:pt>
                <c:pt idx="365">
                  <c:v>0.24749997006999935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80-48D2-BC6E-B2BE8BA51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952991"/>
        <c:axId val="1418946271"/>
      </c:lineChart>
      <c:dateAx>
        <c:axId val="14189529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46271"/>
        <c:crosses val="autoZero"/>
        <c:auto val="1"/>
        <c:lblOffset val="100"/>
        <c:baseTimeUnit val="days"/>
      </c:dateAx>
      <c:valAx>
        <c:axId val="141894627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5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'Supporting Data'!$L$2</c:f>
              <c:strCache>
                <c:ptCount val="1"/>
                <c:pt idx="0">
                  <c:v>M2C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'Supporting Data'!$B$3:$B$368</c:f>
              <c:numCache>
                <c:formatCode>m/d/yyyy</c:formatCode>
                <c:ptCount val="3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</c:numCache>
            </c:numRef>
          </c:cat>
          <c:val>
            <c:numRef>
              <c:f>'Supporting Data'!$L$3:$L$368</c:f>
              <c:numCache>
                <c:formatCode>0%</c:formatCode>
                <c:ptCount val="366"/>
                <c:pt idx="0">
                  <c:v>0.41199995771271192</c:v>
                </c:pt>
                <c:pt idx="1">
                  <c:v>0.39999985263756649</c:v>
                </c:pt>
                <c:pt idx="2">
                  <c:v>0.38400003376718411</c:v>
                </c:pt>
                <c:pt idx="3">
                  <c:v>0.40399989404997649</c:v>
                </c:pt>
                <c:pt idx="4">
                  <c:v>0.3331999072512119</c:v>
                </c:pt>
                <c:pt idx="5">
                  <c:v>0.34339995990102845</c:v>
                </c:pt>
                <c:pt idx="6">
                  <c:v>0.3839999586392383</c:v>
                </c:pt>
                <c:pt idx="7">
                  <c:v>0.39199995940420407</c:v>
                </c:pt>
                <c:pt idx="8">
                  <c:v>0.40400005585481019</c:v>
                </c:pt>
                <c:pt idx="9">
                  <c:v>0.3879997153476864</c:v>
                </c:pt>
                <c:pt idx="10">
                  <c:v>0.40399991679378167</c:v>
                </c:pt>
                <c:pt idx="11">
                  <c:v>0.33999995577696557</c:v>
                </c:pt>
                <c:pt idx="12">
                  <c:v>0.33659992725417975</c:v>
                </c:pt>
                <c:pt idx="13">
                  <c:v>0.38799996425768424</c:v>
                </c:pt>
                <c:pt idx="14">
                  <c:v>0.40400003165364579</c:v>
                </c:pt>
                <c:pt idx="15">
                  <c:v>0.41199997757594925</c:v>
                </c:pt>
                <c:pt idx="16">
                  <c:v>0.38399989235388587</c:v>
                </c:pt>
                <c:pt idx="17">
                  <c:v>0.4159999638853652</c:v>
                </c:pt>
                <c:pt idx="18">
                  <c:v>0.33319998986973398</c:v>
                </c:pt>
                <c:pt idx="19">
                  <c:v>0.35360001506615307</c:v>
                </c:pt>
                <c:pt idx="20">
                  <c:v>0.4159999638853652</c:v>
                </c:pt>
                <c:pt idx="21">
                  <c:v>0.38399997379320527</c:v>
                </c:pt>
                <c:pt idx="22">
                  <c:v>0.41599991305616424</c:v>
                </c:pt>
                <c:pt idx="23">
                  <c:v>0.37999997551007414</c:v>
                </c:pt>
                <c:pt idx="24">
                  <c:v>0.4</c:v>
                </c:pt>
                <c:pt idx="25">
                  <c:v>0.35699999529866999</c:v>
                </c:pt>
                <c:pt idx="26">
                  <c:v>0.35359997637351559</c:v>
                </c:pt>
                <c:pt idx="27">
                  <c:v>0.38799990128219247</c:v>
                </c:pt>
                <c:pt idx="28">
                  <c:v>0.41599967431927592</c:v>
                </c:pt>
                <c:pt idx="29">
                  <c:v>0.41599983960386488</c:v>
                </c:pt>
                <c:pt idx="30">
                  <c:v>0.4039999593710335</c:v>
                </c:pt>
                <c:pt idx="31">
                  <c:v>0.4119998971256511</c:v>
                </c:pt>
                <c:pt idx="32">
                  <c:v>0.32980002101053607</c:v>
                </c:pt>
                <c:pt idx="33">
                  <c:v>0.33659997942253961</c:v>
                </c:pt>
                <c:pt idx="34">
                  <c:v>0.3959999683463542</c:v>
                </c:pt>
                <c:pt idx="35">
                  <c:v>0.40399994890855911</c:v>
                </c:pt>
                <c:pt idx="36">
                  <c:v>0.39999996271566424</c:v>
                </c:pt>
                <c:pt idx="37">
                  <c:v>0.40000003647942872</c:v>
                </c:pt>
                <c:pt idx="38">
                  <c:v>0.40399988712813473</c:v>
                </c:pt>
                <c:pt idx="39">
                  <c:v>0.35700000666963555</c:v>
                </c:pt>
                <c:pt idx="40">
                  <c:v>0.33659999228072718</c:v>
                </c:pt>
                <c:pt idx="41">
                  <c:v>0.39999988706103445</c:v>
                </c:pt>
                <c:pt idx="42">
                  <c:v>0.38800000068789781</c:v>
                </c:pt>
                <c:pt idx="43">
                  <c:v>0.41199986578228864</c:v>
                </c:pt>
                <c:pt idx="44">
                  <c:v>0.37999996164018879</c:v>
                </c:pt>
                <c:pt idx="45">
                  <c:v>0.40400000583670859</c:v>
                </c:pt>
                <c:pt idx="46">
                  <c:v>0.33999997145097949</c:v>
                </c:pt>
                <c:pt idx="47">
                  <c:v>0.32640002585346739</c:v>
                </c:pt>
                <c:pt idx="48">
                  <c:v>0.4199999463539939</c:v>
                </c:pt>
                <c:pt idx="49">
                  <c:v>0.16799999716720751</c:v>
                </c:pt>
                <c:pt idx="50">
                  <c:v>0.38799995504096707</c:v>
                </c:pt>
                <c:pt idx="51">
                  <c:v>0.38399996002937842</c:v>
                </c:pt>
                <c:pt idx="52">
                  <c:v>0.40400002875145574</c:v>
                </c:pt>
                <c:pt idx="53">
                  <c:v>0.32299992497049373</c:v>
                </c:pt>
                <c:pt idx="54">
                  <c:v>0.35360000071434344</c:v>
                </c:pt>
                <c:pt idx="55">
                  <c:v>0.40399988448901025</c:v>
                </c:pt>
                <c:pt idx="56">
                  <c:v>0.41199991971345001</c:v>
                </c:pt>
                <c:pt idx="57">
                  <c:v>0.38399997665316565</c:v>
                </c:pt>
                <c:pt idx="58">
                  <c:v>0.39599992221463276</c:v>
                </c:pt>
                <c:pt idx="59">
                  <c:v>0.41999995529499029</c:v>
                </c:pt>
                <c:pt idx="60">
                  <c:v>0.33999998571999918</c:v>
                </c:pt>
                <c:pt idx="61">
                  <c:v>0.3264000055349971</c:v>
                </c:pt>
                <c:pt idx="62">
                  <c:v>0.4159999621105876</c:v>
                </c:pt>
                <c:pt idx="63">
                  <c:v>0.37999982910705588</c:v>
                </c:pt>
                <c:pt idx="64">
                  <c:v>0.38799990312189686</c:v>
                </c:pt>
                <c:pt idx="65">
                  <c:v>0.3959998588564112</c:v>
                </c:pt>
                <c:pt idx="66">
                  <c:v>0.41999992632614258</c:v>
                </c:pt>
                <c:pt idx="67">
                  <c:v>0.33660001224000047</c:v>
                </c:pt>
                <c:pt idx="68">
                  <c:v>0.34680000740737882</c:v>
                </c:pt>
                <c:pt idx="69">
                  <c:v>0.41199995771271192</c:v>
                </c:pt>
                <c:pt idx="70">
                  <c:v>0.39599988358367755</c:v>
                </c:pt>
                <c:pt idx="71">
                  <c:v>0.37999993334270044</c:v>
                </c:pt>
                <c:pt idx="72">
                  <c:v>0.39599993426593233</c:v>
                </c:pt>
                <c:pt idx="73">
                  <c:v>0.41599995613252599</c:v>
                </c:pt>
                <c:pt idx="74">
                  <c:v>0.35359998282105171</c:v>
                </c:pt>
                <c:pt idx="75">
                  <c:v>0.33319998986973398</c:v>
                </c:pt>
                <c:pt idx="76">
                  <c:v>0.4160000342738398</c:v>
                </c:pt>
                <c:pt idx="77">
                  <c:v>0.42000003820897847</c:v>
                </c:pt>
                <c:pt idx="78">
                  <c:v>0.39599989902643423</c:v>
                </c:pt>
                <c:pt idx="79">
                  <c:v>0.39199994106092184</c:v>
                </c:pt>
                <c:pt idx="80">
                  <c:v>0.38399993345120426</c:v>
                </c:pt>
                <c:pt idx="81">
                  <c:v>0.33999999583877588</c:v>
                </c:pt>
                <c:pt idx="82">
                  <c:v>0.35019993838256785</c:v>
                </c:pt>
                <c:pt idx="83">
                  <c:v>0.40799990173930462</c:v>
                </c:pt>
                <c:pt idx="84">
                  <c:v>0.39999996084510364</c:v>
                </c:pt>
                <c:pt idx="85">
                  <c:v>0.39999992325639977</c:v>
                </c:pt>
                <c:pt idx="86">
                  <c:v>0.39200006074942001</c:v>
                </c:pt>
                <c:pt idx="87">
                  <c:v>0.38800001875713486</c:v>
                </c:pt>
                <c:pt idx="88">
                  <c:v>0.34339995494125691</c:v>
                </c:pt>
                <c:pt idx="89">
                  <c:v>0.32639990415578873</c:v>
                </c:pt>
                <c:pt idx="90">
                  <c:v>0.41999997050391119</c:v>
                </c:pt>
                <c:pt idx="91">
                  <c:v>0.39599996561886652</c:v>
                </c:pt>
                <c:pt idx="92">
                  <c:v>0.41599983960386488</c:v>
                </c:pt>
                <c:pt idx="93">
                  <c:v>0.19999993121021695</c:v>
                </c:pt>
                <c:pt idx="94">
                  <c:v>0.40800002293874699</c:v>
                </c:pt>
                <c:pt idx="95">
                  <c:v>0.34340003434000343</c:v>
                </c:pt>
                <c:pt idx="96">
                  <c:v>0.3433999610027047</c:v>
                </c:pt>
                <c:pt idx="97">
                  <c:v>0.39199984538390581</c:v>
                </c:pt>
                <c:pt idx="98">
                  <c:v>0.39599997496519718</c:v>
                </c:pt>
                <c:pt idx="99">
                  <c:v>0.38400004762754369</c:v>
                </c:pt>
                <c:pt idx="100">
                  <c:v>0.38799997414952425</c:v>
                </c:pt>
                <c:pt idx="101">
                  <c:v>0.38000003956705725</c:v>
                </c:pt>
                <c:pt idx="102">
                  <c:v>0.3399999846831675</c:v>
                </c:pt>
                <c:pt idx="103">
                  <c:v>0.35359995250879722</c:v>
                </c:pt>
                <c:pt idx="104">
                  <c:v>0.41199989848666624</c:v>
                </c:pt>
                <c:pt idx="105">
                  <c:v>0.3839999468698147</c:v>
                </c:pt>
                <c:pt idx="106">
                  <c:v>0.41199999473597038</c:v>
                </c:pt>
                <c:pt idx="107">
                  <c:v>0.67199992761866711</c:v>
                </c:pt>
                <c:pt idx="108">
                  <c:v>0.41199991838092309</c:v>
                </c:pt>
                <c:pt idx="109">
                  <c:v>0.34339992401604735</c:v>
                </c:pt>
                <c:pt idx="110">
                  <c:v>0.35019997447029072</c:v>
                </c:pt>
                <c:pt idx="111">
                  <c:v>0.41199986737514172</c:v>
                </c:pt>
                <c:pt idx="112">
                  <c:v>0.38399999673467655</c:v>
                </c:pt>
                <c:pt idx="113">
                  <c:v>0.40800003367947768</c:v>
                </c:pt>
                <c:pt idx="114">
                  <c:v>0.38399989755825542</c:v>
                </c:pt>
                <c:pt idx="115">
                  <c:v>0.37999992360365714</c:v>
                </c:pt>
                <c:pt idx="116">
                  <c:v>0.32980000042011887</c:v>
                </c:pt>
                <c:pt idx="117">
                  <c:v>0.3535999444936509</c:v>
                </c:pt>
                <c:pt idx="118">
                  <c:v>0.39599999769649252</c:v>
                </c:pt>
                <c:pt idx="119">
                  <c:v>0.40399998571191958</c:v>
                </c:pt>
                <c:pt idx="120">
                  <c:v>0.41199997757594925</c:v>
                </c:pt>
                <c:pt idx="121">
                  <c:v>0.39199989590821704</c:v>
                </c:pt>
                <c:pt idx="122">
                  <c:v>0.40799991185884193</c:v>
                </c:pt>
                <c:pt idx="123">
                  <c:v>0.32639997614058003</c:v>
                </c:pt>
                <c:pt idx="124">
                  <c:v>0.35360001118530648</c:v>
                </c:pt>
                <c:pt idx="125">
                  <c:v>0.37999983714201296</c:v>
                </c:pt>
                <c:pt idx="126">
                  <c:v>0.4079999422165822</c:v>
                </c:pt>
                <c:pt idx="127">
                  <c:v>0.37999992705558661</c:v>
                </c:pt>
                <c:pt idx="128">
                  <c:v>0.40399995223610397</c:v>
                </c:pt>
                <c:pt idx="129">
                  <c:v>0.41599987724860416</c:v>
                </c:pt>
                <c:pt idx="130">
                  <c:v>0.33659999011504677</c:v>
                </c:pt>
                <c:pt idx="131">
                  <c:v>0.35359993657532435</c:v>
                </c:pt>
                <c:pt idx="132">
                  <c:v>0.37999995572485062</c:v>
                </c:pt>
                <c:pt idx="133">
                  <c:v>0.39999992983442151</c:v>
                </c:pt>
                <c:pt idx="134">
                  <c:v>0.41999986140562418</c:v>
                </c:pt>
                <c:pt idx="135">
                  <c:v>0.41599993215899572</c:v>
                </c:pt>
                <c:pt idx="136">
                  <c:v>0.39199985543812416</c:v>
                </c:pt>
                <c:pt idx="137">
                  <c:v>0.35699992467248337</c:v>
                </c:pt>
                <c:pt idx="138">
                  <c:v>0.32639993704324449</c:v>
                </c:pt>
                <c:pt idx="139">
                  <c:v>0.39199999270122271</c:v>
                </c:pt>
                <c:pt idx="140">
                  <c:v>0.39599992478497353</c:v>
                </c:pt>
                <c:pt idx="141">
                  <c:v>0.41999990439325391</c:v>
                </c:pt>
                <c:pt idx="142">
                  <c:v>0.42000000376002117</c:v>
                </c:pt>
                <c:pt idx="143">
                  <c:v>0.39199985543812416</c:v>
                </c:pt>
                <c:pt idx="144">
                  <c:v>0.35360000161645716</c:v>
                </c:pt>
                <c:pt idx="145">
                  <c:v>0.34339999722426545</c:v>
                </c:pt>
                <c:pt idx="146">
                  <c:v>0.383999868665587</c:v>
                </c:pt>
                <c:pt idx="147">
                  <c:v>0.38799984590421999</c:v>
                </c:pt>
                <c:pt idx="148">
                  <c:v>0.40799996198459426</c:v>
                </c:pt>
                <c:pt idx="149">
                  <c:v>0.39199991452978861</c:v>
                </c:pt>
                <c:pt idx="150">
                  <c:v>0.41199986737514172</c:v>
                </c:pt>
                <c:pt idx="151">
                  <c:v>0.35019994943153632</c:v>
                </c:pt>
                <c:pt idx="152">
                  <c:v>0.33319991312375863</c:v>
                </c:pt>
                <c:pt idx="153">
                  <c:v>0.39999992558196301</c:v>
                </c:pt>
                <c:pt idx="154">
                  <c:v>0.3959999173608385</c:v>
                </c:pt>
                <c:pt idx="155">
                  <c:v>0.39199984538390581</c:v>
                </c:pt>
                <c:pt idx="156">
                  <c:v>0.39999996561153101</c:v>
                </c:pt>
                <c:pt idx="157">
                  <c:v>0.41599999853937647</c:v>
                </c:pt>
                <c:pt idx="158">
                  <c:v>0.32299999360263154</c:v>
                </c:pt>
                <c:pt idx="159">
                  <c:v>0.33999998571999918</c:v>
                </c:pt>
                <c:pt idx="160">
                  <c:v>0.41599990524746672</c:v>
                </c:pt>
                <c:pt idx="161">
                  <c:v>0.40799995694430241</c:v>
                </c:pt>
                <c:pt idx="162">
                  <c:v>0.42000003820897847</c:v>
                </c:pt>
                <c:pt idx="163">
                  <c:v>0.38399997228112481</c:v>
                </c:pt>
                <c:pt idx="164">
                  <c:v>0.39200000412661629</c:v>
                </c:pt>
                <c:pt idx="165">
                  <c:v>0.3536000090232857</c:v>
                </c:pt>
                <c:pt idx="166">
                  <c:v>0.34679992533666482</c:v>
                </c:pt>
                <c:pt idx="167">
                  <c:v>0.37999990891968116</c:v>
                </c:pt>
                <c:pt idx="168">
                  <c:v>0.37999995298182909</c:v>
                </c:pt>
                <c:pt idx="169">
                  <c:v>0.40799996198459426</c:v>
                </c:pt>
                <c:pt idx="170">
                  <c:v>0.41200006808459433</c:v>
                </c:pt>
                <c:pt idx="171">
                  <c:v>0.41200001331124969</c:v>
                </c:pt>
                <c:pt idx="172">
                  <c:v>0.32299999817842423</c:v>
                </c:pt>
                <c:pt idx="173">
                  <c:v>0.35360000090194504</c:v>
                </c:pt>
                <c:pt idx="174">
                  <c:v>0.40400003165364579</c:v>
                </c:pt>
                <c:pt idx="175">
                  <c:v>0.39599997024709788</c:v>
                </c:pt>
                <c:pt idx="176">
                  <c:v>0.3879998909718626</c:v>
                </c:pt>
                <c:pt idx="177">
                  <c:v>0.3879998909718626</c:v>
                </c:pt>
                <c:pt idx="178">
                  <c:v>0.38400005210315308</c:v>
                </c:pt>
                <c:pt idx="179">
                  <c:v>0.35020003502000352</c:v>
                </c:pt>
                <c:pt idx="180">
                  <c:v>0.35699999829086998</c:v>
                </c:pt>
                <c:pt idx="181">
                  <c:v>0.4200000383598112</c:v>
                </c:pt>
                <c:pt idx="182">
                  <c:v>0.39999996200812155</c:v>
                </c:pt>
                <c:pt idx="183">
                  <c:v>0.39599990850958855</c:v>
                </c:pt>
                <c:pt idx="184">
                  <c:v>0.41199997013879036</c:v>
                </c:pt>
                <c:pt idx="185">
                  <c:v>0.41599996244878035</c:v>
                </c:pt>
                <c:pt idx="186">
                  <c:v>0.34339993264455626</c:v>
                </c:pt>
                <c:pt idx="187">
                  <c:v>0.34339999750657313</c:v>
                </c:pt>
                <c:pt idx="188">
                  <c:v>0.38399993165690244</c:v>
                </c:pt>
                <c:pt idx="189">
                  <c:v>0.39599999503879751</c:v>
                </c:pt>
                <c:pt idx="190">
                  <c:v>0.41199989612742755</c:v>
                </c:pt>
                <c:pt idx="191">
                  <c:v>0.40399989401068276</c:v>
                </c:pt>
                <c:pt idx="192">
                  <c:v>0.4119999069774653</c:v>
                </c:pt>
                <c:pt idx="193">
                  <c:v>0.35019998605805708</c:v>
                </c:pt>
                <c:pt idx="194">
                  <c:v>0.35019996708833251</c:v>
                </c:pt>
                <c:pt idx="195">
                  <c:v>0.39999996422209988</c:v>
                </c:pt>
                <c:pt idx="196">
                  <c:v>0.39599989724435536</c:v>
                </c:pt>
                <c:pt idx="197">
                  <c:v>0.39200006074942001</c:v>
                </c:pt>
                <c:pt idx="198">
                  <c:v>0.38399996666341402</c:v>
                </c:pt>
                <c:pt idx="199">
                  <c:v>0.41599998501456315</c:v>
                </c:pt>
                <c:pt idx="200">
                  <c:v>0.35699992467248337</c:v>
                </c:pt>
                <c:pt idx="201">
                  <c:v>0.3229999293894707</c:v>
                </c:pt>
                <c:pt idx="202">
                  <c:v>0.39999992483027147</c:v>
                </c:pt>
                <c:pt idx="203">
                  <c:v>0.3959999683463542</c:v>
                </c:pt>
                <c:pt idx="204">
                  <c:v>0.39200000143028241</c:v>
                </c:pt>
                <c:pt idx="205">
                  <c:v>0.39199994239036767</c:v>
                </c:pt>
                <c:pt idx="206">
                  <c:v>0.387999967663818</c:v>
                </c:pt>
                <c:pt idx="207">
                  <c:v>0.32979993310719574</c:v>
                </c:pt>
                <c:pt idx="208">
                  <c:v>0.35019992527009847</c:v>
                </c:pt>
                <c:pt idx="209">
                  <c:v>0.39999996387474435</c:v>
                </c:pt>
                <c:pt idx="210">
                  <c:v>0.39199997851179197</c:v>
                </c:pt>
                <c:pt idx="211">
                  <c:v>0.39599997496519718</c:v>
                </c:pt>
                <c:pt idx="212">
                  <c:v>0.40799998737740967</c:v>
                </c:pt>
                <c:pt idx="213">
                  <c:v>0.38800000068789781</c:v>
                </c:pt>
                <c:pt idx="214">
                  <c:v>0.35019999867330898</c:v>
                </c:pt>
                <c:pt idx="215">
                  <c:v>0.3229999213567637</c:v>
                </c:pt>
                <c:pt idx="216">
                  <c:v>0.39599997496519718</c:v>
                </c:pt>
                <c:pt idx="217">
                  <c:v>0.39199999704832339</c:v>
                </c:pt>
                <c:pt idx="218">
                  <c:v>0.39599991275465435</c:v>
                </c:pt>
                <c:pt idx="219">
                  <c:v>0.41199988678420213</c:v>
                </c:pt>
                <c:pt idx="220">
                  <c:v>0.37999993917756986</c:v>
                </c:pt>
                <c:pt idx="221">
                  <c:v>0.353600026520002</c:v>
                </c:pt>
                <c:pt idx="222">
                  <c:v>0.32639992099153153</c:v>
                </c:pt>
                <c:pt idx="223">
                  <c:v>0.39999996122428877</c:v>
                </c:pt>
                <c:pt idx="224">
                  <c:v>0.41599998796178772</c:v>
                </c:pt>
                <c:pt idx="225">
                  <c:v>0.39199994595693022</c:v>
                </c:pt>
                <c:pt idx="226">
                  <c:v>0.39199992705559011</c:v>
                </c:pt>
                <c:pt idx="227">
                  <c:v>0.41600001459755453</c:v>
                </c:pt>
                <c:pt idx="228">
                  <c:v>0.33660000718951472</c:v>
                </c:pt>
                <c:pt idx="229">
                  <c:v>0.32979999403431276</c:v>
                </c:pt>
                <c:pt idx="230">
                  <c:v>0.40799982890717257</c:v>
                </c:pt>
                <c:pt idx="231">
                  <c:v>0.39999989579369516</c:v>
                </c:pt>
                <c:pt idx="232">
                  <c:v>0.40399984621478252</c:v>
                </c:pt>
                <c:pt idx="233">
                  <c:v>0.39999996352779582</c:v>
                </c:pt>
                <c:pt idx="234">
                  <c:v>0.3959998878362882</c:v>
                </c:pt>
                <c:pt idx="235">
                  <c:v>0.35019996210815141</c:v>
                </c:pt>
                <c:pt idx="236">
                  <c:v>0.35699992467248337</c:v>
                </c:pt>
                <c:pt idx="237">
                  <c:v>0.399999963129889</c:v>
                </c:pt>
                <c:pt idx="238">
                  <c:v>0.39199988008813524</c:v>
                </c:pt>
                <c:pt idx="239">
                  <c:v>0.41199999785457642</c:v>
                </c:pt>
                <c:pt idx="240">
                  <c:v>0.39199989720641165</c:v>
                </c:pt>
                <c:pt idx="241">
                  <c:v>0.39999988719936513</c:v>
                </c:pt>
                <c:pt idx="242">
                  <c:v>0.35359995287739177</c:v>
                </c:pt>
                <c:pt idx="243">
                  <c:v>0.3535999444936509</c:v>
                </c:pt>
                <c:pt idx="244">
                  <c:v>0.41199997757594925</c:v>
                </c:pt>
                <c:pt idx="245">
                  <c:v>0.37999987024311704</c:v>
                </c:pt>
                <c:pt idx="246">
                  <c:v>0.40399984621478252</c:v>
                </c:pt>
                <c:pt idx="247">
                  <c:v>0.40799996198459426</c:v>
                </c:pt>
                <c:pt idx="248">
                  <c:v>0.3959999870827613</c:v>
                </c:pt>
                <c:pt idx="249">
                  <c:v>0.3366000177157904</c:v>
                </c:pt>
                <c:pt idx="250">
                  <c:v>0.34339999191833315</c:v>
                </c:pt>
                <c:pt idx="251">
                  <c:v>0.41999995907007964</c:v>
                </c:pt>
                <c:pt idx="252">
                  <c:v>0.38799989781711819</c:v>
                </c:pt>
                <c:pt idx="253">
                  <c:v>0.39199999367063071</c:v>
                </c:pt>
                <c:pt idx="254">
                  <c:v>0.39199986821807581</c:v>
                </c:pt>
                <c:pt idx="255">
                  <c:v>0.387999948545242</c:v>
                </c:pt>
                <c:pt idx="256">
                  <c:v>0.14959991230719827</c:v>
                </c:pt>
                <c:pt idx="257">
                  <c:v>0.35359993105955989</c:v>
                </c:pt>
                <c:pt idx="258">
                  <c:v>0.38400000470008649</c:v>
                </c:pt>
                <c:pt idx="259">
                  <c:v>0.41200002861120461</c:v>
                </c:pt>
                <c:pt idx="260">
                  <c:v>0.37999993975682667</c:v>
                </c:pt>
                <c:pt idx="261">
                  <c:v>0.4080000633072916</c:v>
                </c:pt>
                <c:pt idx="262">
                  <c:v>0.39999996084510364</c:v>
                </c:pt>
                <c:pt idx="263">
                  <c:v>0.34339995882183544</c:v>
                </c:pt>
                <c:pt idx="264">
                  <c:v>0.35699998599183536</c:v>
                </c:pt>
                <c:pt idx="265">
                  <c:v>0.41599986170956232</c:v>
                </c:pt>
                <c:pt idx="266">
                  <c:v>0.39199992705559011</c:v>
                </c:pt>
                <c:pt idx="267">
                  <c:v>0.40799994988172983</c:v>
                </c:pt>
                <c:pt idx="268">
                  <c:v>0.40800003981971988</c:v>
                </c:pt>
                <c:pt idx="269">
                  <c:v>0.38800003006450418</c:v>
                </c:pt>
                <c:pt idx="270">
                  <c:v>0.33999995670203748</c:v>
                </c:pt>
                <c:pt idx="271">
                  <c:v>0.33659991315087495</c:v>
                </c:pt>
                <c:pt idx="272">
                  <c:v>0.39999992558196301</c:v>
                </c:pt>
                <c:pt idx="273">
                  <c:v>0.3919998781753144</c:v>
                </c:pt>
                <c:pt idx="274">
                  <c:v>0.39600003037471004</c:v>
                </c:pt>
                <c:pt idx="275">
                  <c:v>0.38799989781711819</c:v>
                </c:pt>
                <c:pt idx="276">
                  <c:v>0.39600003068784895</c:v>
                </c:pt>
                <c:pt idx="277">
                  <c:v>0.33659996363090111</c:v>
                </c:pt>
                <c:pt idx="278">
                  <c:v>0.34339999750657313</c:v>
                </c:pt>
                <c:pt idx="279">
                  <c:v>0.39599999503879751</c:v>
                </c:pt>
                <c:pt idx="280">
                  <c:v>0.41599983960386488</c:v>
                </c:pt>
                <c:pt idx="281">
                  <c:v>0.39999992614149699</c:v>
                </c:pt>
                <c:pt idx="282">
                  <c:v>0.38399993165690244</c:v>
                </c:pt>
                <c:pt idx="283">
                  <c:v>0.38799990128219247</c:v>
                </c:pt>
                <c:pt idx="284">
                  <c:v>0.3297999128806221</c:v>
                </c:pt>
                <c:pt idx="285">
                  <c:v>0.32640003163051851</c:v>
                </c:pt>
                <c:pt idx="286">
                  <c:v>0.38799996397749531</c:v>
                </c:pt>
                <c:pt idx="287">
                  <c:v>0.38399987561059745</c:v>
                </c:pt>
                <c:pt idx="288">
                  <c:v>0.41999983967735627</c:v>
                </c:pt>
                <c:pt idx="289">
                  <c:v>0.37999992918699588</c:v>
                </c:pt>
                <c:pt idx="290">
                  <c:v>0.41199991573251393</c:v>
                </c:pt>
                <c:pt idx="291">
                  <c:v>0.33999995540626327</c:v>
                </c:pt>
                <c:pt idx="292">
                  <c:v>0.34680000188178228</c:v>
                </c:pt>
                <c:pt idx="293">
                  <c:v>0.4159999621105876</c:v>
                </c:pt>
                <c:pt idx="294">
                  <c:v>0.38800000368369236</c:v>
                </c:pt>
                <c:pt idx="295">
                  <c:v>0.39199995940420407</c:v>
                </c:pt>
                <c:pt idx="296">
                  <c:v>0.42000000376002117</c:v>
                </c:pt>
                <c:pt idx="297">
                  <c:v>0.39599995564986018</c:v>
                </c:pt>
                <c:pt idx="298">
                  <c:v>0.34340000255072156</c:v>
                </c:pt>
                <c:pt idx="299">
                  <c:v>0.33659998545261982</c:v>
                </c:pt>
                <c:pt idx="300">
                  <c:v>0.3880000324456977</c:v>
                </c:pt>
                <c:pt idx="301">
                  <c:v>0.38399988595378276</c:v>
                </c:pt>
                <c:pt idx="302">
                  <c:v>0.41200005032076831</c:v>
                </c:pt>
                <c:pt idx="303">
                  <c:v>0.38399986248613871</c:v>
                </c:pt>
                <c:pt idx="304">
                  <c:v>0.41599997310018044</c:v>
                </c:pt>
                <c:pt idx="305">
                  <c:v>0.32639996321684056</c:v>
                </c:pt>
                <c:pt idx="306">
                  <c:v>0.33659992886811541</c:v>
                </c:pt>
                <c:pt idx="307">
                  <c:v>0.38000003132391708</c:v>
                </c:pt>
                <c:pt idx="308">
                  <c:v>0.39999996310404218</c:v>
                </c:pt>
                <c:pt idx="309">
                  <c:v>0.39599991304839971</c:v>
                </c:pt>
                <c:pt idx="310">
                  <c:v>0.37999989742192813</c:v>
                </c:pt>
                <c:pt idx="311">
                  <c:v>0.40799998277367683</c:v>
                </c:pt>
                <c:pt idx="312">
                  <c:v>0.34679996103603777</c:v>
                </c:pt>
                <c:pt idx="313">
                  <c:v>0.32299995849904412</c:v>
                </c:pt>
                <c:pt idx="314">
                  <c:v>0.38000000729588573</c:v>
                </c:pt>
                <c:pt idx="315">
                  <c:v>0.41199994122417793</c:v>
                </c:pt>
                <c:pt idx="316">
                  <c:v>0.40799990361092264</c:v>
                </c:pt>
                <c:pt idx="317">
                  <c:v>0.4119999069774653</c:v>
                </c:pt>
                <c:pt idx="318">
                  <c:v>0.40799986800100763</c:v>
                </c:pt>
                <c:pt idx="319">
                  <c:v>0.32299995320781683</c:v>
                </c:pt>
                <c:pt idx="320">
                  <c:v>0.13599997342105244</c:v>
                </c:pt>
                <c:pt idx="321">
                  <c:v>0.38400000935541057</c:v>
                </c:pt>
                <c:pt idx="322">
                  <c:v>0.4</c:v>
                </c:pt>
                <c:pt idx="323">
                  <c:v>0.40399993838676362</c:v>
                </c:pt>
                <c:pt idx="324">
                  <c:v>0.41599992877929692</c:v>
                </c:pt>
                <c:pt idx="325">
                  <c:v>0.41599995804532441</c:v>
                </c:pt>
                <c:pt idx="326">
                  <c:v>0.34339993886060111</c:v>
                </c:pt>
                <c:pt idx="327">
                  <c:v>0.33999999794019414</c:v>
                </c:pt>
                <c:pt idx="328">
                  <c:v>0.39999992848587979</c:v>
                </c:pt>
                <c:pt idx="329">
                  <c:v>0.40400000147480442</c:v>
                </c:pt>
                <c:pt idx="330">
                  <c:v>0.40799997861620446</c:v>
                </c:pt>
                <c:pt idx="331">
                  <c:v>0.38799993202709632</c:v>
                </c:pt>
                <c:pt idx="332">
                  <c:v>0.39199999422165827</c:v>
                </c:pt>
                <c:pt idx="333">
                  <c:v>0.32639999372249606</c:v>
                </c:pt>
                <c:pt idx="334">
                  <c:v>0.34339998183615306</c:v>
                </c:pt>
                <c:pt idx="335">
                  <c:v>0.39200002551475577</c:v>
                </c:pt>
                <c:pt idx="336">
                  <c:v>0.41599989521547975</c:v>
                </c:pt>
                <c:pt idx="337">
                  <c:v>0.3959999173608385</c:v>
                </c:pt>
                <c:pt idx="338">
                  <c:v>0.41599988858136044</c:v>
                </c:pt>
                <c:pt idx="339">
                  <c:v>0.41599984809515039</c:v>
                </c:pt>
                <c:pt idx="340">
                  <c:v>0.34339996372155607</c:v>
                </c:pt>
                <c:pt idx="341">
                  <c:v>0.33320001169044988</c:v>
                </c:pt>
                <c:pt idx="342">
                  <c:v>0.40799985109092163</c:v>
                </c:pt>
                <c:pt idx="343">
                  <c:v>0.40399996931215104</c:v>
                </c:pt>
                <c:pt idx="344">
                  <c:v>0.40399988095918415</c:v>
                </c:pt>
                <c:pt idx="345">
                  <c:v>0.39999985836037616</c:v>
                </c:pt>
                <c:pt idx="346">
                  <c:v>0.38400002158940894</c:v>
                </c:pt>
                <c:pt idx="347">
                  <c:v>0.35019996708833251</c:v>
                </c:pt>
                <c:pt idx="348">
                  <c:v>0.3229999325489521</c:v>
                </c:pt>
                <c:pt idx="349">
                  <c:v>0.40799990713380085</c:v>
                </c:pt>
                <c:pt idx="350">
                  <c:v>0.39599989116095824</c:v>
                </c:pt>
                <c:pt idx="351">
                  <c:v>0.3880000324456977</c:v>
                </c:pt>
                <c:pt idx="352">
                  <c:v>0.39600003068784895</c:v>
                </c:pt>
                <c:pt idx="353">
                  <c:v>0.39200003801540573</c:v>
                </c:pt>
                <c:pt idx="354">
                  <c:v>0.32639997614058003</c:v>
                </c:pt>
                <c:pt idx="355">
                  <c:v>0.35699991827375799</c:v>
                </c:pt>
                <c:pt idx="356">
                  <c:v>0.38000003525064874</c:v>
                </c:pt>
                <c:pt idx="357">
                  <c:v>0.39599996090775208</c:v>
                </c:pt>
                <c:pt idx="358">
                  <c:v>0.41199994297689141</c:v>
                </c:pt>
                <c:pt idx="359">
                  <c:v>0.41199996851873144</c:v>
                </c:pt>
                <c:pt idx="360">
                  <c:v>0.41600000141639626</c:v>
                </c:pt>
                <c:pt idx="361">
                  <c:v>0.34339997538103728</c:v>
                </c:pt>
                <c:pt idx="362">
                  <c:v>0.35700000455670133</c:v>
                </c:pt>
                <c:pt idx="363">
                  <c:v>0.38399997441879885</c:v>
                </c:pt>
                <c:pt idx="364">
                  <c:v>0.39599997668786879</c:v>
                </c:pt>
                <c:pt idx="365">
                  <c:v>0.37999989209384638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7-4804-8EFB-43AFAC57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899055"/>
        <c:axId val="1413894735"/>
      </c:lineChart>
      <c:dateAx>
        <c:axId val="14138990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94735"/>
        <c:crosses val="autoZero"/>
        <c:auto val="1"/>
        <c:lblOffset val="100"/>
        <c:baseTimeUnit val="days"/>
      </c:dateAx>
      <c:valAx>
        <c:axId val="141389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9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'Supporting Data'!$M$2</c:f>
              <c:strCache>
                <c:ptCount val="1"/>
                <c:pt idx="0">
                  <c:v>C2P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'Supporting Data'!$B$3:$B$368</c:f>
              <c:numCache>
                <c:formatCode>m/d/yyyy</c:formatCode>
                <c:ptCount val="3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</c:numCache>
            </c:numRef>
          </c:cat>
          <c:val>
            <c:numRef>
              <c:f>'Supporting Data'!$M$3:$M$368</c:f>
              <c:numCache>
                <c:formatCode>0%</c:formatCode>
                <c:ptCount val="366"/>
                <c:pt idx="0">
                  <c:v>0.71539994544924068</c:v>
                </c:pt>
                <c:pt idx="1">
                  <c:v>0.72270017812440712</c:v>
                </c:pt>
                <c:pt idx="2">
                  <c:v>0.70079991206463255</c:v>
                </c:pt>
                <c:pt idx="3">
                  <c:v>0.69350008662151352</c:v>
                </c:pt>
                <c:pt idx="4">
                  <c:v>0.714000028724882</c:v>
                </c:pt>
                <c:pt idx="5">
                  <c:v>0.67999984076755349</c:v>
                </c:pt>
                <c:pt idx="6">
                  <c:v>0.69350016252719204</c:v>
                </c:pt>
                <c:pt idx="7">
                  <c:v>0.75919976334458916</c:v>
                </c:pt>
                <c:pt idx="8">
                  <c:v>0.74459975122627076</c:v>
                </c:pt>
                <c:pt idx="9">
                  <c:v>0.71540014917357275</c:v>
                </c:pt>
                <c:pt idx="10">
                  <c:v>0.71539976215078083</c:v>
                </c:pt>
                <c:pt idx="11">
                  <c:v>0.69360001560813178</c:v>
                </c:pt>
                <c:pt idx="12">
                  <c:v>0.66640007682634494</c:v>
                </c:pt>
                <c:pt idx="13">
                  <c:v>0.69349963440121443</c:v>
                </c:pt>
                <c:pt idx="14">
                  <c:v>0.72270007928101565</c:v>
                </c:pt>
                <c:pt idx="15">
                  <c:v>0.72999971908484862</c:v>
                </c:pt>
                <c:pt idx="16">
                  <c:v>0.70810011047156052</c:v>
                </c:pt>
                <c:pt idx="17">
                  <c:v>0.69350013314267633</c:v>
                </c:pt>
                <c:pt idx="18">
                  <c:v>0.7071998009988063</c:v>
                </c:pt>
                <c:pt idx="19">
                  <c:v>0.70719987756351388</c:v>
                </c:pt>
                <c:pt idx="20">
                  <c:v>0.75919999198639687</c:v>
                </c:pt>
                <c:pt idx="21">
                  <c:v>0.70809988995192863</c:v>
                </c:pt>
                <c:pt idx="22">
                  <c:v>0.7299999070128681</c:v>
                </c:pt>
                <c:pt idx="23">
                  <c:v>0.71539965305936126</c:v>
                </c:pt>
                <c:pt idx="24">
                  <c:v>0.75189971333667016</c:v>
                </c:pt>
                <c:pt idx="25">
                  <c:v>0.66640001793224413</c:v>
                </c:pt>
                <c:pt idx="26">
                  <c:v>0.69360000917557196</c:v>
                </c:pt>
                <c:pt idx="27">
                  <c:v>0.75190001003031115</c:v>
                </c:pt>
                <c:pt idx="28">
                  <c:v>0.72269978937048018</c:v>
                </c:pt>
                <c:pt idx="29">
                  <c:v>0.70080027024480518</c:v>
                </c:pt>
                <c:pt idx="30">
                  <c:v>0.70809986092920896</c:v>
                </c:pt>
                <c:pt idx="31">
                  <c:v>0.75190008355181648</c:v>
                </c:pt>
                <c:pt idx="32">
                  <c:v>0.6935999689169291</c:v>
                </c:pt>
                <c:pt idx="33">
                  <c:v>0.71399997980582386</c:v>
                </c:pt>
                <c:pt idx="34">
                  <c:v>0.73730019758551002</c:v>
                </c:pt>
                <c:pt idx="35">
                  <c:v>0.7081000599860805</c:v>
                </c:pt>
                <c:pt idx="36">
                  <c:v>0.69349989490476882</c:v>
                </c:pt>
                <c:pt idx="37">
                  <c:v>0.73729980205351808</c:v>
                </c:pt>
                <c:pt idx="38">
                  <c:v>0.70810019499994303</c:v>
                </c:pt>
                <c:pt idx="39">
                  <c:v>0.70039992698530151</c:v>
                </c:pt>
                <c:pt idx="40">
                  <c:v>0.65279978088813384</c:v>
                </c:pt>
                <c:pt idx="41">
                  <c:v>0.74460022183101404</c:v>
                </c:pt>
                <c:pt idx="42">
                  <c:v>0.75919985781080945</c:v>
                </c:pt>
                <c:pt idx="43">
                  <c:v>0.74460020874146948</c:v>
                </c:pt>
                <c:pt idx="44">
                  <c:v>0.70809997779168599</c:v>
                </c:pt>
                <c:pt idx="45">
                  <c:v>0.73729980897962799</c:v>
                </c:pt>
                <c:pt idx="46">
                  <c:v>0.68679982546710794</c:v>
                </c:pt>
                <c:pt idx="47">
                  <c:v>0.64600000000000002</c:v>
                </c:pt>
                <c:pt idx="48">
                  <c:v>0.76649976795970587</c:v>
                </c:pt>
                <c:pt idx="49">
                  <c:v>0.76649906680142099</c:v>
                </c:pt>
                <c:pt idx="50">
                  <c:v>0.7299997768004487</c:v>
                </c:pt>
                <c:pt idx="51">
                  <c:v>0.75190003596315413</c:v>
                </c:pt>
                <c:pt idx="52">
                  <c:v>0.75919963201471941</c:v>
                </c:pt>
                <c:pt idx="53">
                  <c:v>0.65279999562105129</c:v>
                </c:pt>
                <c:pt idx="54">
                  <c:v>0.64600000000000002</c:v>
                </c:pt>
                <c:pt idx="55">
                  <c:v>0.73730025492756324</c:v>
                </c:pt>
                <c:pt idx="56">
                  <c:v>0.74459987811748196</c:v>
                </c:pt>
                <c:pt idx="57">
                  <c:v>0.76649981760284536</c:v>
                </c:pt>
                <c:pt idx="58">
                  <c:v>0.72270016227210765</c:v>
                </c:pt>
                <c:pt idx="59">
                  <c:v>0.76649981434318626</c:v>
                </c:pt>
                <c:pt idx="60">
                  <c:v>0.33319983331998332</c:v>
                </c:pt>
                <c:pt idx="61">
                  <c:v>0.71399999247843449</c:v>
                </c:pt>
                <c:pt idx="62">
                  <c:v>0.74459980105695345</c:v>
                </c:pt>
                <c:pt idx="63">
                  <c:v>0.74459988047482273</c:v>
                </c:pt>
                <c:pt idx="64">
                  <c:v>0.70810020993590062</c:v>
                </c:pt>
                <c:pt idx="65">
                  <c:v>0.70810006291263472</c:v>
                </c:pt>
                <c:pt idx="66">
                  <c:v>0.72270015570078716</c:v>
                </c:pt>
                <c:pt idx="67">
                  <c:v>0.70719987756351388</c:v>
                </c:pt>
                <c:pt idx="68">
                  <c:v>0.64600000000000002</c:v>
                </c:pt>
                <c:pt idx="69">
                  <c:v>0.69349981135321048</c:v>
                </c:pt>
                <c:pt idx="70">
                  <c:v>0.74460008158894708</c:v>
                </c:pt>
                <c:pt idx="71">
                  <c:v>0.70810006351832433</c:v>
                </c:pt>
                <c:pt idx="72">
                  <c:v>0.75919979148025241</c:v>
                </c:pt>
                <c:pt idx="73">
                  <c:v>0.71539994049569344</c:v>
                </c:pt>
                <c:pt idx="74">
                  <c:v>0.67320006813765876</c:v>
                </c:pt>
                <c:pt idx="75">
                  <c:v>0.6799998618047266</c:v>
                </c:pt>
                <c:pt idx="76">
                  <c:v>0.72270001392553729</c:v>
                </c:pt>
                <c:pt idx="77">
                  <c:v>0.75919992722100005</c:v>
                </c:pt>
                <c:pt idx="78">
                  <c:v>0.74460020584824926</c:v>
                </c:pt>
                <c:pt idx="79">
                  <c:v>0.6934998324953402</c:v>
                </c:pt>
                <c:pt idx="80">
                  <c:v>0.75919995629720538</c:v>
                </c:pt>
                <c:pt idx="81">
                  <c:v>0.70039981409119012</c:v>
                </c:pt>
                <c:pt idx="82">
                  <c:v>0.69360011705717539</c:v>
                </c:pt>
                <c:pt idx="83">
                  <c:v>0.72270008017506582</c:v>
                </c:pt>
                <c:pt idx="84">
                  <c:v>0.72270010234112048</c:v>
                </c:pt>
                <c:pt idx="85">
                  <c:v>0.70809990483791752</c:v>
                </c:pt>
                <c:pt idx="86">
                  <c:v>0.75189987195357011</c:v>
                </c:pt>
                <c:pt idx="87">
                  <c:v>0.76650000223810777</c:v>
                </c:pt>
                <c:pt idx="88">
                  <c:v>0.68000004707214212</c:v>
                </c:pt>
                <c:pt idx="89">
                  <c:v>0.71399991376093885</c:v>
                </c:pt>
                <c:pt idx="90">
                  <c:v>0.71540003195409851</c:v>
                </c:pt>
                <c:pt idx="91">
                  <c:v>0.69349998250290035</c:v>
                </c:pt>
                <c:pt idx="92">
                  <c:v>0.69350010008262786</c:v>
                </c:pt>
                <c:pt idx="93">
                  <c:v>0.69350013714967718</c:v>
                </c:pt>
                <c:pt idx="94">
                  <c:v>0.76650003885961093</c:v>
                </c:pt>
                <c:pt idx="95">
                  <c:v>0.66639982527664532</c:v>
                </c:pt>
                <c:pt idx="96">
                  <c:v>0.6527999747937242</c:v>
                </c:pt>
                <c:pt idx="97">
                  <c:v>0.70079982453440337</c:v>
                </c:pt>
                <c:pt idx="98">
                  <c:v>0.69349975638028516</c:v>
                </c:pt>
                <c:pt idx="99">
                  <c:v>0.73730000155037556</c:v>
                </c:pt>
                <c:pt idx="100">
                  <c:v>0.75919979406836124</c:v>
                </c:pt>
                <c:pt idx="101">
                  <c:v>0.72999963556661585</c:v>
                </c:pt>
                <c:pt idx="102">
                  <c:v>0.67999981980196234</c:v>
                </c:pt>
                <c:pt idx="103">
                  <c:v>0.68000003461539127</c:v>
                </c:pt>
                <c:pt idx="104">
                  <c:v>0.76650004209929223</c:v>
                </c:pt>
                <c:pt idx="105">
                  <c:v>0.70810012820461654</c:v>
                </c:pt>
                <c:pt idx="106">
                  <c:v>0.70810006219549648</c:v>
                </c:pt>
                <c:pt idx="107">
                  <c:v>0.73000015661961026</c:v>
                </c:pt>
                <c:pt idx="108">
                  <c:v>0.76649998707060718</c:v>
                </c:pt>
                <c:pt idx="109">
                  <c:v>0.64599989518172185</c:v>
                </c:pt>
                <c:pt idx="110">
                  <c:v>0.66639991199923765</c:v>
                </c:pt>
                <c:pt idx="111">
                  <c:v>0.76649989691802989</c:v>
                </c:pt>
                <c:pt idx="112">
                  <c:v>0.75189972310652164</c:v>
                </c:pt>
                <c:pt idx="113">
                  <c:v>0.7591996653377342</c:v>
                </c:pt>
                <c:pt idx="114">
                  <c:v>0.69350013498654928</c:v>
                </c:pt>
                <c:pt idx="115">
                  <c:v>0.70079996856417792</c:v>
                </c:pt>
                <c:pt idx="116">
                  <c:v>0.71400004913457926</c:v>
                </c:pt>
                <c:pt idx="117">
                  <c:v>0.65960003262136591</c:v>
                </c:pt>
                <c:pt idx="118">
                  <c:v>0.71540000416880556</c:v>
                </c:pt>
                <c:pt idx="119">
                  <c:v>0.69350009586192907</c:v>
                </c:pt>
                <c:pt idx="120">
                  <c:v>0.7445998451455228</c:v>
                </c:pt>
                <c:pt idx="121">
                  <c:v>0.74459998838261043</c:v>
                </c:pt>
                <c:pt idx="122">
                  <c:v>0.72270019885214221</c:v>
                </c:pt>
                <c:pt idx="123">
                  <c:v>0.65279982224915944</c:v>
                </c:pt>
                <c:pt idx="124">
                  <c:v>0.65959980867346935</c:v>
                </c:pt>
                <c:pt idx="125">
                  <c:v>0.73000001530620839</c:v>
                </c:pt>
                <c:pt idx="126">
                  <c:v>0.70809987165139765</c:v>
                </c:pt>
                <c:pt idx="127">
                  <c:v>0.71540018656588511</c:v>
                </c:pt>
                <c:pt idx="128">
                  <c:v>0.72999993216456105</c:v>
                </c:pt>
                <c:pt idx="129">
                  <c:v>0.72999987090444352</c:v>
                </c:pt>
                <c:pt idx="130">
                  <c:v>0.6527998022578505</c:v>
                </c:pt>
                <c:pt idx="131">
                  <c:v>0.65960003360000707</c:v>
                </c:pt>
                <c:pt idx="132">
                  <c:v>0.69349990241988968</c:v>
                </c:pt>
                <c:pt idx="133">
                  <c:v>0.75920002455795677</c:v>
                </c:pt>
                <c:pt idx="134">
                  <c:v>0.71539991567970973</c:v>
                </c:pt>
                <c:pt idx="135">
                  <c:v>0.74459999025069024</c:v>
                </c:pt>
                <c:pt idx="136">
                  <c:v>0.71539994429878895</c:v>
                </c:pt>
                <c:pt idx="137">
                  <c:v>0.64600012606063517</c:v>
                </c:pt>
                <c:pt idx="138">
                  <c:v>0.67320011859652096</c:v>
                </c:pt>
                <c:pt idx="139">
                  <c:v>0.71539981520314855</c:v>
                </c:pt>
                <c:pt idx="140">
                  <c:v>0.7080999273304871</c:v>
                </c:pt>
                <c:pt idx="141">
                  <c:v>0.76649986067885023</c:v>
                </c:pt>
                <c:pt idx="142">
                  <c:v>0.72269978469402829</c:v>
                </c:pt>
                <c:pt idx="143">
                  <c:v>0.72270016422253591</c:v>
                </c:pt>
                <c:pt idx="144">
                  <c:v>0.70720000000000005</c:v>
                </c:pt>
                <c:pt idx="145">
                  <c:v>0.67999980980954799</c:v>
                </c:pt>
                <c:pt idx="146">
                  <c:v>0.74459997167029368</c:v>
                </c:pt>
                <c:pt idx="147">
                  <c:v>0.74460018474259559</c:v>
                </c:pt>
                <c:pt idx="148">
                  <c:v>0.71540015411148761</c:v>
                </c:pt>
                <c:pt idx="149">
                  <c:v>0.73730009031589894</c:v>
                </c:pt>
                <c:pt idx="150">
                  <c:v>0.72270000614874907</c:v>
                </c:pt>
                <c:pt idx="151">
                  <c:v>0.65959991777444316</c:v>
                </c:pt>
                <c:pt idx="152">
                  <c:v>0.71400002756996372</c:v>
                </c:pt>
                <c:pt idx="153">
                  <c:v>0.70079990102399237</c:v>
                </c:pt>
                <c:pt idx="154">
                  <c:v>0.75190008382464868</c:v>
                </c:pt>
                <c:pt idx="155">
                  <c:v>0.70809998590008594</c:v>
                </c:pt>
                <c:pt idx="156">
                  <c:v>0.75919988342308009</c:v>
                </c:pt>
                <c:pt idx="157">
                  <c:v>0.7007999634844122</c:v>
                </c:pt>
                <c:pt idx="158">
                  <c:v>0.69359971450414726</c:v>
                </c:pt>
                <c:pt idx="159">
                  <c:v>0.64599996459999642</c:v>
                </c:pt>
                <c:pt idx="160">
                  <c:v>0.74460005251376904</c:v>
                </c:pt>
                <c:pt idx="161">
                  <c:v>0.71539978349599498</c:v>
                </c:pt>
                <c:pt idx="162">
                  <c:v>0.76649974361943196</c:v>
                </c:pt>
                <c:pt idx="163">
                  <c:v>0.75189971282886126</c:v>
                </c:pt>
                <c:pt idx="164">
                  <c:v>0.72269998605161601</c:v>
                </c:pt>
                <c:pt idx="165">
                  <c:v>0.67320000000000002</c:v>
                </c:pt>
                <c:pt idx="166">
                  <c:v>0.66640010246061665</c:v>
                </c:pt>
                <c:pt idx="167">
                  <c:v>0.71540012321589952</c:v>
                </c:pt>
                <c:pt idx="168">
                  <c:v>0.75190011968695791</c:v>
                </c:pt>
                <c:pt idx="169">
                  <c:v>0.70809989107839844</c:v>
                </c:pt>
                <c:pt idx="170">
                  <c:v>0.70079927134584841</c:v>
                </c:pt>
                <c:pt idx="171">
                  <c:v>0.76649961086831953</c:v>
                </c:pt>
                <c:pt idx="172">
                  <c:v>0.7072000180465714</c:v>
                </c:pt>
                <c:pt idx="173">
                  <c:v>0.65959992130937628</c:v>
                </c:pt>
                <c:pt idx="174">
                  <c:v>0.7153997619121073</c:v>
                </c:pt>
                <c:pt idx="175">
                  <c:v>0.72999981663824565</c:v>
                </c:pt>
                <c:pt idx="176">
                  <c:v>0.72270000250573629</c:v>
                </c:pt>
                <c:pt idx="177">
                  <c:v>0.75189988509409045</c:v>
                </c:pt>
                <c:pt idx="178">
                  <c:v>0.70809978101365623</c:v>
                </c:pt>
                <c:pt idx="179">
                  <c:v>0.65279982866933184</c:v>
                </c:pt>
                <c:pt idx="180">
                  <c:v>0.65959970930427403</c:v>
                </c:pt>
                <c:pt idx="181">
                  <c:v>0.72269969019888647</c:v>
                </c:pt>
                <c:pt idx="182">
                  <c:v>0.75189971282886126</c:v>
                </c:pt>
                <c:pt idx="183">
                  <c:v>0.75189986220326255</c:v>
                </c:pt>
                <c:pt idx="184">
                  <c:v>0.69349992752133061</c:v>
                </c:pt>
                <c:pt idx="185">
                  <c:v>0.7664999173366811</c:v>
                </c:pt>
                <c:pt idx="186">
                  <c:v>0.68000007488750491</c:v>
                </c:pt>
                <c:pt idx="187">
                  <c:v>0.67999983439827982</c:v>
                </c:pt>
                <c:pt idx="188">
                  <c:v>0.75919979631538481</c:v>
                </c:pt>
                <c:pt idx="189">
                  <c:v>0.73730011785540739</c:v>
                </c:pt>
                <c:pt idx="190">
                  <c:v>0.75920021839091978</c:v>
                </c:pt>
                <c:pt idx="191">
                  <c:v>0.74460008158894708</c:v>
                </c:pt>
                <c:pt idx="192">
                  <c:v>0.75189986904591677</c:v>
                </c:pt>
                <c:pt idx="193">
                  <c:v>0.6935998310612963</c:v>
                </c:pt>
                <c:pt idx="194">
                  <c:v>0.70039983109649617</c:v>
                </c:pt>
                <c:pt idx="195">
                  <c:v>0.71539974874967405</c:v>
                </c:pt>
                <c:pt idx="196">
                  <c:v>0.72999953488713665</c:v>
                </c:pt>
                <c:pt idx="197">
                  <c:v>0.75189987195357011</c:v>
                </c:pt>
                <c:pt idx="198">
                  <c:v>0.76650009223991056</c:v>
                </c:pt>
                <c:pt idx="199">
                  <c:v>0.72999973392334128</c:v>
                </c:pt>
                <c:pt idx="200">
                  <c:v>0.64600012606063517</c:v>
                </c:pt>
                <c:pt idx="201">
                  <c:v>0.65279988340880124</c:v>
                </c:pt>
                <c:pt idx="202">
                  <c:v>0.7300001503394854</c:v>
                </c:pt>
                <c:pt idx="203">
                  <c:v>0.75190004321402437</c:v>
                </c:pt>
                <c:pt idx="204">
                  <c:v>0.70079960813181219</c:v>
                </c:pt>
                <c:pt idx="205">
                  <c:v>0.74459980272993875</c:v>
                </c:pt>
                <c:pt idx="206">
                  <c:v>0.75919969687249556</c:v>
                </c:pt>
                <c:pt idx="207">
                  <c:v>0.6799999873862913</c:v>
                </c:pt>
                <c:pt idx="208">
                  <c:v>0.65959989629663851</c:v>
                </c:pt>
                <c:pt idx="209">
                  <c:v>0.70079976807583777</c:v>
                </c:pt>
                <c:pt idx="210">
                  <c:v>0.69349984607229853</c:v>
                </c:pt>
                <c:pt idx="211">
                  <c:v>0.69349975638028516</c:v>
                </c:pt>
                <c:pt idx="212">
                  <c:v>0.75189966209132131</c:v>
                </c:pt>
                <c:pt idx="213">
                  <c:v>0.7007999028432963</c:v>
                </c:pt>
                <c:pt idx="214">
                  <c:v>0.70719981815771027</c:v>
                </c:pt>
                <c:pt idx="215">
                  <c:v>0.70720009684388774</c:v>
                </c:pt>
                <c:pt idx="216">
                  <c:v>0.70079976807583777</c:v>
                </c:pt>
                <c:pt idx="217">
                  <c:v>0.72269957936725315</c:v>
                </c:pt>
                <c:pt idx="218">
                  <c:v>0.70079973034757292</c:v>
                </c:pt>
                <c:pt idx="219">
                  <c:v>0.70080004278698171</c:v>
                </c:pt>
                <c:pt idx="220">
                  <c:v>0.7372997849559555</c:v>
                </c:pt>
                <c:pt idx="221">
                  <c:v>0.70039993990384619</c:v>
                </c:pt>
                <c:pt idx="222">
                  <c:v>0.32639989286683241</c:v>
                </c:pt>
                <c:pt idx="223">
                  <c:v>0.70079979759076794</c:v>
                </c:pt>
                <c:pt idx="224">
                  <c:v>0.70079995514608273</c:v>
                </c:pt>
                <c:pt idx="225">
                  <c:v>0.72269993684292888</c:v>
                </c:pt>
                <c:pt idx="226">
                  <c:v>0.7227000780563303</c:v>
                </c:pt>
                <c:pt idx="227">
                  <c:v>0.69350005307403961</c:v>
                </c:pt>
                <c:pt idx="228">
                  <c:v>0.69359988231832892</c:v>
                </c:pt>
                <c:pt idx="229">
                  <c:v>0.64599989044809281</c:v>
                </c:pt>
                <c:pt idx="230">
                  <c:v>0.75189991363249575</c:v>
                </c:pt>
                <c:pt idx="231">
                  <c:v>0.74460026668137136</c:v>
                </c:pt>
                <c:pt idx="232">
                  <c:v>0.70810010738057783</c:v>
                </c:pt>
                <c:pt idx="233">
                  <c:v>0.7372998074723347</c:v>
                </c:pt>
                <c:pt idx="234">
                  <c:v>0.70809978309642896</c:v>
                </c:pt>
                <c:pt idx="235">
                  <c:v>0.64599990135731722</c:v>
                </c:pt>
                <c:pt idx="236">
                  <c:v>0.68679995077632339</c:v>
                </c:pt>
                <c:pt idx="237">
                  <c:v>0.72269986943370734</c:v>
                </c:pt>
                <c:pt idx="238">
                  <c:v>0.73730014683089973</c:v>
                </c:pt>
                <c:pt idx="239">
                  <c:v>0.73729973442571728</c:v>
                </c:pt>
                <c:pt idx="240">
                  <c:v>0.76650009931419394</c:v>
                </c:pt>
                <c:pt idx="241">
                  <c:v>0.71540015801493384</c:v>
                </c:pt>
                <c:pt idx="242">
                  <c:v>0.66640005438400618</c:v>
                </c:pt>
                <c:pt idx="243">
                  <c:v>0.68000003679101417</c:v>
                </c:pt>
                <c:pt idx="244">
                  <c:v>0.7445998451455228</c:v>
                </c:pt>
                <c:pt idx="245">
                  <c:v>0.6935000177654399</c:v>
                </c:pt>
                <c:pt idx="246">
                  <c:v>0.69350015536101739</c:v>
                </c:pt>
                <c:pt idx="247">
                  <c:v>0.74459980861850328</c:v>
                </c:pt>
                <c:pt idx="248">
                  <c:v>0.70080003607309793</c:v>
                </c:pt>
                <c:pt idx="249">
                  <c:v>0.64600000000000002</c:v>
                </c:pt>
                <c:pt idx="250">
                  <c:v>0.67319989677731973</c:v>
                </c:pt>
                <c:pt idx="251">
                  <c:v>0.75189998569224503</c:v>
                </c:pt>
                <c:pt idx="252">
                  <c:v>0.70810009297478393</c:v>
                </c:pt>
                <c:pt idx="253">
                  <c:v>0.75919988778286385</c:v>
                </c:pt>
                <c:pt idx="254">
                  <c:v>0.75919979631538481</c:v>
                </c:pt>
                <c:pt idx="255">
                  <c:v>0.69350003832067608</c:v>
                </c:pt>
                <c:pt idx="256">
                  <c:v>0.67319985703572605</c:v>
                </c:pt>
                <c:pt idx="257">
                  <c:v>0.69359989966314639</c:v>
                </c:pt>
                <c:pt idx="258">
                  <c:v>0.73730005125419784</c:v>
                </c:pt>
                <c:pt idx="259">
                  <c:v>0.72269967968647564</c:v>
                </c:pt>
                <c:pt idx="260">
                  <c:v>0.70079980752023296</c:v>
                </c:pt>
                <c:pt idx="261">
                  <c:v>0.74460001881374493</c:v>
                </c:pt>
                <c:pt idx="262">
                  <c:v>0.73729998575740507</c:v>
                </c:pt>
                <c:pt idx="263">
                  <c:v>0.6459998200646323</c:v>
                </c:pt>
                <c:pt idx="264">
                  <c:v>0.71399996076144201</c:v>
                </c:pt>
                <c:pt idx="265">
                  <c:v>0.69349996187111895</c:v>
                </c:pt>
                <c:pt idx="266">
                  <c:v>0.7227000780563303</c:v>
                </c:pt>
                <c:pt idx="267">
                  <c:v>0.76649989821918674</c:v>
                </c:pt>
                <c:pt idx="268">
                  <c:v>0.74459995255684708</c:v>
                </c:pt>
                <c:pt idx="269">
                  <c:v>0.75190005959272022</c:v>
                </c:pt>
                <c:pt idx="270">
                  <c:v>0.68</c:v>
                </c:pt>
                <c:pt idx="271">
                  <c:v>0.65280010776475916</c:v>
                </c:pt>
                <c:pt idx="272">
                  <c:v>0.72270020316127881</c:v>
                </c:pt>
                <c:pt idx="273">
                  <c:v>0.70809997055288632</c:v>
                </c:pt>
                <c:pt idx="274">
                  <c:v>0.700800020710028</c:v>
                </c:pt>
                <c:pt idx="275">
                  <c:v>0.73729991257454564</c:v>
                </c:pt>
                <c:pt idx="276">
                  <c:v>0.69349980456840132</c:v>
                </c:pt>
                <c:pt idx="277">
                  <c:v>0.67319984695198953</c:v>
                </c:pt>
                <c:pt idx="278">
                  <c:v>0.67999983439827982</c:v>
                </c:pt>
                <c:pt idx="279">
                  <c:v>0.72999970469032305</c:v>
                </c:pt>
                <c:pt idx="280">
                  <c:v>0.70810000620903069</c:v>
                </c:pt>
                <c:pt idx="281">
                  <c:v>0.76649999261414836</c:v>
                </c:pt>
                <c:pt idx="282">
                  <c:v>0.69350013719048709</c:v>
                </c:pt>
                <c:pt idx="283">
                  <c:v>0.75190001003031115</c:v>
                </c:pt>
                <c:pt idx="284">
                  <c:v>0.68000006704524885</c:v>
                </c:pt>
                <c:pt idx="285">
                  <c:v>0.67319974226804125</c:v>
                </c:pt>
                <c:pt idx="286">
                  <c:v>0.70809971582423081</c:v>
                </c:pt>
                <c:pt idx="287">
                  <c:v>0.70809982068828303</c:v>
                </c:pt>
                <c:pt idx="288">
                  <c:v>0.73000005326335715</c:v>
                </c:pt>
                <c:pt idx="289">
                  <c:v>0.70080009392042297</c:v>
                </c:pt>
                <c:pt idx="290">
                  <c:v>0.7153999483189506</c:v>
                </c:pt>
                <c:pt idx="291">
                  <c:v>0.69360007969413939</c:v>
                </c:pt>
                <c:pt idx="292">
                  <c:v>0.65279985210637992</c:v>
                </c:pt>
                <c:pt idx="293">
                  <c:v>0.73729988155340875</c:v>
                </c:pt>
                <c:pt idx="294">
                  <c:v>0.74459954561464969</c:v>
                </c:pt>
                <c:pt idx="295">
                  <c:v>0.75189969185892924</c:v>
                </c:pt>
                <c:pt idx="296">
                  <c:v>0.74459966965528668</c:v>
                </c:pt>
                <c:pt idx="297">
                  <c:v>0.71539997276046152</c:v>
                </c:pt>
                <c:pt idx="298">
                  <c:v>0.64599988764606009</c:v>
                </c:pt>
                <c:pt idx="299">
                  <c:v>0.68679996863782999</c:v>
                </c:pt>
                <c:pt idx="300">
                  <c:v>0.70809992559460178</c:v>
                </c:pt>
                <c:pt idx="301">
                  <c:v>0.70810000628640357</c:v>
                </c:pt>
                <c:pt idx="302">
                  <c:v>0.70079987338957694</c:v>
                </c:pt>
                <c:pt idx="303">
                  <c:v>0.6935002149695868</c:v>
                </c:pt>
                <c:pt idx="304">
                  <c:v>0.75189983315986841</c:v>
                </c:pt>
                <c:pt idx="305">
                  <c:v>0.64599981620224189</c:v>
                </c:pt>
                <c:pt idx="306">
                  <c:v>0.65959987188362579</c:v>
                </c:pt>
                <c:pt idx="307">
                  <c:v>0.70079994477099283</c:v>
                </c:pt>
                <c:pt idx="308">
                  <c:v>0.7226996405872177</c:v>
                </c:pt>
                <c:pt idx="309">
                  <c:v>0.72269978091974141</c:v>
                </c:pt>
                <c:pt idx="310">
                  <c:v>0.74460002789404467</c:v>
                </c:pt>
                <c:pt idx="311">
                  <c:v>0.69349963440121443</c:v>
                </c:pt>
                <c:pt idx="312">
                  <c:v>0.67999985748053493</c:v>
                </c:pt>
                <c:pt idx="313">
                  <c:v>0.66639988200144917</c:v>
                </c:pt>
                <c:pt idx="314">
                  <c:v>0.75190005020721273</c:v>
                </c:pt>
                <c:pt idx="315">
                  <c:v>0.76650011467270729</c:v>
                </c:pt>
                <c:pt idx="316">
                  <c:v>0.75920009276200162</c:v>
                </c:pt>
                <c:pt idx="317">
                  <c:v>0.76650002634133863</c:v>
                </c:pt>
                <c:pt idx="318">
                  <c:v>0.73730027024853739</c:v>
                </c:pt>
                <c:pt idx="319">
                  <c:v>0.65959998801551001</c:v>
                </c:pt>
                <c:pt idx="320">
                  <c:v>0.71399965641534024</c:v>
                </c:pt>
                <c:pt idx="321">
                  <c:v>0.76649976528813868</c:v>
                </c:pt>
                <c:pt idx="322">
                  <c:v>0.71540001730569014</c:v>
                </c:pt>
                <c:pt idx="323">
                  <c:v>0.72270007585959972</c:v>
                </c:pt>
                <c:pt idx="324">
                  <c:v>0.73729989979831256</c:v>
                </c:pt>
                <c:pt idx="325">
                  <c:v>0.76650015845159969</c:v>
                </c:pt>
                <c:pt idx="326">
                  <c:v>0.65280003719902369</c:v>
                </c:pt>
                <c:pt idx="327">
                  <c:v>0.65959981607145346</c:v>
                </c:pt>
                <c:pt idx="328">
                  <c:v>0.75919984624461412</c:v>
                </c:pt>
                <c:pt idx="329">
                  <c:v>0.69349986333418057</c:v>
                </c:pt>
                <c:pt idx="330">
                  <c:v>0.70809995647408119</c:v>
                </c:pt>
                <c:pt idx="331">
                  <c:v>0.71540014900392479</c:v>
                </c:pt>
                <c:pt idx="332">
                  <c:v>0.72999979270935778</c:v>
                </c:pt>
                <c:pt idx="333">
                  <c:v>0.69359994855293094</c:v>
                </c:pt>
                <c:pt idx="334">
                  <c:v>0.7003998191545906</c:v>
                </c:pt>
                <c:pt idx="335">
                  <c:v>0.71539984098479137</c:v>
                </c:pt>
                <c:pt idx="336">
                  <c:v>0.7007998708641151</c:v>
                </c:pt>
                <c:pt idx="337">
                  <c:v>0.69349990705635189</c:v>
                </c:pt>
                <c:pt idx="338">
                  <c:v>0.73730013247003923</c:v>
                </c:pt>
                <c:pt idx="339">
                  <c:v>0.74460018474259559</c:v>
                </c:pt>
                <c:pt idx="340">
                  <c:v>0.68679989976791878</c:v>
                </c:pt>
                <c:pt idx="341">
                  <c:v>0.67999987005413864</c:v>
                </c:pt>
                <c:pt idx="342">
                  <c:v>0.70080023953591686</c:v>
                </c:pt>
                <c:pt idx="343">
                  <c:v>0.72269984727286884</c:v>
                </c:pt>
                <c:pt idx="344">
                  <c:v>0.70809981954605872</c:v>
                </c:pt>
                <c:pt idx="345">
                  <c:v>0.74460020874146948</c:v>
                </c:pt>
                <c:pt idx="346">
                  <c:v>0.72999975402693051</c:v>
                </c:pt>
                <c:pt idx="347">
                  <c:v>0.68680000556824738</c:v>
                </c:pt>
                <c:pt idx="348">
                  <c:v>0.64600005773028057</c:v>
                </c:pt>
                <c:pt idx="349">
                  <c:v>0.71539984518683708</c:v>
                </c:pt>
                <c:pt idx="350">
                  <c:v>0.69350008650732842</c:v>
                </c:pt>
                <c:pt idx="351">
                  <c:v>0.75919970960038696</c:v>
                </c:pt>
                <c:pt idx="352">
                  <c:v>0.7299997432992632</c:v>
                </c:pt>
                <c:pt idx="353">
                  <c:v>0.69349985113866797</c:v>
                </c:pt>
                <c:pt idx="354">
                  <c:v>0.64600006376416985</c:v>
                </c:pt>
                <c:pt idx="355">
                  <c:v>0.64599997057990677</c:v>
                </c:pt>
                <c:pt idx="356">
                  <c:v>0.73729971809790817</c:v>
                </c:pt>
                <c:pt idx="357">
                  <c:v>0.74459994608488977</c:v>
                </c:pt>
                <c:pt idx="358">
                  <c:v>0.73000015685970565</c:v>
                </c:pt>
                <c:pt idx="359">
                  <c:v>0.76649961887758045</c:v>
                </c:pt>
                <c:pt idx="360">
                  <c:v>0.69350002659998933</c:v>
                </c:pt>
                <c:pt idx="361">
                  <c:v>0.6731997757490249</c:v>
                </c:pt>
                <c:pt idx="362">
                  <c:v>0.67319995941089639</c:v>
                </c:pt>
                <c:pt idx="363">
                  <c:v>0.69349972740618537</c:v>
                </c:pt>
                <c:pt idx="364">
                  <c:v>0.70809985515372176</c:v>
                </c:pt>
                <c:pt idx="365">
                  <c:v>0.74460016205511348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B-469B-A571-61DCB24C8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06319"/>
        <c:axId val="1249725519"/>
      </c:lineChart>
      <c:dateAx>
        <c:axId val="1249706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25519"/>
        <c:crosses val="autoZero"/>
        <c:auto val="1"/>
        <c:lblOffset val="100"/>
        <c:baseTimeUnit val="days"/>
      </c:dateAx>
      <c:valAx>
        <c:axId val="124972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0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'Supporting Data'!$N$2</c:f>
              <c:strCache>
                <c:ptCount val="1"/>
                <c:pt idx="0">
                  <c:v>P2O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'Supporting Data'!$B$3:$B$368</c:f>
              <c:numCache>
                <c:formatCode>m/d/yyyy</c:formatCode>
                <c:ptCount val="3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</c:numCache>
            </c:numRef>
          </c:cat>
          <c:val>
            <c:numRef>
              <c:f>'Supporting Data'!$N$3:$N$368</c:f>
              <c:numCache>
                <c:formatCode>0%</c:formatCode>
                <c:ptCount val="366"/>
                <c:pt idx="0">
                  <c:v>0.84460022987223116</c:v>
                </c:pt>
                <c:pt idx="1">
                  <c:v>0.80359956797537846</c:v>
                </c:pt>
                <c:pt idx="2">
                  <c:v>0.81179997575982266</c:v>
                </c:pt>
                <c:pt idx="3">
                  <c:v>0.811800032055777</c:v>
                </c:pt>
                <c:pt idx="4">
                  <c:v>0.76440003716571214</c:v>
                </c:pt>
                <c:pt idx="5">
                  <c:v>0.77219997921781924</c:v>
                </c:pt>
                <c:pt idx="6">
                  <c:v>0.77899987450068953</c:v>
                </c:pt>
                <c:pt idx="7">
                  <c:v>0.82820015055371432</c:v>
                </c:pt>
                <c:pt idx="8">
                  <c:v>0.85280008785654926</c:v>
                </c:pt>
                <c:pt idx="9">
                  <c:v>0.82000034183224713</c:v>
                </c:pt>
                <c:pt idx="10">
                  <c:v>0.78720010062154766</c:v>
                </c:pt>
                <c:pt idx="11">
                  <c:v>0.78779977140628266</c:v>
                </c:pt>
                <c:pt idx="12">
                  <c:v>0.74099967541825129</c:v>
                </c:pt>
                <c:pt idx="13">
                  <c:v>0.82820036695013521</c:v>
                </c:pt>
                <c:pt idx="14">
                  <c:v>0.81179988453939078</c:v>
                </c:pt>
                <c:pt idx="15">
                  <c:v>0.83639993145475267</c:v>
                </c:pt>
                <c:pt idx="16">
                  <c:v>0.83639983930063222</c:v>
                </c:pt>
                <c:pt idx="17">
                  <c:v>0.7871994944555617</c:v>
                </c:pt>
                <c:pt idx="18">
                  <c:v>0.78780023820713474</c:v>
                </c:pt>
                <c:pt idx="19">
                  <c:v>0.78779980453787235</c:v>
                </c:pt>
                <c:pt idx="20">
                  <c:v>0.81179964452742104</c:v>
                </c:pt>
                <c:pt idx="21">
                  <c:v>0.83640012122832152</c:v>
                </c:pt>
                <c:pt idx="22">
                  <c:v>0.84459986109552565</c:v>
                </c:pt>
                <c:pt idx="23">
                  <c:v>0.79539993108454754</c:v>
                </c:pt>
                <c:pt idx="24">
                  <c:v>0.81179987028483402</c:v>
                </c:pt>
                <c:pt idx="25">
                  <c:v>0.74100005255689283</c:v>
                </c:pt>
                <c:pt idx="26">
                  <c:v>0.75659993275304216</c:v>
                </c:pt>
                <c:pt idx="27">
                  <c:v>0.8527997959312491</c:v>
                </c:pt>
                <c:pt idx="28">
                  <c:v>0.79540035839390932</c:v>
                </c:pt>
                <c:pt idx="29">
                  <c:v>0.7953997835206823</c:v>
                </c:pt>
                <c:pt idx="30">
                  <c:v>0.83640020619695488</c:v>
                </c:pt>
                <c:pt idx="31">
                  <c:v>0.84459997113411012</c:v>
                </c:pt>
                <c:pt idx="32">
                  <c:v>0.7565999412780523</c:v>
                </c:pt>
                <c:pt idx="33">
                  <c:v>0.81120004593870954</c:v>
                </c:pt>
                <c:pt idx="34">
                  <c:v>0.81179988453939078</c:v>
                </c:pt>
                <c:pt idx="35">
                  <c:v>0.80360014216257369</c:v>
                </c:pt>
                <c:pt idx="36">
                  <c:v>0.86100022580280966</c:v>
                </c:pt>
                <c:pt idx="37">
                  <c:v>0.85280018504419852</c:v>
                </c:pt>
                <c:pt idx="38">
                  <c:v>0.83639976138696182</c:v>
                </c:pt>
                <c:pt idx="39">
                  <c:v>0.81119983488370362</c:v>
                </c:pt>
                <c:pt idx="40">
                  <c:v>0.81900005051123281</c:v>
                </c:pt>
                <c:pt idx="41">
                  <c:v>0.82000005055912073</c:v>
                </c:pt>
                <c:pt idx="42">
                  <c:v>0.82000014011587585</c:v>
                </c:pt>
                <c:pt idx="43">
                  <c:v>0.82820000225889157</c:v>
                </c:pt>
                <c:pt idx="44">
                  <c:v>0.84460010435407396</c:v>
                </c:pt>
                <c:pt idx="45">
                  <c:v>0.78720025963210616</c:v>
                </c:pt>
                <c:pt idx="46">
                  <c:v>0.77220022766441376</c:v>
                </c:pt>
                <c:pt idx="47">
                  <c:v>0.75659954250068973</c:v>
                </c:pt>
                <c:pt idx="48">
                  <c:v>0.79540032472347677</c:v>
                </c:pt>
                <c:pt idx="49">
                  <c:v>0.8528008953405718</c:v>
                </c:pt>
                <c:pt idx="50">
                  <c:v>0.79539991503972507</c:v>
                </c:pt>
                <c:pt idx="51">
                  <c:v>0.79539962719135826</c:v>
                </c:pt>
                <c:pt idx="52">
                  <c:v>0.78719999085468673</c:v>
                </c:pt>
                <c:pt idx="53">
                  <c:v>0.75659999245355791</c:v>
                </c:pt>
                <c:pt idx="54">
                  <c:v>0.80339970916596304</c:v>
                </c:pt>
                <c:pt idx="55">
                  <c:v>0.84460007729258169</c:v>
                </c:pt>
                <c:pt idx="56">
                  <c:v>0.81180033082704983</c:v>
                </c:pt>
                <c:pt idx="57">
                  <c:v>0.81999976451764223</c:v>
                </c:pt>
                <c:pt idx="58">
                  <c:v>0.85279947873218831</c:v>
                </c:pt>
                <c:pt idx="59">
                  <c:v>0.77900009239908075</c:v>
                </c:pt>
                <c:pt idx="60">
                  <c:v>0.81119976662651061</c:v>
                </c:pt>
                <c:pt idx="61">
                  <c:v>0.81119998850792119</c:v>
                </c:pt>
                <c:pt idx="62">
                  <c:v>0.77900017158943347</c:v>
                </c:pt>
                <c:pt idx="63">
                  <c:v>0.84460034413058704</c:v>
                </c:pt>
                <c:pt idx="64">
                  <c:v>0.77900001551500653</c:v>
                </c:pt>
                <c:pt idx="65">
                  <c:v>0.84459985964232998</c:v>
                </c:pt>
                <c:pt idx="66">
                  <c:v>0.80360000392975672</c:v>
                </c:pt>
                <c:pt idx="67">
                  <c:v>0.78779980453787235</c:v>
                </c:pt>
                <c:pt idx="68">
                  <c:v>0.75659994377383644</c:v>
                </c:pt>
                <c:pt idx="69">
                  <c:v>0.83640002631138977</c:v>
                </c:pt>
                <c:pt idx="70">
                  <c:v>0.81179977785302071</c:v>
                </c:pt>
                <c:pt idx="71">
                  <c:v>0.80359983311168481</c:v>
                </c:pt>
                <c:pt idx="72">
                  <c:v>0.77900038754190948</c:v>
                </c:pt>
                <c:pt idx="73">
                  <c:v>0.77899983154170926</c:v>
                </c:pt>
                <c:pt idx="74">
                  <c:v>0.81899956338810831</c:v>
                </c:pt>
                <c:pt idx="75">
                  <c:v>0.76439987420163003</c:v>
                </c:pt>
                <c:pt idx="76">
                  <c:v>0.81179991957923459</c:v>
                </c:pt>
                <c:pt idx="77">
                  <c:v>0.38539988387533919</c:v>
                </c:pt>
                <c:pt idx="78">
                  <c:v>0.86099963630955434</c:v>
                </c:pt>
                <c:pt idx="79">
                  <c:v>0.83640034553430787</c:v>
                </c:pt>
                <c:pt idx="80">
                  <c:v>0.84460003064305122</c:v>
                </c:pt>
                <c:pt idx="81">
                  <c:v>0.8190000851865038</c:v>
                </c:pt>
                <c:pt idx="82">
                  <c:v>0.80339980956873436</c:v>
                </c:pt>
                <c:pt idx="83">
                  <c:v>0.82819950503540707</c:v>
                </c:pt>
                <c:pt idx="84">
                  <c:v>0.85279937586220211</c:v>
                </c:pt>
                <c:pt idx="85">
                  <c:v>0.77900036036231313</c:v>
                </c:pt>
                <c:pt idx="86">
                  <c:v>0.84459995620193484</c:v>
                </c:pt>
                <c:pt idx="87">
                  <c:v>0.81179980658543882</c:v>
                </c:pt>
                <c:pt idx="88">
                  <c:v>0.75659983403609843</c:v>
                </c:pt>
                <c:pt idx="89">
                  <c:v>0.81900016620141913</c:v>
                </c:pt>
                <c:pt idx="90">
                  <c:v>0.8363995231530309</c:v>
                </c:pt>
                <c:pt idx="91">
                  <c:v>0.83640012570356947</c:v>
                </c:pt>
                <c:pt idx="92">
                  <c:v>0.83639974505352499</c:v>
                </c:pt>
                <c:pt idx="93">
                  <c:v>0.77899977061802939</c:v>
                </c:pt>
                <c:pt idx="94">
                  <c:v>0.84459985675268701</c:v>
                </c:pt>
                <c:pt idx="95">
                  <c:v>0.81120005663303496</c:v>
                </c:pt>
                <c:pt idx="96">
                  <c:v>0.77219978095589692</c:v>
                </c:pt>
                <c:pt idx="97">
                  <c:v>0.82820038740372437</c:v>
                </c:pt>
                <c:pt idx="98">
                  <c:v>0.86099974800864976</c:v>
                </c:pt>
                <c:pt idx="99">
                  <c:v>0.79539939242961788</c:v>
                </c:pt>
                <c:pt idx="100">
                  <c:v>0.80360028906556957</c:v>
                </c:pt>
                <c:pt idx="101">
                  <c:v>0.8118003731343284</c:v>
                </c:pt>
                <c:pt idx="102">
                  <c:v>0.75660008612408491</c:v>
                </c:pt>
                <c:pt idx="103">
                  <c:v>0.81900011580883991</c:v>
                </c:pt>
                <c:pt idx="104">
                  <c:v>0.81999998843704058</c:v>
                </c:pt>
                <c:pt idx="105">
                  <c:v>0.81179990956675963</c:v>
                </c:pt>
                <c:pt idx="106">
                  <c:v>0.86099942968903553</c:v>
                </c:pt>
                <c:pt idx="107">
                  <c:v>0.78719987834787986</c:v>
                </c:pt>
                <c:pt idx="108">
                  <c:v>0.81180011710458899</c:v>
                </c:pt>
                <c:pt idx="109">
                  <c:v>0.74880018608018895</c:v>
                </c:pt>
                <c:pt idx="110">
                  <c:v>0.81899990325093819</c:v>
                </c:pt>
                <c:pt idx="111">
                  <c:v>0.86100017164404918</c:v>
                </c:pt>
                <c:pt idx="112">
                  <c:v>0.81180010560042748</c:v>
                </c:pt>
                <c:pt idx="113">
                  <c:v>0.83639995175108994</c:v>
                </c:pt>
                <c:pt idx="114">
                  <c:v>0.84459992648928361</c:v>
                </c:pt>
                <c:pt idx="115">
                  <c:v>0.85279975172142208</c:v>
                </c:pt>
                <c:pt idx="116">
                  <c:v>0.74099976806481949</c:v>
                </c:pt>
                <c:pt idx="117">
                  <c:v>0.76439984289263474</c:v>
                </c:pt>
                <c:pt idx="118">
                  <c:v>0.81999934951769449</c:v>
                </c:pt>
                <c:pt idx="119">
                  <c:v>0.83639976138696182</c:v>
                </c:pt>
                <c:pt idx="120">
                  <c:v>0.86100018981394699</c:v>
                </c:pt>
                <c:pt idx="121">
                  <c:v>0.79540020233314634</c:v>
                </c:pt>
                <c:pt idx="122">
                  <c:v>0.81179975970133389</c:v>
                </c:pt>
                <c:pt idx="123">
                  <c:v>0.74879992024643049</c:v>
                </c:pt>
                <c:pt idx="124">
                  <c:v>0.74099990089460743</c:v>
                </c:pt>
                <c:pt idx="125">
                  <c:v>0.81180003802090028</c:v>
                </c:pt>
                <c:pt idx="126">
                  <c:v>0.77900005238319736</c:v>
                </c:pt>
                <c:pt idx="127">
                  <c:v>0.85280002453247739</c:v>
                </c:pt>
                <c:pt idx="128">
                  <c:v>0.80359979211290156</c:v>
                </c:pt>
                <c:pt idx="129">
                  <c:v>0.84460024897004593</c:v>
                </c:pt>
                <c:pt idx="130">
                  <c:v>0.75660009772580161</c:v>
                </c:pt>
                <c:pt idx="131">
                  <c:v>0.74879987054353048</c:v>
                </c:pt>
                <c:pt idx="132">
                  <c:v>0.86099994189721685</c:v>
                </c:pt>
                <c:pt idx="133">
                  <c:v>0.82820024502965828</c:v>
                </c:pt>
                <c:pt idx="134">
                  <c:v>0.7790003240971709</c:v>
                </c:pt>
                <c:pt idx="135">
                  <c:v>0.81999973813295945</c:v>
                </c:pt>
                <c:pt idx="136">
                  <c:v>0.79540007074542451</c:v>
                </c:pt>
                <c:pt idx="137">
                  <c:v>0.81119993606833252</c:v>
                </c:pt>
                <c:pt idx="138">
                  <c:v>0.74879997444591684</c:v>
                </c:pt>
                <c:pt idx="139">
                  <c:v>0.85280015511774698</c:v>
                </c:pt>
                <c:pt idx="140">
                  <c:v>0.81179982854017207</c:v>
                </c:pt>
                <c:pt idx="141">
                  <c:v>0.81179989704691846</c:v>
                </c:pt>
                <c:pt idx="142">
                  <c:v>0.81180006850278064</c:v>
                </c:pt>
                <c:pt idx="143">
                  <c:v>0.86100015148978237</c:v>
                </c:pt>
                <c:pt idx="144">
                  <c:v>0.74879969295410476</c:v>
                </c:pt>
                <c:pt idx="145">
                  <c:v>0.74100003845763895</c:v>
                </c:pt>
                <c:pt idx="146">
                  <c:v>0.77900019715201807</c:v>
                </c:pt>
                <c:pt idx="147">
                  <c:v>0.778999648626991</c:v>
                </c:pt>
                <c:pt idx="148">
                  <c:v>0.82819996027624287</c:v>
                </c:pt>
                <c:pt idx="149">
                  <c:v>0.80360004027945786</c:v>
                </c:pt>
                <c:pt idx="150">
                  <c:v>0.81180000387865803</c:v>
                </c:pt>
                <c:pt idx="151">
                  <c:v>0.75660015174861195</c:v>
                </c:pt>
                <c:pt idx="152">
                  <c:v>0.78780009846415233</c:v>
                </c:pt>
                <c:pt idx="153">
                  <c:v>0.78720023680404794</c:v>
                </c:pt>
                <c:pt idx="154">
                  <c:v>0.81180001959128845</c:v>
                </c:pt>
                <c:pt idx="155">
                  <c:v>0.81179993713953658</c:v>
                </c:pt>
                <c:pt idx="156">
                  <c:v>0.83639994496575365</c:v>
                </c:pt>
                <c:pt idx="157">
                  <c:v>0.84459949472618889</c:v>
                </c:pt>
                <c:pt idx="158">
                  <c:v>0.7409999517152257</c:v>
                </c:pt>
                <c:pt idx="159">
                  <c:v>0.76440011832819166</c:v>
                </c:pt>
                <c:pt idx="160">
                  <c:v>0.79540014178060903</c:v>
                </c:pt>
                <c:pt idx="161">
                  <c:v>0.77900015524246669</c:v>
                </c:pt>
                <c:pt idx="162">
                  <c:v>0.77900001672411312</c:v>
                </c:pt>
                <c:pt idx="163">
                  <c:v>0.85280034864222176</c:v>
                </c:pt>
                <c:pt idx="164">
                  <c:v>0.77899973052300386</c:v>
                </c:pt>
                <c:pt idx="165">
                  <c:v>0.76439979113775902</c:v>
                </c:pt>
                <c:pt idx="166">
                  <c:v>0.79559977499648427</c:v>
                </c:pt>
                <c:pt idx="167">
                  <c:v>0.84460017434303392</c:v>
                </c:pt>
                <c:pt idx="168">
                  <c:v>0.795399812275986</c:v>
                </c:pt>
                <c:pt idx="169">
                  <c:v>0.85280028422268062</c:v>
                </c:pt>
                <c:pt idx="170">
                  <c:v>0.84460000438711946</c:v>
                </c:pt>
                <c:pt idx="171">
                  <c:v>0.82819987838146936</c:v>
                </c:pt>
                <c:pt idx="172">
                  <c:v>0.74099962473027492</c:v>
                </c:pt>
                <c:pt idx="173">
                  <c:v>0.80340016193549169</c:v>
                </c:pt>
                <c:pt idx="174">
                  <c:v>0.8445999780959943</c:v>
                </c:pt>
                <c:pt idx="175">
                  <c:v>0.77900032592207769</c:v>
                </c:pt>
                <c:pt idx="176">
                  <c:v>0.81999972757813244</c:v>
                </c:pt>
                <c:pt idx="177">
                  <c:v>0.78720007141156867</c:v>
                </c:pt>
                <c:pt idx="178">
                  <c:v>0.84459983821893003</c:v>
                </c:pt>
                <c:pt idx="179">
                  <c:v>0.75659998119071525</c:v>
                </c:pt>
                <c:pt idx="180">
                  <c:v>0.81899992257964616</c:v>
                </c:pt>
                <c:pt idx="181">
                  <c:v>0.82000010110188415</c:v>
                </c:pt>
                <c:pt idx="182">
                  <c:v>0.82820022927015668</c:v>
                </c:pt>
                <c:pt idx="183">
                  <c:v>0.8446003898635478</c:v>
                </c:pt>
                <c:pt idx="184">
                  <c:v>0.81999972049268632</c:v>
                </c:pt>
                <c:pt idx="185">
                  <c:v>0.80360017280829477</c:v>
                </c:pt>
                <c:pt idx="186">
                  <c:v>0.80339967209188035</c:v>
                </c:pt>
                <c:pt idx="187">
                  <c:v>0.76440011745735736</c:v>
                </c:pt>
                <c:pt idx="188">
                  <c:v>0.83639998437154062</c:v>
                </c:pt>
                <c:pt idx="189">
                  <c:v>0.81999947809928619</c:v>
                </c:pt>
                <c:pt idx="190">
                  <c:v>0.82820005728992274</c:v>
                </c:pt>
                <c:pt idx="191">
                  <c:v>0.83639961967637511</c:v>
                </c:pt>
                <c:pt idx="192">
                  <c:v>0.86100015577191236</c:v>
                </c:pt>
                <c:pt idx="193">
                  <c:v>0.79560005440350179</c:v>
                </c:pt>
                <c:pt idx="194">
                  <c:v>0.79559988569525597</c:v>
                </c:pt>
                <c:pt idx="195">
                  <c:v>0.8118002358021712</c:v>
                </c:pt>
                <c:pt idx="196">
                  <c:v>0.83640055397760615</c:v>
                </c:pt>
                <c:pt idx="197">
                  <c:v>0.82820015715776318</c:v>
                </c:pt>
                <c:pt idx="198">
                  <c:v>0.85279994808902737</c:v>
                </c:pt>
                <c:pt idx="199">
                  <c:v>0.83640008523428211</c:v>
                </c:pt>
                <c:pt idx="200">
                  <c:v>0.803399900943085</c:v>
                </c:pt>
                <c:pt idx="201">
                  <c:v>0.80339997497498794</c:v>
                </c:pt>
                <c:pt idx="202">
                  <c:v>0.82819984592780227</c:v>
                </c:pt>
                <c:pt idx="203">
                  <c:v>0.77899966247013397</c:v>
                </c:pt>
                <c:pt idx="204">
                  <c:v>0.84460042107181321</c:v>
                </c:pt>
                <c:pt idx="205">
                  <c:v>0.8200002656934694</c:v>
                </c:pt>
                <c:pt idx="206">
                  <c:v>0.79540032549382522</c:v>
                </c:pt>
                <c:pt idx="207">
                  <c:v>0.78779985382937356</c:v>
                </c:pt>
                <c:pt idx="208">
                  <c:v>0.8190003407783456</c:v>
                </c:pt>
                <c:pt idx="209">
                  <c:v>0.83640015387262212</c:v>
                </c:pt>
                <c:pt idx="210">
                  <c:v>0.85279998532043788</c:v>
                </c:pt>
                <c:pt idx="211">
                  <c:v>0.86099974800864976</c:v>
                </c:pt>
                <c:pt idx="212">
                  <c:v>0.86099997542664763</c:v>
                </c:pt>
                <c:pt idx="213">
                  <c:v>0.83639964101146724</c:v>
                </c:pt>
                <c:pt idx="214">
                  <c:v>0.79559995214524992</c:v>
                </c:pt>
                <c:pt idx="215">
                  <c:v>0.81119995976907833</c:v>
                </c:pt>
                <c:pt idx="216">
                  <c:v>0.77900012436103883</c:v>
                </c:pt>
                <c:pt idx="217">
                  <c:v>0.79540002344268912</c:v>
                </c:pt>
                <c:pt idx="218">
                  <c:v>0.79539985893258991</c:v>
                </c:pt>
                <c:pt idx="219">
                  <c:v>0.8117995676184937</c:v>
                </c:pt>
                <c:pt idx="220">
                  <c:v>0.84459999591363466</c:v>
                </c:pt>
                <c:pt idx="221">
                  <c:v>0.81119990252821728</c:v>
                </c:pt>
                <c:pt idx="222">
                  <c:v>0.74099989162325142</c:v>
                </c:pt>
                <c:pt idx="223">
                  <c:v>0.86100039215604907</c:v>
                </c:pt>
                <c:pt idx="224">
                  <c:v>0.86099995741677238</c:v>
                </c:pt>
                <c:pt idx="225">
                  <c:v>0.86100020816456213</c:v>
                </c:pt>
                <c:pt idx="226">
                  <c:v>0.8035995575755287</c:v>
                </c:pt>
                <c:pt idx="227">
                  <c:v>0.79539993611900839</c:v>
                </c:pt>
                <c:pt idx="228">
                  <c:v>0.78780011079317225</c:v>
                </c:pt>
                <c:pt idx="229">
                  <c:v>0.77999991126364998</c:v>
                </c:pt>
                <c:pt idx="230">
                  <c:v>0.80359986343817846</c:v>
                </c:pt>
                <c:pt idx="231">
                  <c:v>0.81179959717908734</c:v>
                </c:pt>
                <c:pt idx="232">
                  <c:v>0.8445996882067387</c:v>
                </c:pt>
                <c:pt idx="233">
                  <c:v>0.86100006739915325</c:v>
                </c:pt>
                <c:pt idx="234">
                  <c:v>0.85280034737070642</c:v>
                </c:pt>
                <c:pt idx="235">
                  <c:v>0.77220020277492463</c:v>
                </c:pt>
                <c:pt idx="236">
                  <c:v>0.78000001748074499</c:v>
                </c:pt>
                <c:pt idx="237">
                  <c:v>0.80359977271843164</c:v>
                </c:pt>
                <c:pt idx="238">
                  <c:v>0.79539957266434791</c:v>
                </c:pt>
                <c:pt idx="239">
                  <c:v>0.83639982743429764</c:v>
                </c:pt>
                <c:pt idx="240">
                  <c:v>0.83639978554195338</c:v>
                </c:pt>
                <c:pt idx="241">
                  <c:v>0.79539970265136961</c:v>
                </c:pt>
                <c:pt idx="242">
                  <c:v>0.76440006616917255</c:v>
                </c:pt>
                <c:pt idx="243">
                  <c:v>0.74879989611949505</c:v>
                </c:pt>
                <c:pt idx="244">
                  <c:v>0.78720029144104153</c:v>
                </c:pt>
                <c:pt idx="245">
                  <c:v>0.77899985627824531</c:v>
                </c:pt>
                <c:pt idx="246">
                  <c:v>0.83639957543849119</c:v>
                </c:pt>
                <c:pt idx="247">
                  <c:v>0.80360036589287742</c:v>
                </c:pt>
                <c:pt idx="248">
                  <c:v>0.84459935369802874</c:v>
                </c:pt>
                <c:pt idx="249">
                  <c:v>0.74099969879666805</c:v>
                </c:pt>
                <c:pt idx="250">
                  <c:v>0.79560015745522372</c:v>
                </c:pt>
                <c:pt idx="251">
                  <c:v>0.83640003369806182</c:v>
                </c:pt>
                <c:pt idx="252">
                  <c:v>0.7872001710841261</c:v>
                </c:pt>
                <c:pt idx="253">
                  <c:v>0.82819975847995231</c:v>
                </c:pt>
                <c:pt idx="254">
                  <c:v>0.852800098980243</c:v>
                </c:pt>
                <c:pt idx="255">
                  <c:v>0.84460015720283266</c:v>
                </c:pt>
                <c:pt idx="256">
                  <c:v>0.74100054261668924</c:v>
                </c:pt>
                <c:pt idx="257">
                  <c:v>0.79559992321311956</c:v>
                </c:pt>
                <c:pt idx="258">
                  <c:v>0.80359947956331457</c:v>
                </c:pt>
                <c:pt idx="259">
                  <c:v>0.86099984827795484</c:v>
                </c:pt>
                <c:pt idx="260">
                  <c:v>0.79540028902887894</c:v>
                </c:pt>
                <c:pt idx="261">
                  <c:v>0.81999993487908673</c:v>
                </c:pt>
                <c:pt idx="262">
                  <c:v>0.8199999070648627</c:v>
                </c:pt>
                <c:pt idx="263">
                  <c:v>0.74880007644541036</c:v>
                </c:pt>
                <c:pt idx="264">
                  <c:v>0.78780002522978465</c:v>
                </c:pt>
                <c:pt idx="265">
                  <c:v>0.80360025916493061</c:v>
                </c:pt>
                <c:pt idx="266">
                  <c:v>0.82819967034796671</c:v>
                </c:pt>
                <c:pt idx="267">
                  <c:v>0.80360023031583716</c:v>
                </c:pt>
                <c:pt idx="268">
                  <c:v>0.81179965168423418</c:v>
                </c:pt>
                <c:pt idx="269">
                  <c:v>0.81179947442785039</c:v>
                </c:pt>
                <c:pt idx="270">
                  <c:v>0.74100015122452068</c:v>
                </c:pt>
                <c:pt idx="271">
                  <c:v>0.80339986356195692</c:v>
                </c:pt>
                <c:pt idx="272">
                  <c:v>0.79539997309850519</c:v>
                </c:pt>
                <c:pt idx="273">
                  <c:v>0.79539979206951783</c:v>
                </c:pt>
                <c:pt idx="274">
                  <c:v>0.7871997515444672</c:v>
                </c:pt>
                <c:pt idx="275">
                  <c:v>0.83640008623647932</c:v>
                </c:pt>
                <c:pt idx="276">
                  <c:v>0.78719998435581584</c:v>
                </c:pt>
                <c:pt idx="277">
                  <c:v>0.75659995702866045</c:v>
                </c:pt>
                <c:pt idx="278">
                  <c:v>0.79559984507618098</c:v>
                </c:pt>
                <c:pt idx="279">
                  <c:v>0.84460011510830169</c:v>
                </c:pt>
                <c:pt idx="280">
                  <c:v>0.77899992825708242</c:v>
                </c:pt>
                <c:pt idx="281">
                  <c:v>0.84460021006075381</c:v>
                </c:pt>
                <c:pt idx="282">
                  <c:v>0.80359959993355989</c:v>
                </c:pt>
                <c:pt idx="283">
                  <c:v>0.80360009552708112</c:v>
                </c:pt>
                <c:pt idx="284">
                  <c:v>0.81120010490608485</c:v>
                </c:pt>
                <c:pt idx="285">
                  <c:v>0.80339986562098609</c:v>
                </c:pt>
                <c:pt idx="286">
                  <c:v>0.78720046060783988</c:v>
                </c:pt>
                <c:pt idx="287">
                  <c:v>0.79540021828419583</c:v>
                </c:pt>
                <c:pt idx="288">
                  <c:v>0.79540001629518109</c:v>
                </c:pt>
                <c:pt idx="289">
                  <c:v>0.79539988273350593</c:v>
                </c:pt>
                <c:pt idx="290">
                  <c:v>0.84460000178687433</c:v>
                </c:pt>
                <c:pt idx="291">
                  <c:v>0.76439977740518561</c:v>
                </c:pt>
                <c:pt idx="292">
                  <c:v>0.81899989126626471</c:v>
                </c:pt>
                <c:pt idx="293">
                  <c:v>0.83639981218519999</c:v>
                </c:pt>
                <c:pt idx="294">
                  <c:v>0.86100053552302747</c:v>
                </c:pt>
                <c:pt idx="295">
                  <c:v>0.84459994567234298</c:v>
                </c:pt>
                <c:pt idx="296">
                  <c:v>0.7871999172807489</c:v>
                </c:pt>
                <c:pt idx="297">
                  <c:v>0.78719984504279561</c:v>
                </c:pt>
                <c:pt idx="298">
                  <c:v>0.76440018223217021</c:v>
                </c:pt>
                <c:pt idx="299">
                  <c:v>0.74880003861037903</c:v>
                </c:pt>
                <c:pt idx="300">
                  <c:v>0.82000002683972928</c:v>
                </c:pt>
                <c:pt idx="301">
                  <c:v>0.81999990213396878</c:v>
                </c:pt>
                <c:pt idx="302">
                  <c:v>0.84459997668039255</c:v>
                </c:pt>
                <c:pt idx="303">
                  <c:v>0.80359949382821683</c:v>
                </c:pt>
                <c:pt idx="304">
                  <c:v>0.80359983913029187</c:v>
                </c:pt>
                <c:pt idx="305">
                  <c:v>0.75660008732794659</c:v>
                </c:pt>
                <c:pt idx="306">
                  <c:v>0.76440008385246416</c:v>
                </c:pt>
                <c:pt idx="307">
                  <c:v>0.78719934953563986</c:v>
                </c:pt>
                <c:pt idx="308">
                  <c:v>0.80359987236758135</c:v>
                </c:pt>
                <c:pt idx="309">
                  <c:v>0.79540005091134036</c:v>
                </c:pt>
                <c:pt idx="310">
                  <c:v>0.81180019308259455</c:v>
                </c:pt>
                <c:pt idx="311">
                  <c:v>0.85280000110693854</c:v>
                </c:pt>
                <c:pt idx="312">
                  <c:v>0.80339994576923635</c:v>
                </c:pt>
                <c:pt idx="313">
                  <c:v>0.74879990870471125</c:v>
                </c:pt>
                <c:pt idx="314">
                  <c:v>0.79539963089289833</c:v>
                </c:pt>
                <c:pt idx="315">
                  <c:v>0.79539964404854069</c:v>
                </c:pt>
                <c:pt idx="316">
                  <c:v>0.77899993421748848</c:v>
                </c:pt>
                <c:pt idx="317">
                  <c:v>0.82820015587316587</c:v>
                </c:pt>
                <c:pt idx="318">
                  <c:v>0.84459989514731038</c:v>
                </c:pt>
                <c:pt idx="319">
                  <c:v>0.77220002635551188</c:v>
                </c:pt>
                <c:pt idx="320">
                  <c:v>0.77220055913214214</c:v>
                </c:pt>
                <c:pt idx="321">
                  <c:v>0.8282002760737589</c:v>
                </c:pt>
                <c:pt idx="322">
                  <c:v>0.778999499938549</c:v>
                </c:pt>
                <c:pt idx="323">
                  <c:v>0.81179995524807302</c:v>
                </c:pt>
                <c:pt idx="324">
                  <c:v>0.78720029618850795</c:v>
                </c:pt>
                <c:pt idx="325">
                  <c:v>0.86099962172060973</c:v>
                </c:pt>
                <c:pt idx="326">
                  <c:v>0.76440012371481858</c:v>
                </c:pt>
                <c:pt idx="327">
                  <c:v>0.75659980941665428</c:v>
                </c:pt>
                <c:pt idx="328">
                  <c:v>0.80359984528189254</c:v>
                </c:pt>
                <c:pt idx="329">
                  <c:v>0.82819983563507826</c:v>
                </c:pt>
                <c:pt idx="330">
                  <c:v>0.77899982536670098</c:v>
                </c:pt>
                <c:pt idx="331">
                  <c:v>0.8527995102379361</c:v>
                </c:pt>
                <c:pt idx="332">
                  <c:v>0.86100038429234993</c:v>
                </c:pt>
                <c:pt idx="333">
                  <c:v>0.74879976361376321</c:v>
                </c:pt>
                <c:pt idx="334">
                  <c:v>0.81120019181734293</c:v>
                </c:pt>
                <c:pt idx="335">
                  <c:v>0.82819968320499993</c:v>
                </c:pt>
                <c:pt idx="336">
                  <c:v>0.81179981471825535</c:v>
                </c:pt>
                <c:pt idx="337">
                  <c:v>0.84459995954078793</c:v>
                </c:pt>
                <c:pt idx="338">
                  <c:v>0.79539979874820266</c:v>
                </c:pt>
                <c:pt idx="339">
                  <c:v>0.8445995990808689</c:v>
                </c:pt>
                <c:pt idx="340">
                  <c:v>0.77219986648369987</c:v>
                </c:pt>
                <c:pt idx="341">
                  <c:v>0.78000018154204676</c:v>
                </c:pt>
                <c:pt idx="342">
                  <c:v>0.78719956313882733</c:v>
                </c:pt>
                <c:pt idx="343">
                  <c:v>0.81179997819052285</c:v>
                </c:pt>
                <c:pt idx="344">
                  <c:v>0.79540032549382522</c:v>
                </c:pt>
                <c:pt idx="345">
                  <c:v>0.81999963144400834</c:v>
                </c:pt>
                <c:pt idx="346">
                  <c:v>0.78720012996624489</c:v>
                </c:pt>
                <c:pt idx="347">
                  <c:v>0.80339975497261462</c:v>
                </c:pt>
                <c:pt idx="348">
                  <c:v>0.76439988415550741</c:v>
                </c:pt>
                <c:pt idx="349">
                  <c:v>0.83640016993908828</c:v>
                </c:pt>
                <c:pt idx="350">
                  <c:v>0.7871996612769403</c:v>
                </c:pt>
                <c:pt idx="351">
                  <c:v>0.8036000267855411</c:v>
                </c:pt>
                <c:pt idx="352">
                  <c:v>0.80359965021277835</c:v>
                </c:pt>
                <c:pt idx="353">
                  <c:v>0.8609997063388849</c:v>
                </c:pt>
                <c:pt idx="354">
                  <c:v>0.7643996479141969</c:v>
                </c:pt>
                <c:pt idx="355">
                  <c:v>0.79560017400817007</c:v>
                </c:pt>
                <c:pt idx="356">
                  <c:v>0.83640012330068381</c:v>
                </c:pt>
                <c:pt idx="357">
                  <c:v>0.83639963184021249</c:v>
                </c:pt>
                <c:pt idx="358">
                  <c:v>0.79539987840531479</c:v>
                </c:pt>
                <c:pt idx="359">
                  <c:v>0.78720005446371477</c:v>
                </c:pt>
                <c:pt idx="360">
                  <c:v>0.80359995458632127</c:v>
                </c:pt>
                <c:pt idx="361">
                  <c:v>0.80340026923379226</c:v>
                </c:pt>
                <c:pt idx="362">
                  <c:v>0.75659961937806475</c:v>
                </c:pt>
                <c:pt idx="363">
                  <c:v>0.82819988147867707</c:v>
                </c:pt>
                <c:pt idx="364">
                  <c:v>0.86100028092128778</c:v>
                </c:pt>
                <c:pt idx="365">
                  <c:v>0.84460011690776982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B-435B-B66E-9D2D02C5E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484895"/>
        <c:axId val="1438482975"/>
      </c:lineChart>
      <c:dateAx>
        <c:axId val="14384848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82975"/>
        <c:crosses val="autoZero"/>
        <c:auto val="1"/>
        <c:lblOffset val="100"/>
        <c:baseTimeUnit val="days"/>
      </c:dateAx>
      <c:valAx>
        <c:axId val="143848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8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1815</xdr:colOff>
      <xdr:row>5</xdr:row>
      <xdr:rowOff>8376</xdr:rowOff>
    </xdr:from>
    <xdr:to>
      <xdr:col>18</xdr:col>
      <xdr:colOff>1796143</xdr:colOff>
      <xdr:row>21</xdr:row>
      <xdr:rowOff>26520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0006272-56F2-3811-F19A-D614FA9E9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539748</xdr:colOff>
      <xdr:row>4</xdr:row>
      <xdr:rowOff>197758</xdr:rowOff>
    </xdr:from>
    <xdr:to>
      <xdr:col>26</xdr:col>
      <xdr:colOff>27214</xdr:colOff>
      <xdr:row>20</xdr:row>
      <xdr:rowOff>181429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92B018E-A149-F5CA-1D57-372CCF5FB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12369</xdr:colOff>
      <xdr:row>22</xdr:row>
      <xdr:rowOff>11379</xdr:rowOff>
    </xdr:from>
    <xdr:to>
      <xdr:col>18</xdr:col>
      <xdr:colOff>1787072</xdr:colOff>
      <xdr:row>38</xdr:row>
      <xdr:rowOff>9070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D3A3748-F791-4039-96E8-AFD35576D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560160</xdr:colOff>
      <xdr:row>22</xdr:row>
      <xdr:rowOff>20864</xdr:rowOff>
    </xdr:from>
    <xdr:to>
      <xdr:col>26</xdr:col>
      <xdr:colOff>0</xdr:colOff>
      <xdr:row>37</xdr:row>
      <xdr:rowOff>181428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9C2CE50-9235-27FC-BCE9-76EAD7D2D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15874</xdr:colOff>
      <xdr:row>39</xdr:row>
      <xdr:rowOff>184149</xdr:rowOff>
    </xdr:from>
    <xdr:to>
      <xdr:col>18</xdr:col>
      <xdr:colOff>1796143</xdr:colOff>
      <xdr:row>56</xdr:row>
      <xdr:rowOff>9071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322293D-82A1-8E70-2C28-E630E7CE4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13606</xdr:colOff>
      <xdr:row>40</xdr:row>
      <xdr:rowOff>11793</xdr:rowOff>
    </xdr:from>
    <xdr:to>
      <xdr:col>26</xdr:col>
      <xdr:colOff>9071</xdr:colOff>
      <xdr:row>56</xdr:row>
      <xdr:rowOff>9071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58D6B93-5AD4-313C-1ABD-0298F0BC2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k kumar patel" refreshedDate="45590.830825694444" createdVersion="8" refreshedVersion="8" minRefreshableVersion="3" recordCount="366" xr:uid="{1D21EEE9-759D-4E31-AA32-E9BBED67B7D0}">
  <cacheSource type="worksheet">
    <worksheetSource ref="B2:J368" sheet="Supporting Data"/>
  </cacheSource>
  <cacheFields count="10">
    <cacheField name="Date" numFmtId="14">
      <sharedItems containsSemiMixedTypes="0" containsNonDate="0" containsDate="1" containsString="0" minDate="2019-01-01T00:00:00" maxDate="2020-01-02T00:00:00" count="366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</sharedItems>
      <fieldGroup par="9"/>
    </cacheField>
    <cacheField name="Count of restaurants" numFmtId="0">
      <sharedItems containsSemiMixedTypes="0" containsString="0" containsNumber="1" containsInteger="1" minValue="274777" maxValue="410264"/>
    </cacheField>
    <cacheField name="Average Discount" numFmtId="9">
      <sharedItems containsSemiMixedTypes="0" containsString="0" containsNumber="1" minValue="0.1" maxValue="0.28999999999999998"/>
    </cacheField>
    <cacheField name="Out of stock Items per restaurant" numFmtId="0">
      <sharedItems containsSemiMixedTypes="0" containsString="0" containsNumber="1" containsInteger="1" minValue="30" maxValue="112"/>
    </cacheField>
    <cacheField name="Avearge Packaging charges" numFmtId="0">
      <sharedItems containsSemiMixedTypes="0" containsString="0" containsNumber="1" containsInteger="1" minValue="17" maxValue="29"/>
    </cacheField>
    <cacheField name="Average Delivery Charges" numFmtId="0">
      <sharedItems containsSemiMixedTypes="0" containsString="0" containsNumber="1" containsInteger="1" minValue="25" maxValue="56"/>
    </cacheField>
    <cacheField name="Avg Cost for two" numFmtId="0">
      <sharedItems containsSemiMixedTypes="0" containsString="0" containsNumber="1" containsInteger="1" minValue="350" maxValue="458"/>
    </cacheField>
    <cacheField name="Number of images per restaurant" numFmtId="0">
      <sharedItems containsSemiMixedTypes="0" containsString="0" containsNumber="1" containsInteger="1" minValue="15" maxValue="40"/>
    </cacheField>
    <cacheField name="Success Rate of payments" numFmtId="9">
      <sharedItems containsSemiMixedTypes="0" containsString="0" containsNumber="1" minValue="0.65" maxValue="0.95"/>
    </cacheField>
    <cacheField name="Days (Date)" numFmtId="0" databaseField="0">
      <fieldGroup base="0">
        <rangePr groupBy="days" startDate="2019-01-01T00:00:00" endDate="2020-01-02T00:00:00" groupInterval="7"/>
        <groupItems count="55">
          <s v="&lt;1/1/2019"/>
          <s v="1/1/2019 - 1/7/2019"/>
          <s v="1/8/2019 - 1/14/2019"/>
          <s v="1/15/2019 - 1/21/2019"/>
          <s v="1/22/2019 - 1/28/2019"/>
          <s v="1/29/2019 - 2/4/2019"/>
          <s v="2/5/2019 - 2/11/2019"/>
          <s v="2/12/2019 - 2/18/2019"/>
          <s v="2/19/2019 - 2/25/2019"/>
          <s v="2/26/2019 - 3/4/2019"/>
          <s v="3/5/2019 - 3/11/2019"/>
          <s v="3/12/2019 - 3/18/2019"/>
          <s v="3/19/2019 - 3/25/2019"/>
          <s v="3/26/2019 - 4/1/2019"/>
          <s v="4/2/2019 - 4/8/2019"/>
          <s v="4/9/2019 - 4/15/2019"/>
          <s v="4/16/2019 - 4/22/2019"/>
          <s v="4/23/2019 - 4/29/2019"/>
          <s v="4/30/2019 - 5/6/2019"/>
          <s v="5/7/2019 - 5/13/2019"/>
          <s v="5/14/2019 - 5/20/2019"/>
          <s v="5/21/2019 - 5/27/2019"/>
          <s v="5/28/2019 - 6/3/2019"/>
          <s v="6/4/2019 - 6/10/2019"/>
          <s v="6/11/2019 - 6/17/2019"/>
          <s v="6/18/2019 - 6/24/2019"/>
          <s v="6/25/2019 - 7/1/2019"/>
          <s v="7/2/2019 - 7/8/2019"/>
          <s v="7/9/2019 - 7/15/2019"/>
          <s v="7/16/2019 - 7/22/2019"/>
          <s v="7/23/2019 - 7/29/2019"/>
          <s v="7/30/2019 - 8/5/2019"/>
          <s v="8/6/2019 - 8/12/2019"/>
          <s v="8/13/2019 - 8/19/2019"/>
          <s v="8/20/2019 - 8/26/2019"/>
          <s v="8/27/2019 - 9/2/2019"/>
          <s v="9/3/2019 - 9/9/2019"/>
          <s v="9/10/2019 - 9/16/2019"/>
          <s v="9/17/2019 - 9/23/2019"/>
          <s v="9/24/2019 - 9/30/2019"/>
          <s v="10/1/2019 - 10/7/2019"/>
          <s v="10/8/2019 - 10/14/2019"/>
          <s v="10/15/2019 - 10/21/2019"/>
          <s v="10/22/2019 - 10/28/2019"/>
          <s v="10/29/2019 - 11/4/2019"/>
          <s v="11/5/2019 - 11/11/2019"/>
          <s v="11/12/2019 - 11/18/2019"/>
          <s v="11/19/2019 - 11/25/2019"/>
          <s v="11/26/2019 - 12/2/2019"/>
          <s v="12/3/2019 - 12/9/2019"/>
          <s v="12/10/2019 - 12/16/2019"/>
          <s v="12/17/2019 - 12/23/2019"/>
          <s v="12/24/2019 - 12/30/2019"/>
          <s v="12/31/2019 - 1/2/2020"/>
          <s v="&gt;1/2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n v="385075"/>
    <n v="0.17"/>
    <n v="37"/>
    <n v="22"/>
    <n v="26"/>
    <n v="364"/>
    <n v="32"/>
    <n v="0.95"/>
  </r>
  <r>
    <x v="1"/>
    <n v="388232"/>
    <n v="0.19"/>
    <n v="31"/>
    <n v="17"/>
    <n v="28"/>
    <n v="360"/>
    <n v="35"/>
    <n v="0.95"/>
  </r>
  <r>
    <x v="2"/>
    <n v="399964"/>
    <n v="0.18"/>
    <n v="30"/>
    <n v="22"/>
    <n v="29"/>
    <n v="370"/>
    <n v="31"/>
    <n v="0.94"/>
  </r>
  <r>
    <x v="3"/>
    <n v="408471"/>
    <n v="0.17"/>
    <n v="30"/>
    <n v="19"/>
    <n v="26"/>
    <n v="386"/>
    <n v="40"/>
    <n v="0.94"/>
  </r>
  <r>
    <x v="4"/>
    <n v="384771"/>
    <n v="0.19"/>
    <n v="31"/>
    <n v="22"/>
    <n v="27"/>
    <n v="390"/>
    <n v="33"/>
    <n v="0.92"/>
  </r>
  <r>
    <x v="5"/>
    <n v="390787"/>
    <n v="0.19"/>
    <n v="33"/>
    <n v="18"/>
    <n v="26"/>
    <n v="360"/>
    <n v="36"/>
    <n v="0.93"/>
  </r>
  <r>
    <x v="6"/>
    <n v="388351"/>
    <n v="0.18"/>
    <n v="36"/>
    <n v="19"/>
    <n v="30"/>
    <n v="381"/>
    <n v="34"/>
    <n v="0.93"/>
  </r>
  <r>
    <x v="7"/>
    <n v="387624"/>
    <n v="0.17"/>
    <n v="39"/>
    <n v="22"/>
    <n v="25"/>
    <n v="359"/>
    <n v="37"/>
    <n v="0.95"/>
  </r>
  <r>
    <x v="8"/>
    <n v="399127"/>
    <n v="0.18"/>
    <n v="40"/>
    <n v="22"/>
    <n v="30"/>
    <n v="359"/>
    <n v="38"/>
    <n v="0.93"/>
  </r>
  <r>
    <x v="9"/>
    <n v="400812"/>
    <n v="0.19"/>
    <n v="32"/>
    <n v="22"/>
    <n v="27"/>
    <n v="399"/>
    <n v="34"/>
    <n v="0.92"/>
  </r>
  <r>
    <x v="10"/>
    <n v="382806"/>
    <n v="0.19"/>
    <n v="36"/>
    <n v="17"/>
    <n v="26"/>
    <n v="392"/>
    <n v="38"/>
    <n v="0.91"/>
  </r>
  <r>
    <x v="11"/>
    <n v="406488"/>
    <n v="0.18"/>
    <n v="37"/>
    <n v="21"/>
    <n v="30"/>
    <n v="363"/>
    <n v="33"/>
    <n v="0.95"/>
  </r>
  <r>
    <x v="12"/>
    <n v="402450"/>
    <n v="0.17"/>
    <n v="34"/>
    <n v="20"/>
    <n v="28"/>
    <n v="390"/>
    <n v="37"/>
    <n v="0.92"/>
  </r>
  <r>
    <x v="13"/>
    <n v="392554"/>
    <n v="0.19"/>
    <n v="36"/>
    <n v="21"/>
    <n v="27"/>
    <n v="395"/>
    <n v="31"/>
    <n v="0.94"/>
  </r>
  <r>
    <x v="14"/>
    <n v="407211"/>
    <n v="0.17"/>
    <n v="36"/>
    <n v="19"/>
    <n v="29"/>
    <n v="362"/>
    <n v="32"/>
    <n v="0.91"/>
  </r>
  <r>
    <x v="15"/>
    <n v="404264"/>
    <n v="0.18"/>
    <n v="30"/>
    <n v="18"/>
    <n v="25"/>
    <n v="382"/>
    <n v="31"/>
    <n v="0.91"/>
  </r>
  <r>
    <x v="16"/>
    <n v="404417"/>
    <n v="0.17"/>
    <n v="36"/>
    <n v="19"/>
    <n v="26"/>
    <n v="365"/>
    <n v="31"/>
    <n v="0.95"/>
  </r>
  <r>
    <x v="17"/>
    <n v="404715"/>
    <n v="0.18"/>
    <n v="31"/>
    <n v="20"/>
    <n v="25"/>
    <n v="374"/>
    <n v="33"/>
    <n v="0.91"/>
  </r>
  <r>
    <x v="18"/>
    <n v="409719"/>
    <n v="0.17"/>
    <n v="37"/>
    <n v="19"/>
    <n v="27"/>
    <n v="384"/>
    <n v="39"/>
    <n v="0.95"/>
  </r>
  <r>
    <x v="19"/>
    <n v="389363"/>
    <n v="0.17"/>
    <n v="40"/>
    <n v="22"/>
    <n v="29"/>
    <n v="364"/>
    <n v="32"/>
    <n v="0.91"/>
  </r>
  <r>
    <x v="20"/>
    <n v="388430"/>
    <n v="0.19"/>
    <n v="39"/>
    <n v="21"/>
    <n v="30"/>
    <n v="389"/>
    <n v="37"/>
    <n v="0.92"/>
  </r>
  <r>
    <x v="21"/>
    <n v="383015"/>
    <n v="0.18"/>
    <n v="35"/>
    <n v="17"/>
    <n v="28"/>
    <n v="379"/>
    <n v="33"/>
    <n v="0.94"/>
  </r>
  <r>
    <x v="22"/>
    <n v="394426"/>
    <n v="0.18"/>
    <n v="36"/>
    <n v="20"/>
    <n v="25"/>
    <n v="395"/>
    <n v="32"/>
    <n v="0.95"/>
  </r>
  <r>
    <x v="23"/>
    <n v="404477"/>
    <n v="0.17"/>
    <n v="33"/>
    <n v="19"/>
    <n v="30"/>
    <n v="383"/>
    <n v="37"/>
    <n v="0.94"/>
  </r>
  <r>
    <x v="24"/>
    <n v="395903"/>
    <n v="0.17"/>
    <n v="32"/>
    <n v="19"/>
    <n v="28"/>
    <n v="365"/>
    <n v="30"/>
    <n v="0.94"/>
  </r>
  <r>
    <x v="25"/>
    <n v="392190"/>
    <n v="0.17"/>
    <n v="37"/>
    <n v="19"/>
    <n v="30"/>
    <n v="352"/>
    <n v="34"/>
    <n v="0.92"/>
  </r>
  <r>
    <x v="26"/>
    <n v="393831"/>
    <n v="0.19"/>
    <n v="30"/>
    <n v="21"/>
    <n v="30"/>
    <n v="390"/>
    <n v="35"/>
    <n v="0.91"/>
  </r>
  <r>
    <x v="27"/>
    <n v="399983"/>
    <n v="0.19"/>
    <n v="40"/>
    <n v="19"/>
    <n v="26"/>
    <n v="370"/>
    <n v="34"/>
    <n v="0.91"/>
  </r>
  <r>
    <x v="28"/>
    <n v="274777"/>
    <n v="0.17"/>
    <n v="31"/>
    <n v="22"/>
    <n v="25"/>
    <n v="376"/>
    <n v="37"/>
    <n v="0.94"/>
  </r>
  <r>
    <x v="29"/>
    <n v="390375"/>
    <n v="0.18"/>
    <n v="37"/>
    <n v="18"/>
    <n v="26"/>
    <n v="366"/>
    <n v="37"/>
    <n v="0.93"/>
  </r>
  <r>
    <x v="30"/>
    <n v="393482"/>
    <n v="0.18"/>
    <n v="38"/>
    <n v="18"/>
    <n v="25"/>
    <n v="354"/>
    <n v="33"/>
    <n v="0.94"/>
  </r>
  <r>
    <x v="31"/>
    <n v="393763"/>
    <n v="0.18"/>
    <n v="34"/>
    <n v="17"/>
    <n v="28"/>
    <n v="394"/>
    <n v="38"/>
    <n v="0.94"/>
  </r>
  <r>
    <x v="32"/>
    <n v="391275"/>
    <n v="0.18"/>
    <n v="33"/>
    <n v="20"/>
    <n v="27"/>
    <n v="350"/>
    <n v="34"/>
    <n v="0.95"/>
  </r>
  <r>
    <x v="33"/>
    <n v="402690"/>
    <n v="0.18"/>
    <n v="30"/>
    <n v="20"/>
    <n v="30"/>
    <n v="357"/>
    <n v="38"/>
    <n v="0.91"/>
  </r>
  <r>
    <x v="34"/>
    <n v="407158"/>
    <n v="0.17"/>
    <n v="39"/>
    <n v="17"/>
    <n v="26"/>
    <n v="370"/>
    <n v="37"/>
    <n v="0.93"/>
  </r>
  <r>
    <x v="35"/>
    <n v="408982"/>
    <n v="0.18"/>
    <n v="30"/>
    <n v="21"/>
    <n v="28"/>
    <n v="371"/>
    <n v="39"/>
    <n v="0.91"/>
  </r>
  <r>
    <x v="36"/>
    <n v="404349"/>
    <n v="0.18"/>
    <n v="40"/>
    <n v="21"/>
    <n v="28"/>
    <n v="350"/>
    <n v="34"/>
    <n v="0.93"/>
  </r>
  <r>
    <x v="37"/>
    <n v="406748"/>
    <n v="0.17"/>
    <n v="30"/>
    <n v="20"/>
    <n v="29"/>
    <n v="359"/>
    <n v="34"/>
    <n v="0.94"/>
  </r>
  <r>
    <x v="38"/>
    <n v="398421"/>
    <n v="0.19"/>
    <n v="37"/>
    <n v="22"/>
    <n v="26"/>
    <n v="378"/>
    <n v="37"/>
    <n v="0.92"/>
  </r>
  <r>
    <x v="39"/>
    <n v="382738"/>
    <n v="0.18"/>
    <n v="34"/>
    <n v="22"/>
    <n v="26"/>
    <n v="353"/>
    <n v="31"/>
    <n v="0.95"/>
  </r>
  <r>
    <x v="40"/>
    <n v="391506"/>
    <n v="0.18"/>
    <n v="38"/>
    <n v="19"/>
    <n v="26"/>
    <n v="387"/>
    <n v="15"/>
    <n v="0.95"/>
  </r>
  <r>
    <x v="41"/>
    <n v="393294"/>
    <n v="0.17"/>
    <n v="33"/>
    <n v="20"/>
    <n v="25"/>
    <n v="375"/>
    <n v="34"/>
    <n v="0.94"/>
  </r>
  <r>
    <x v="42"/>
    <n v="389714"/>
    <n v="0.17"/>
    <n v="39"/>
    <n v="17"/>
    <n v="25"/>
    <n v="354"/>
    <n v="30"/>
    <n v="0.92"/>
  </r>
  <r>
    <x v="43"/>
    <n v="401381"/>
    <n v="0.17"/>
    <n v="32"/>
    <n v="17"/>
    <n v="30"/>
    <n v="357"/>
    <n v="35"/>
    <n v="0.94"/>
  </r>
  <r>
    <x v="44"/>
    <n v="406712"/>
    <n v="0.18"/>
    <n v="40"/>
    <n v="22"/>
    <n v="29"/>
    <n v="359"/>
    <n v="30"/>
    <n v="0.91"/>
  </r>
  <r>
    <x v="45"/>
    <n v="397282"/>
    <n v="0.18"/>
    <n v="34"/>
    <n v="19"/>
    <n v="25"/>
    <n v="370"/>
    <n v="39"/>
    <n v="0.93"/>
  </r>
  <r>
    <x v="46"/>
    <n v="382778"/>
    <n v="0.19"/>
    <n v="33"/>
    <n v="18"/>
    <n v="26"/>
    <n v="361"/>
    <n v="30"/>
    <n v="0.91"/>
  </r>
  <r>
    <x v="47"/>
    <n v="393504"/>
    <n v="0.19"/>
    <n v="31"/>
    <n v="18"/>
    <n v="30"/>
    <n v="374"/>
    <n v="39"/>
    <n v="0.94"/>
  </r>
  <r>
    <x v="48"/>
    <n v="401252"/>
    <n v="0.17"/>
    <n v="36"/>
    <n v="18"/>
    <n v="27"/>
    <n v="395"/>
    <n v="37"/>
    <n v="0.95"/>
  </r>
  <r>
    <x v="49"/>
    <n v="400903"/>
    <n v="0.18"/>
    <n v="35"/>
    <n v="19"/>
    <n v="29"/>
    <n v="350"/>
    <n v="35"/>
    <n v="0.92"/>
  </r>
  <r>
    <x v="50"/>
    <n v="392628"/>
    <n v="0.18"/>
    <n v="32"/>
    <n v="18"/>
    <n v="25"/>
    <n v="378"/>
    <n v="40"/>
    <n v="0.91"/>
  </r>
  <r>
    <x v="51"/>
    <n v="390285"/>
    <n v="0.18"/>
    <n v="36"/>
    <n v="22"/>
    <n v="26"/>
    <n v="373"/>
    <n v="36"/>
    <n v="0.94"/>
  </r>
  <r>
    <x v="52"/>
    <n v="407017"/>
    <n v="0.17"/>
    <n v="30"/>
    <n v="19"/>
    <n v="28"/>
    <n v="395"/>
    <n v="40"/>
    <n v="0.94"/>
  </r>
  <r>
    <x v="53"/>
    <n v="391896"/>
    <n v="0.18"/>
    <n v="35"/>
    <n v="20"/>
    <n v="28"/>
    <n v="360"/>
    <n v="39"/>
    <n v="0.91"/>
  </r>
  <r>
    <x v="54"/>
    <n v="401786"/>
    <n v="0.17"/>
    <n v="38"/>
    <n v="19"/>
    <n v="29"/>
    <n v="389"/>
    <n v="40"/>
    <n v="0.91"/>
  </r>
  <r>
    <x v="55"/>
    <n v="404294"/>
    <n v="0.19"/>
    <n v="34"/>
    <n v="22"/>
    <n v="26"/>
    <n v="397"/>
    <n v="30"/>
    <n v="0.93"/>
  </r>
  <r>
    <x v="56"/>
    <n v="400671"/>
    <n v="0.18"/>
    <n v="33"/>
    <n v="17"/>
    <n v="28"/>
    <n v="369"/>
    <n v="40"/>
    <n v="0.95"/>
  </r>
  <r>
    <x v="57"/>
    <n v="402996"/>
    <n v="0.17"/>
    <n v="38"/>
    <n v="18"/>
    <n v="30"/>
    <n v="375"/>
    <n v="32"/>
    <n v="0.95"/>
  </r>
  <r>
    <x v="58"/>
    <n v="399552"/>
    <n v="0.19"/>
    <n v="30"/>
    <n v="22"/>
    <n v="25"/>
    <n v="377"/>
    <n v="38"/>
    <n v="0.93"/>
  </r>
  <r>
    <x v="59"/>
    <n v="406631"/>
    <n v="0.19"/>
    <n v="34"/>
    <n v="22"/>
    <n v="28"/>
    <n v="382"/>
    <n v="31"/>
    <n v="0.94"/>
  </r>
  <r>
    <x v="60"/>
    <n v="386616"/>
    <n v="0.18"/>
    <n v="40"/>
    <n v="18"/>
    <n v="56"/>
    <n v="399"/>
    <n v="40"/>
    <n v="0.95"/>
  </r>
  <r>
    <x v="61"/>
    <n v="395246"/>
    <n v="0.18"/>
    <n v="32"/>
    <n v="21"/>
    <n v="29"/>
    <n v="355"/>
    <n v="35"/>
    <n v="0.93"/>
  </r>
  <r>
    <x v="62"/>
    <n v="409961"/>
    <n v="0.17"/>
    <n v="31"/>
    <n v="19"/>
    <n v="29"/>
    <n v="372"/>
    <n v="33"/>
    <n v="0.95"/>
  </r>
  <r>
    <x v="63"/>
    <n v="396249"/>
    <n v="0.18"/>
    <n v="35"/>
    <n v="20"/>
    <n v="27"/>
    <n v="367"/>
    <n v="38"/>
    <n v="0.95"/>
  </r>
  <r>
    <x v="64"/>
    <n v="398589"/>
    <n v="0.19"/>
    <n v="39"/>
    <n v="22"/>
    <n v="27"/>
    <n v="354"/>
    <n v="39"/>
    <n v="0.95"/>
  </r>
  <r>
    <x v="65"/>
    <n v="398003"/>
    <n v="0.19"/>
    <n v="31"/>
    <n v="18"/>
    <n v="29"/>
    <n v="350"/>
    <n v="37"/>
    <n v="0.94"/>
  </r>
  <r>
    <x v="66"/>
    <n v="396560"/>
    <n v="0.18"/>
    <n v="30"/>
    <n v="19"/>
    <n v="26"/>
    <n v="381"/>
    <n v="30"/>
    <n v="0.95"/>
  </r>
  <r>
    <x v="67"/>
    <n v="404097"/>
    <n v="0.17"/>
    <n v="33"/>
    <n v="21"/>
    <n v="28"/>
    <n v="386"/>
    <n v="31"/>
    <n v="0.95"/>
  </r>
  <r>
    <x v="68"/>
    <n v="406619"/>
    <n v="0.17"/>
    <n v="33"/>
    <n v="19"/>
    <n v="25"/>
    <n v="354"/>
    <n v="37"/>
    <n v="0.92"/>
  </r>
  <r>
    <x v="69"/>
    <n v="390758"/>
    <n v="0.19"/>
    <n v="35"/>
    <n v="21"/>
    <n v="25"/>
    <n v="378"/>
    <n v="36"/>
    <n v="0.93"/>
  </r>
  <r>
    <x v="70"/>
    <n v="385418"/>
    <n v="0.19"/>
    <n v="30"/>
    <n v="19"/>
    <n v="25"/>
    <n v="357"/>
    <n v="39"/>
    <n v="0.91"/>
  </r>
  <r>
    <x v="71"/>
    <n v="395501"/>
    <n v="0.18"/>
    <n v="31"/>
    <n v="21"/>
    <n v="29"/>
    <n v="378"/>
    <n v="35"/>
    <n v="0.91"/>
  </r>
  <r>
    <x v="72"/>
    <n v="396795"/>
    <n v="0.17"/>
    <n v="34"/>
    <n v="18"/>
    <n v="28"/>
    <n v="372"/>
    <n v="31"/>
    <n v="0.94"/>
  </r>
  <r>
    <x v="73"/>
    <n v="381360"/>
    <n v="0.17"/>
    <n v="34"/>
    <n v="19"/>
    <n v="27"/>
    <n v="395"/>
    <n v="39"/>
    <n v="0.95"/>
  </r>
  <r>
    <x v="74"/>
    <n v="409886"/>
    <n v="0.17"/>
    <n v="40"/>
    <n v="19"/>
    <n v="30"/>
    <n v="356"/>
    <n v="31"/>
    <n v="0.93"/>
  </r>
  <r>
    <x v="75"/>
    <n v="395416"/>
    <n v="0.18"/>
    <n v="36"/>
    <n v="22"/>
    <n v="29"/>
    <n v="382"/>
    <n v="34"/>
    <n v="0.93"/>
  </r>
  <r>
    <x v="76"/>
    <n v="395027"/>
    <n v="0.19"/>
    <n v="30"/>
    <n v="21"/>
    <n v="29"/>
    <n v="375"/>
    <n v="37"/>
    <n v="0.95"/>
  </r>
  <r>
    <x v="77"/>
    <n v="380462"/>
    <n v="0.19"/>
    <n v="37"/>
    <n v="20"/>
    <n v="25"/>
    <n v="400"/>
    <n v="33"/>
    <n v="0.65"/>
  </r>
  <r>
    <x v="78"/>
    <n v="391681"/>
    <n v="0.18"/>
    <n v="38"/>
    <n v="21"/>
    <n v="29"/>
    <n v="383"/>
    <n v="36"/>
    <n v="0.93"/>
  </r>
  <r>
    <x v="79"/>
    <n v="382856"/>
    <n v="0.19"/>
    <n v="36"/>
    <n v="18"/>
    <n v="28"/>
    <n v="379"/>
    <n v="39"/>
    <n v="0.95"/>
  </r>
  <r>
    <x v="80"/>
    <n v="395181"/>
    <n v="0.17"/>
    <n v="40"/>
    <n v="17"/>
    <n v="27"/>
    <n v="379"/>
    <n v="32"/>
    <n v="0.95"/>
  </r>
  <r>
    <x v="81"/>
    <n v="397192"/>
    <n v="0.17"/>
    <n v="38"/>
    <n v="20"/>
    <n v="30"/>
    <n v="386"/>
    <n v="34"/>
    <n v="0.92"/>
  </r>
  <r>
    <x v="82"/>
    <n v="401966"/>
    <n v="0.17"/>
    <n v="38"/>
    <n v="20"/>
    <n v="26"/>
    <n v="350"/>
    <n v="40"/>
    <n v="0.91"/>
  </r>
  <r>
    <x v="83"/>
    <n v="382312"/>
    <n v="0.19"/>
    <n v="31"/>
    <n v="22"/>
    <n v="27"/>
    <n v="390"/>
    <n v="32"/>
    <n v="0.92"/>
  </r>
  <r>
    <x v="84"/>
    <n v="395869"/>
    <n v="0.17"/>
    <n v="39"/>
    <n v="18"/>
    <n v="25"/>
    <n v="366"/>
    <n v="36"/>
    <n v="0.94"/>
  </r>
  <r>
    <x v="85"/>
    <n v="408200"/>
    <n v="0.19"/>
    <n v="35"/>
    <n v="17"/>
    <n v="28"/>
    <n v="384"/>
    <n v="35"/>
    <n v="0.93"/>
  </r>
  <r>
    <x v="86"/>
    <n v="404886"/>
    <n v="0.17"/>
    <n v="35"/>
    <n v="18"/>
    <n v="30"/>
    <n v="395"/>
    <n v="34"/>
    <n v="0.93"/>
  </r>
  <r>
    <x v="87"/>
    <n v="389891"/>
    <n v="0.19"/>
    <n v="38"/>
    <n v="17"/>
    <n v="25"/>
    <n v="388"/>
    <n v="36"/>
    <n v="0.95"/>
  </r>
  <r>
    <x v="88"/>
    <n v="380769"/>
    <n v="0.18"/>
    <n v="39"/>
    <n v="18"/>
    <n v="28"/>
    <n v="354"/>
    <n v="30"/>
    <n v="0.92"/>
  </r>
  <r>
    <x v="89"/>
    <n v="398067"/>
    <n v="0.19"/>
    <n v="36"/>
    <n v="17"/>
    <n v="29"/>
    <n v="363"/>
    <n v="37"/>
    <n v="0.95"/>
  </r>
  <r>
    <x v="90"/>
    <n v="409072"/>
    <n v="0.17"/>
    <n v="36"/>
    <n v="21"/>
    <n v="29"/>
    <n v="354"/>
    <n v="35"/>
    <n v="0.91"/>
  </r>
  <r>
    <x v="91"/>
    <n v="385907"/>
    <n v="0.19"/>
    <n v="35"/>
    <n v="22"/>
    <n v="25"/>
    <n v="383"/>
    <n v="33"/>
    <n v="0.95"/>
  </r>
  <r>
    <x v="92"/>
    <n v="410264"/>
    <n v="0.17"/>
    <n v="37"/>
    <n v="21"/>
    <n v="28"/>
    <n v="361"/>
    <n v="33"/>
    <n v="0.91"/>
  </r>
  <r>
    <x v="93"/>
    <n v="406272"/>
    <n v="0.1"/>
    <n v="35"/>
    <n v="21"/>
    <n v="29"/>
    <n v="388"/>
    <n v="40"/>
    <n v="0.92"/>
  </r>
  <r>
    <x v="94"/>
    <n v="388271"/>
    <n v="0.18"/>
    <n v="34"/>
    <n v="17"/>
    <n v="28"/>
    <n v="361"/>
    <n v="36"/>
    <n v="0.95"/>
  </r>
  <r>
    <x v="95"/>
    <n v="403590"/>
    <n v="0.17"/>
    <n v="30"/>
    <n v="18"/>
    <n v="25"/>
    <n v="363"/>
    <n v="30"/>
    <n v="0.91"/>
  </r>
  <r>
    <x v="96"/>
    <n v="403770"/>
    <n v="0.18"/>
    <n v="37"/>
    <n v="22"/>
    <n v="27"/>
    <n v="391"/>
    <n v="31"/>
    <n v="0.95"/>
  </r>
  <r>
    <x v="97"/>
    <n v="390761"/>
    <n v="0.19"/>
    <n v="32"/>
    <n v="21"/>
    <n v="27"/>
    <n v="387"/>
    <n v="34"/>
    <n v="0.92"/>
  </r>
  <r>
    <x v="98"/>
    <n v="395003"/>
    <n v="0.19"/>
    <n v="34"/>
    <n v="22"/>
    <n v="25"/>
    <n v="400"/>
    <n v="34"/>
    <n v="0.95"/>
  </r>
  <r>
    <x v="99"/>
    <n v="395190"/>
    <n v="0.19"/>
    <n v="32"/>
    <n v="20"/>
    <n v="25"/>
    <n v="384"/>
    <n v="30"/>
    <n v="0.95"/>
  </r>
  <r>
    <x v="100"/>
    <n v="394581"/>
    <n v="0.18"/>
    <n v="35"/>
    <n v="19"/>
    <n v="25"/>
    <n v="387"/>
    <n v="36"/>
    <n v="0.91"/>
  </r>
  <r>
    <x v="101"/>
    <n v="406144"/>
    <n v="0.17"/>
    <n v="32"/>
    <n v="17"/>
    <n v="28"/>
    <n v="360"/>
    <n v="32"/>
    <n v="0.95"/>
  </r>
  <r>
    <x v="102"/>
    <n v="381621"/>
    <n v="0.17"/>
    <n v="31"/>
    <n v="21"/>
    <n v="25"/>
    <n v="366"/>
    <n v="32"/>
    <n v="0.91"/>
  </r>
  <r>
    <x v="103"/>
    <n v="396665"/>
    <n v="0.17"/>
    <n v="38"/>
    <n v="22"/>
    <n v="29"/>
    <n v="395"/>
    <n v="35"/>
    <n v="0.95"/>
  </r>
  <r>
    <x v="104"/>
    <n v="406139"/>
    <n v="0.17"/>
    <n v="31"/>
    <n v="17"/>
    <n v="26"/>
    <n v="360"/>
    <n v="35"/>
    <n v="0.94"/>
  </r>
  <r>
    <x v="105"/>
    <n v="400491"/>
    <n v="0.18"/>
    <n v="33"/>
    <n v="22"/>
    <n v="25"/>
    <n v="394"/>
    <n v="30"/>
    <n v="0.92"/>
  </r>
  <r>
    <x v="106"/>
    <n v="400313"/>
    <n v="0.18"/>
    <n v="31"/>
    <n v="17"/>
    <n v="30"/>
    <n v="387"/>
    <n v="35"/>
    <n v="0.92"/>
  </r>
  <r>
    <x v="107"/>
    <n v="389107"/>
    <n v="0.28999999999999998"/>
    <n v="32"/>
    <n v="18"/>
    <n v="28"/>
    <n v="364"/>
    <n v="40"/>
    <n v="0.91"/>
  </r>
  <r>
    <x v="108"/>
    <n v="384879"/>
    <n v="0.18"/>
    <n v="39"/>
    <n v="17"/>
    <n v="27"/>
    <n v="351"/>
    <n v="36"/>
    <n v="0.95"/>
  </r>
  <r>
    <x v="109"/>
    <n v="384256"/>
    <n v="0.18"/>
    <n v="35"/>
    <n v="17"/>
    <n v="29"/>
    <n v="395"/>
    <n v="34"/>
    <n v="0.94"/>
  </r>
  <r>
    <x v="110"/>
    <n v="405625"/>
    <n v="0.17"/>
    <n v="34"/>
    <n v="18"/>
    <n v="25"/>
    <n v="380"/>
    <n v="34"/>
    <n v="0.94"/>
  </r>
  <r>
    <x v="111"/>
    <n v="385119"/>
    <n v="0.19"/>
    <n v="31"/>
    <n v="17"/>
    <n v="26"/>
    <n v="383"/>
    <n v="33"/>
    <n v="0.95"/>
  </r>
  <r>
    <x v="112"/>
    <n v="392946"/>
    <n v="0.18"/>
    <n v="38"/>
    <n v="21"/>
    <n v="27"/>
    <n v="390"/>
    <n v="37"/>
    <n v="0.93"/>
  </r>
  <r>
    <x v="113"/>
    <n v="394455"/>
    <n v="0.17"/>
    <n v="37"/>
    <n v="18"/>
    <n v="25"/>
    <n v="383"/>
    <n v="39"/>
    <n v="0.94"/>
  </r>
  <r>
    <x v="114"/>
    <n v="393483"/>
    <n v="0.17"/>
    <n v="30"/>
    <n v="17"/>
    <n v="28"/>
    <n v="383"/>
    <n v="38"/>
    <n v="0.91"/>
  </r>
  <r>
    <x v="115"/>
    <n v="387973"/>
    <n v="0.17"/>
    <n v="38"/>
    <n v="19"/>
    <n v="30"/>
    <n v="367"/>
    <n v="30"/>
    <n v="0.94"/>
  </r>
  <r>
    <x v="116"/>
    <n v="388059"/>
    <n v="0.19"/>
    <n v="31"/>
    <n v="20"/>
    <n v="29"/>
    <n v="366"/>
    <n v="36"/>
    <n v="0.94"/>
  </r>
  <r>
    <x v="117"/>
    <n v="394554"/>
    <n v="0.18"/>
    <n v="30"/>
    <n v="20"/>
    <n v="29"/>
    <n v="389"/>
    <n v="31"/>
    <n v="0.93"/>
  </r>
  <r>
    <x v="118"/>
    <n v="395744"/>
    <n v="0.18"/>
    <n v="38"/>
    <n v="20"/>
    <n v="27"/>
    <n v="366"/>
    <n v="31"/>
    <n v="0.91"/>
  </r>
  <r>
    <x v="119"/>
    <n v="405172"/>
    <n v="0.17"/>
    <n v="33"/>
    <n v="19"/>
    <n v="27"/>
    <n v="380"/>
    <n v="34"/>
    <n v="0.94"/>
  </r>
  <r>
    <x v="120"/>
    <n v="410255"/>
    <n v="0.18"/>
    <n v="40"/>
    <n v="18"/>
    <n v="27"/>
    <n v="378"/>
    <n v="35"/>
    <n v="0.94"/>
  </r>
  <r>
    <x v="121"/>
    <n v="390331"/>
    <n v="0.19"/>
    <n v="31"/>
    <n v="18"/>
    <n v="30"/>
    <n v="378"/>
    <n v="36"/>
    <n v="0.95"/>
  </r>
  <r>
    <x v="122"/>
    <n v="400375"/>
    <n v="0.18"/>
    <n v="37"/>
    <n v="18"/>
    <n v="27"/>
    <n v="365"/>
    <n v="37"/>
    <n v="0.93"/>
  </r>
  <r>
    <x v="123"/>
    <n v="400472"/>
    <n v="0.19"/>
    <n v="39"/>
    <n v="19"/>
    <n v="30"/>
    <n v="370"/>
    <n v="40"/>
    <n v="0.94"/>
  </r>
  <r>
    <x v="124"/>
    <n v="387617"/>
    <n v="0.18"/>
    <n v="34"/>
    <n v="21"/>
    <n v="28"/>
    <n v="397"/>
    <n v="36"/>
    <n v="0.93"/>
  </r>
  <r>
    <x v="125"/>
    <n v="388170"/>
    <n v="0.18"/>
    <n v="32"/>
    <n v="18"/>
    <n v="29"/>
    <n v="359"/>
    <n v="35"/>
    <n v="0.93"/>
  </r>
  <r>
    <x v="126"/>
    <n v="404780"/>
    <n v="0.18"/>
    <n v="37"/>
    <n v="22"/>
    <n v="29"/>
    <n v="360"/>
    <n v="31"/>
    <n v="0.95"/>
  </r>
  <r>
    <x v="127"/>
    <n v="384639"/>
    <n v="0.17"/>
    <n v="35"/>
    <n v="20"/>
    <n v="29"/>
    <n v="390"/>
    <n v="38"/>
    <n v="0.91"/>
  </r>
  <r>
    <x v="128"/>
    <n v="403290"/>
    <n v="0.18"/>
    <n v="32"/>
    <n v="19"/>
    <n v="26"/>
    <n v="385"/>
    <n v="40"/>
    <n v="0.95"/>
  </r>
  <r>
    <x v="129"/>
    <n v="406517"/>
    <n v="0.19"/>
    <n v="40"/>
    <n v="21"/>
    <n v="25"/>
    <n v="377"/>
    <n v="39"/>
    <n v="0.92"/>
  </r>
  <r>
    <x v="130"/>
    <n v="398563"/>
    <n v="0.17"/>
    <n v="39"/>
    <n v="17"/>
    <n v="28"/>
    <n v="367"/>
    <n v="33"/>
    <n v="0.91"/>
  </r>
  <r>
    <x v="131"/>
    <n v="398790"/>
    <n v="0.17"/>
    <n v="34"/>
    <n v="22"/>
    <n v="27"/>
    <n v="350"/>
    <n v="30"/>
    <n v="0.94"/>
  </r>
  <r>
    <x v="132"/>
    <n v="385035"/>
    <n v="0.17"/>
    <n v="37"/>
    <n v="19"/>
    <n v="25"/>
    <n v="395"/>
    <n v="33"/>
    <n v="0.93"/>
  </r>
  <r>
    <x v="133"/>
    <n v="387454"/>
    <n v="0.17"/>
    <n v="35"/>
    <n v="20"/>
    <n v="27"/>
    <n v="389"/>
    <n v="35"/>
    <n v="0.91"/>
  </r>
  <r>
    <x v="134"/>
    <n v="381343"/>
    <n v="0.17"/>
    <n v="37"/>
    <n v="20"/>
    <n v="29"/>
    <n v="399"/>
    <n v="36"/>
    <n v="0.95"/>
  </r>
  <r>
    <x v="135"/>
    <n v="382648"/>
    <n v="0.17"/>
    <n v="37"/>
    <n v="22"/>
    <n v="26"/>
    <n v="390"/>
    <n v="39"/>
    <n v="0.93"/>
  </r>
  <r>
    <x v="136"/>
    <n v="391140"/>
    <n v="0.18"/>
    <n v="32"/>
    <n v="17"/>
    <n v="25"/>
    <n v="378"/>
    <n v="35"/>
    <n v="0.91"/>
  </r>
  <r>
    <x v="137"/>
    <n v="389840"/>
    <n v="0.17"/>
    <n v="35"/>
    <n v="22"/>
    <n v="26"/>
    <n v="377"/>
    <n v="35"/>
    <n v="0.93"/>
  </r>
  <r>
    <x v="138"/>
    <n v="397741"/>
    <n v="0.19"/>
    <n v="31"/>
    <n v="20"/>
    <n v="25"/>
    <n v="398"/>
    <n v="34"/>
    <n v="0.92"/>
  </r>
  <r>
    <x v="139"/>
    <n v="409012"/>
    <n v="0.19"/>
    <n v="32"/>
    <n v="22"/>
    <n v="25"/>
    <n v="379"/>
    <n v="35"/>
    <n v="0.93"/>
  </r>
  <r>
    <x v="140"/>
    <n v="397624"/>
    <n v="0.18"/>
    <n v="35"/>
    <n v="21"/>
    <n v="25"/>
    <n v="380"/>
    <n v="37"/>
    <n v="0.94"/>
  </r>
  <r>
    <x v="141"/>
    <n v="387088"/>
    <n v="0.18"/>
    <n v="35"/>
    <n v="17"/>
    <n v="25"/>
    <n v="398"/>
    <n v="37"/>
    <n v="0.94"/>
  </r>
  <r>
    <x v="142"/>
    <n v="388159"/>
    <n v="0.17"/>
    <n v="38"/>
    <n v="22"/>
    <n v="26"/>
    <n v="391"/>
    <n v="33"/>
    <n v="0.93"/>
  </r>
  <r>
    <x v="143"/>
    <n v="403534"/>
    <n v="0.17"/>
    <n v="34"/>
    <n v="22"/>
    <n v="26"/>
    <n v="386"/>
    <n v="35"/>
    <n v="0.92"/>
  </r>
  <r>
    <x v="144"/>
    <n v="398544"/>
    <n v="0.19"/>
    <n v="31"/>
    <n v="19"/>
    <n v="30"/>
    <n v="396"/>
    <n v="37"/>
    <n v="0.95"/>
  </r>
  <r>
    <x v="145"/>
    <n v="401029"/>
    <n v="0.18"/>
    <n v="35"/>
    <n v="18"/>
    <n v="30"/>
    <n v="354"/>
    <n v="33"/>
    <n v="0.91"/>
  </r>
  <r>
    <x v="146"/>
    <n v="384455"/>
    <n v="0.17"/>
    <n v="40"/>
    <n v="18"/>
    <n v="29"/>
    <n v="396"/>
    <n v="31"/>
    <n v="0.91"/>
  </r>
  <r>
    <x v="147"/>
    <n v="402546"/>
    <n v="0.18"/>
    <n v="39"/>
    <n v="19"/>
    <n v="25"/>
    <n v="395"/>
    <n v="35"/>
    <n v="0.92"/>
  </r>
  <r>
    <x v="148"/>
    <n v="405545"/>
    <n v="0.18"/>
    <n v="39"/>
    <n v="18"/>
    <n v="28"/>
    <n v="352"/>
    <n v="32"/>
    <n v="0.93"/>
  </r>
  <r>
    <x v="149"/>
    <n v="389665"/>
    <n v="0.19"/>
    <n v="30"/>
    <n v="18"/>
    <n v="27"/>
    <n v="379"/>
    <n v="38"/>
    <n v="0.91"/>
  </r>
  <r>
    <x v="150"/>
    <n v="384789"/>
    <n v="0.18"/>
    <n v="34"/>
    <n v="19"/>
    <n v="30"/>
    <n v="381"/>
    <n v="31"/>
    <n v="0.95"/>
  </r>
  <r>
    <x v="151"/>
    <n v="406453"/>
    <n v="0.17"/>
    <n v="34"/>
    <n v="21"/>
    <n v="26"/>
    <n v="358"/>
    <n v="36"/>
    <n v="0.93"/>
  </r>
  <r>
    <x v="152"/>
    <n v="405943"/>
    <n v="0.18"/>
    <n v="31"/>
    <n v="19"/>
    <n v="29"/>
    <n v="366"/>
    <n v="37"/>
    <n v="0.93"/>
  </r>
  <r>
    <x v="153"/>
    <n v="400538"/>
    <n v="0.18"/>
    <n v="30"/>
    <n v="19"/>
    <n v="29"/>
    <n v="389"/>
    <n v="36"/>
    <n v="0.95"/>
  </r>
  <r>
    <x v="154"/>
    <n v="395075"/>
    <n v="0.17"/>
    <n v="30"/>
    <n v="17"/>
    <n v="25"/>
    <n v="389"/>
    <n v="33"/>
    <n v="0.95"/>
  </r>
  <r>
    <x v="155"/>
    <n v="389074"/>
    <n v="0.18"/>
    <n v="30"/>
    <n v="21"/>
    <n v="30"/>
    <n v="375"/>
    <n v="36"/>
    <n v="0.94"/>
  </r>
  <r>
    <x v="156"/>
    <n v="402050"/>
    <n v="0.17"/>
    <n v="40"/>
    <n v="18"/>
    <n v="30"/>
    <n v="379"/>
    <n v="38"/>
    <n v="0.95"/>
  </r>
  <r>
    <x v="157"/>
    <n v="390178"/>
    <n v="0.19"/>
    <n v="35"/>
    <n v="21"/>
    <n v="25"/>
    <n v="391"/>
    <n v="35"/>
    <n v="0.95"/>
  </r>
  <r>
    <x v="158"/>
    <n v="407570"/>
    <n v="0.19"/>
    <n v="35"/>
    <n v="17"/>
    <n v="29"/>
    <n v="388"/>
    <n v="30"/>
    <n v="0.93"/>
  </r>
  <r>
    <x v="159"/>
    <n v="400094"/>
    <n v="0.18"/>
    <n v="35"/>
    <n v="22"/>
    <n v="26"/>
    <n v="364"/>
    <n v="34"/>
    <n v="0.95"/>
  </r>
  <r>
    <x v="160"/>
    <n v="392606"/>
    <n v="0.17"/>
    <n v="37"/>
    <n v="21"/>
    <n v="30"/>
    <n v="397"/>
    <n v="35"/>
    <n v="0.91"/>
  </r>
  <r>
    <x v="161"/>
    <n v="390751"/>
    <n v="0.17"/>
    <n v="31"/>
    <n v="17"/>
    <n v="26"/>
    <n v="354"/>
    <n v="31"/>
    <n v="0.94"/>
  </r>
  <r>
    <x v="162"/>
    <n v="398995"/>
    <n v="0.17"/>
    <n v="36"/>
    <n v="21"/>
    <n v="30"/>
    <n v="400"/>
    <n v="32"/>
    <n v="0.95"/>
  </r>
  <r>
    <x v="163"/>
    <n v="407670"/>
    <n v="0.17"/>
    <n v="36"/>
    <n v="17"/>
    <n v="30"/>
    <n v="399"/>
    <n v="31"/>
    <n v="0.92"/>
  </r>
  <r>
    <x v="164"/>
    <n v="404518"/>
    <n v="0.18"/>
    <n v="36"/>
    <n v="20"/>
    <n v="30"/>
    <n v="393"/>
    <n v="35"/>
    <n v="0.94"/>
  </r>
  <r>
    <x v="165"/>
    <n v="407641"/>
    <n v="0.17"/>
    <n v="38"/>
    <n v="22"/>
    <n v="27"/>
    <n v="357"/>
    <n v="30"/>
    <n v="0.91"/>
  </r>
  <r>
    <x v="166"/>
    <n v="386588"/>
    <n v="0.19"/>
    <n v="31"/>
    <n v="21"/>
    <n v="27"/>
    <n v="385"/>
    <n v="34"/>
    <n v="0.93"/>
  </r>
  <r>
    <x v="167"/>
    <n v="388917"/>
    <n v="0.17"/>
    <n v="30"/>
    <n v="18"/>
    <n v="26"/>
    <n v="350"/>
    <n v="32"/>
    <n v="0.93"/>
  </r>
  <r>
    <x v="168"/>
    <n v="398356"/>
    <n v="0.19"/>
    <n v="40"/>
    <n v="19"/>
    <n v="25"/>
    <n v="397"/>
    <n v="40"/>
    <n v="0.93"/>
  </r>
  <r>
    <x v="169"/>
    <n v="406848"/>
    <n v="0.18"/>
    <n v="32"/>
    <n v="19"/>
    <n v="27"/>
    <n v="370"/>
    <n v="39"/>
    <n v="0.94"/>
  </r>
  <r>
    <x v="170"/>
    <n v="381025"/>
    <n v="0.17"/>
    <n v="34"/>
    <n v="19"/>
    <n v="25"/>
    <n v="393"/>
    <n v="38"/>
    <n v="0.91"/>
  </r>
  <r>
    <x v="171"/>
    <n v="382419"/>
    <n v="0.17"/>
    <n v="36"/>
    <n v="17"/>
    <n v="30"/>
    <n v="362"/>
    <n v="36"/>
    <n v="0.95"/>
  </r>
  <r>
    <x v="172"/>
    <n v="389769"/>
    <n v="0.17"/>
    <n v="36"/>
    <n v="21"/>
    <n v="26"/>
    <n v="366"/>
    <n v="36"/>
    <n v="0.93"/>
  </r>
  <r>
    <x v="173"/>
    <n v="382119"/>
    <n v="0.18"/>
    <n v="33"/>
    <n v="21"/>
    <n v="27"/>
    <n v="393"/>
    <n v="40"/>
    <n v="0.91"/>
  </r>
  <r>
    <x v="174"/>
    <n v="382070"/>
    <n v="0.19"/>
    <n v="32"/>
    <n v="22"/>
    <n v="30"/>
    <n v="391"/>
    <n v="31"/>
    <n v="0.93"/>
  </r>
  <r>
    <x v="175"/>
    <n v="399302"/>
    <n v="0.17"/>
    <n v="33"/>
    <n v="21"/>
    <n v="28"/>
    <n v="359"/>
    <n v="34"/>
    <n v="0.95"/>
  </r>
  <r>
    <x v="176"/>
    <n v="390068"/>
    <n v="0.18"/>
    <n v="38"/>
    <n v="22"/>
    <n v="30"/>
    <n v="365"/>
    <n v="31"/>
    <n v="0.92"/>
  </r>
  <r>
    <x v="177"/>
    <n v="399922"/>
    <n v="0.19"/>
    <n v="31"/>
    <n v="17"/>
    <n v="30"/>
    <n v="355"/>
    <n v="35"/>
    <n v="0.91"/>
  </r>
  <r>
    <x v="178"/>
    <n v="401728"/>
    <n v="0.17"/>
    <n v="31"/>
    <n v="18"/>
    <n v="25"/>
    <n v="400"/>
    <n v="37"/>
    <n v="0.92"/>
  </r>
  <r>
    <x v="179"/>
    <n v="397499"/>
    <n v="0.18"/>
    <n v="38"/>
    <n v="22"/>
    <n v="29"/>
    <n v="374"/>
    <n v="35"/>
    <n v="0.92"/>
  </r>
  <r>
    <x v="180"/>
    <n v="389825"/>
    <n v="0.19"/>
    <n v="36"/>
    <n v="22"/>
    <n v="29"/>
    <n v="376"/>
    <n v="38"/>
    <n v="0.91"/>
  </r>
  <r>
    <x v="181"/>
    <n v="409263"/>
    <n v="0.17"/>
    <n v="31"/>
    <n v="20"/>
    <n v="26"/>
    <n v="386"/>
    <n v="36"/>
    <n v="0.93"/>
  </r>
  <r>
    <x v="182"/>
    <n v="404436"/>
    <n v="0.17"/>
    <n v="34"/>
    <n v="19"/>
    <n v="25"/>
    <n v="376"/>
    <n v="38"/>
    <n v="0.94"/>
  </r>
  <r>
    <x v="183"/>
    <n v="390781"/>
    <n v="0.17"/>
    <n v="39"/>
    <n v="20"/>
    <n v="30"/>
    <n v="385"/>
    <n v="35"/>
    <n v="0.94"/>
  </r>
  <r>
    <x v="184"/>
    <n v="400441"/>
    <n v="0.18"/>
    <n v="36"/>
    <n v="20"/>
    <n v="26"/>
    <n v="382"/>
    <n v="37"/>
    <n v="0.91"/>
  </r>
  <r>
    <x v="185"/>
    <n v="380485"/>
    <n v="0.19"/>
    <n v="40"/>
    <n v="19"/>
    <n v="27"/>
    <n v="380"/>
    <n v="34"/>
    <n v="0.92"/>
  </r>
  <r>
    <x v="186"/>
    <n v="385998"/>
    <n v="0.18"/>
    <n v="35"/>
    <n v="22"/>
    <n v="26"/>
    <n v="373"/>
    <n v="39"/>
    <n v="0.94"/>
  </r>
  <r>
    <x v="187"/>
    <n v="402638"/>
    <n v="0.18"/>
    <n v="32"/>
    <n v="21"/>
    <n v="28"/>
    <n v="352"/>
    <n v="32"/>
    <n v="0.94"/>
  </r>
  <r>
    <x v="188"/>
    <n v="389876"/>
    <n v="0.18"/>
    <n v="40"/>
    <n v="19"/>
    <n v="28"/>
    <n v="388"/>
    <n v="34"/>
    <n v="0.92"/>
  </r>
  <r>
    <x v="189"/>
    <n v="386858"/>
    <n v="0.17"/>
    <n v="39"/>
    <n v="22"/>
    <n v="27"/>
    <n v="388"/>
    <n v="32"/>
    <n v="0.91"/>
  </r>
  <r>
    <x v="190"/>
    <n v="388864"/>
    <n v="0.19"/>
    <n v="40"/>
    <n v="22"/>
    <n v="29"/>
    <n v="382"/>
    <n v="35"/>
    <n v="0.94"/>
  </r>
  <r>
    <x v="191"/>
    <n v="387491"/>
    <n v="0.19"/>
    <n v="32"/>
    <n v="20"/>
    <n v="27"/>
    <n v="384"/>
    <n v="38"/>
    <n v="0.91"/>
  </r>
  <r>
    <x v="192"/>
    <n v="390416"/>
    <n v="0.18"/>
    <n v="37"/>
    <n v="21"/>
    <n v="27"/>
    <n v="380"/>
    <n v="33"/>
    <n v="0.95"/>
  </r>
  <r>
    <x v="193"/>
    <n v="397033"/>
    <n v="0.17"/>
    <n v="34"/>
    <n v="19"/>
    <n v="27"/>
    <n v="387"/>
    <n v="34"/>
    <n v="0.91"/>
  </r>
  <r>
    <x v="194"/>
    <n v="395422"/>
    <n v="0.17"/>
    <n v="38"/>
    <n v="22"/>
    <n v="26"/>
    <n v="399"/>
    <n v="35"/>
    <n v="0.92"/>
  </r>
  <r>
    <x v="195"/>
    <n v="392725"/>
    <n v="0.18"/>
    <n v="39"/>
    <n v="22"/>
    <n v="27"/>
    <n v="353"/>
    <n v="32"/>
    <n v="0.94"/>
  </r>
  <r>
    <x v="196"/>
    <n v="387617"/>
    <n v="0.17"/>
    <n v="38"/>
    <n v="20"/>
    <n v="30"/>
    <n v="458"/>
    <n v="40"/>
    <n v="0.95"/>
  </r>
  <r>
    <x v="197"/>
    <n v="386795"/>
    <n v="0.18"/>
    <n v="30"/>
    <n v="17"/>
    <n v="29"/>
    <n v="387"/>
    <n v="36"/>
    <n v="0.93"/>
  </r>
  <r>
    <x v="198"/>
    <n v="395874"/>
    <n v="0.17"/>
    <n v="36"/>
    <n v="18"/>
    <n v="29"/>
    <n v="372"/>
    <n v="37"/>
    <n v="0.94"/>
  </r>
  <r>
    <x v="199"/>
    <n v="387761"/>
    <n v="0.19"/>
    <n v="32"/>
    <n v="19"/>
    <n v="30"/>
    <n v="388"/>
    <n v="40"/>
    <n v="0.94"/>
  </r>
  <r>
    <x v="200"/>
    <n v="406137"/>
    <n v="0.17"/>
    <n v="34"/>
    <n v="22"/>
    <n v="30"/>
    <n v="358"/>
    <n v="37"/>
    <n v="0.95"/>
  </r>
  <r>
    <x v="201"/>
    <n v="386278"/>
    <n v="0.19"/>
    <n v="35"/>
    <n v="22"/>
    <n v="28"/>
    <n v="396"/>
    <n v="34"/>
    <n v="0.93"/>
  </r>
  <r>
    <x v="202"/>
    <n v="385427"/>
    <n v="0.19"/>
    <n v="33"/>
    <n v="17"/>
    <n v="28"/>
    <n v="372"/>
    <n v="32"/>
    <n v="0.94"/>
  </r>
  <r>
    <x v="203"/>
    <n v="390237"/>
    <n v="0.19"/>
    <n v="32"/>
    <n v="18"/>
    <n v="25"/>
    <n v="382"/>
    <n v="35"/>
    <n v="0.93"/>
  </r>
  <r>
    <x v="204"/>
    <n v="393045"/>
    <n v="0.19"/>
    <n v="39"/>
    <n v="22"/>
    <n v="29"/>
    <n v="360"/>
    <n v="31"/>
    <n v="0.93"/>
  </r>
  <r>
    <x v="205"/>
    <n v="392465"/>
    <n v="0.19"/>
    <n v="31"/>
    <n v="21"/>
    <n v="27"/>
    <n v="373"/>
    <n v="37"/>
    <n v="0.94"/>
  </r>
  <r>
    <x v="206"/>
    <n v="401514"/>
    <n v="0.19"/>
    <n v="32"/>
    <n v="17"/>
    <n v="25"/>
    <n v="388"/>
    <n v="39"/>
    <n v="0.91"/>
  </r>
  <r>
    <x v="207"/>
    <n v="392433"/>
    <n v="0.17"/>
    <n v="38"/>
    <n v="19"/>
    <n v="29"/>
    <n v="382"/>
    <n v="32"/>
    <n v="0.95"/>
  </r>
  <r>
    <x v="208"/>
    <n v="395692"/>
    <n v="0.17"/>
    <n v="40"/>
    <n v="18"/>
    <n v="26"/>
    <n v="375"/>
    <n v="31"/>
    <n v="0.91"/>
  </r>
  <r>
    <x v="209"/>
    <n v="391474"/>
    <n v="0.17"/>
    <n v="35"/>
    <n v="22"/>
    <n v="25"/>
    <n v="388"/>
    <n v="38"/>
    <n v="0.92"/>
  </r>
  <r>
    <x v="210"/>
    <n v="399345"/>
    <n v="0.19"/>
    <n v="34"/>
    <n v="18"/>
    <n v="29"/>
    <n v="365"/>
    <n v="39"/>
    <n v="0.92"/>
  </r>
  <r>
    <x v="211"/>
    <n v="390149"/>
    <n v="0.17"/>
    <n v="33"/>
    <n v="18"/>
    <n v="29"/>
    <n v="365"/>
    <n v="39"/>
    <n v="0.95"/>
  </r>
  <r>
    <x v="212"/>
    <n v="386768"/>
    <n v="0.19"/>
    <n v="32"/>
    <n v="20"/>
    <n v="25"/>
    <n v="384"/>
    <n v="37"/>
    <n v="0.94"/>
  </r>
  <r>
    <x v="213"/>
    <n v="387112"/>
    <n v="0.17"/>
    <n v="37"/>
    <n v="21"/>
    <n v="26"/>
    <n v="384"/>
    <n v="37"/>
    <n v="0.93"/>
  </r>
  <r>
    <x v="214"/>
    <n v="409781"/>
    <n v="0.19"/>
    <n v="30"/>
    <n v="19"/>
    <n v="27"/>
    <n v="358"/>
    <n v="31"/>
    <n v="0.92"/>
  </r>
  <r>
    <x v="215"/>
    <n v="388262"/>
    <n v="0.18"/>
    <n v="35"/>
    <n v="22"/>
    <n v="30"/>
    <n v="369"/>
    <n v="39"/>
    <n v="0.95"/>
  </r>
  <r>
    <x v="216"/>
    <n v="403716"/>
    <n v="0.17"/>
    <n v="39"/>
    <n v="22"/>
    <n v="25"/>
    <n v="389"/>
    <n v="36"/>
    <n v="0.92"/>
  </r>
  <r>
    <x v="217"/>
    <n v="398247"/>
    <n v="0.17"/>
    <n v="31"/>
    <n v="18"/>
    <n v="29"/>
    <n v="398"/>
    <n v="32"/>
    <n v="0.95"/>
  </r>
  <r>
    <x v="218"/>
    <n v="395396"/>
    <n v="0.19"/>
    <n v="34"/>
    <n v="22"/>
    <n v="29"/>
    <n v="366"/>
    <n v="37"/>
    <n v="0.91"/>
  </r>
  <r>
    <x v="219"/>
    <n v="395163"/>
    <n v="0.18"/>
    <n v="32"/>
    <n v="17"/>
    <n v="29"/>
    <n v="367"/>
    <n v="37"/>
    <n v="0.92"/>
  </r>
  <r>
    <x v="220"/>
    <n v="402090"/>
    <n v="0.17"/>
    <n v="32"/>
    <n v="21"/>
    <n v="30"/>
    <n v="353"/>
    <n v="34"/>
    <n v="0.93"/>
  </r>
  <r>
    <x v="221"/>
    <n v="398762"/>
    <n v="0.19"/>
    <n v="30"/>
    <n v="22"/>
    <n v="27"/>
    <n v="352"/>
    <n v="30"/>
    <n v="0.93"/>
  </r>
  <r>
    <x v="222"/>
    <n v="383675"/>
    <n v="0.19"/>
    <n v="34"/>
    <n v="29"/>
    <n v="27"/>
    <n v="396"/>
    <n v="31"/>
    <n v="0.95"/>
  </r>
  <r>
    <x v="223"/>
    <n v="390603"/>
    <n v="0.18"/>
    <n v="36"/>
    <n v="21"/>
    <n v="30"/>
    <n v="382"/>
    <n v="37"/>
    <n v="0.91"/>
  </r>
  <r>
    <x v="224"/>
    <n v="400629"/>
    <n v="0.19"/>
    <n v="30"/>
    <n v="19"/>
    <n v="25"/>
    <n v="382"/>
    <n v="32"/>
    <n v="0.93"/>
  </r>
  <r>
    <x v="225"/>
    <n v="398528"/>
    <n v="0.17"/>
    <n v="32"/>
    <n v="17"/>
    <n v="25"/>
    <n v="372"/>
    <n v="40"/>
    <n v="0.91"/>
  </r>
  <r>
    <x v="226"/>
    <n v="384154"/>
    <n v="0.17"/>
    <n v="36"/>
    <n v="21"/>
    <n v="28"/>
    <n v="362"/>
    <n v="30"/>
    <n v="0.92"/>
  </r>
  <r>
    <x v="227"/>
    <n v="405920"/>
    <n v="0.19"/>
    <n v="35"/>
    <n v="17"/>
    <n v="29"/>
    <n v="351"/>
    <n v="40"/>
    <n v="0.95"/>
  </r>
  <r>
    <x v="228"/>
    <n v="408856"/>
    <n v="0.17"/>
    <n v="35"/>
    <n v="17"/>
    <n v="29"/>
    <n v="371"/>
    <n v="39"/>
    <n v="0.94"/>
  </r>
  <r>
    <x v="229"/>
    <n v="390612"/>
    <n v="0.17"/>
    <n v="38"/>
    <n v="20"/>
    <n v="30"/>
    <n v="380"/>
    <n v="40"/>
    <n v="0.94"/>
  </r>
  <r>
    <x v="230"/>
    <n v="408028"/>
    <n v="0.18"/>
    <n v="35"/>
    <n v="20"/>
    <n v="30"/>
    <n v="388"/>
    <n v="32"/>
    <n v="0.93"/>
  </r>
  <r>
    <x v="231"/>
    <n v="383876"/>
    <n v="0.18"/>
    <n v="35"/>
    <n v="22"/>
    <n v="30"/>
    <n v="351"/>
    <n v="38"/>
    <n v="0.92"/>
  </r>
  <r>
    <x v="232"/>
    <n v="390911"/>
    <n v="0.19"/>
    <n v="36"/>
    <n v="18"/>
    <n v="28"/>
    <n v="382"/>
    <n v="32"/>
    <n v="0.93"/>
  </r>
  <r>
    <x v="233"/>
    <n v="382072"/>
    <n v="0.19"/>
    <n v="36"/>
    <n v="18"/>
    <n v="29"/>
    <n v="395"/>
    <n v="37"/>
    <n v="0.95"/>
  </r>
  <r>
    <x v="234"/>
    <n v="403634"/>
    <n v="0.19"/>
    <n v="39"/>
    <n v="21"/>
    <n v="27"/>
    <n v="352"/>
    <n v="34"/>
    <n v="0.93"/>
  </r>
  <r>
    <x v="235"/>
    <n v="380313"/>
    <n v="0.19"/>
    <n v="36"/>
    <n v="18"/>
    <n v="29"/>
    <n v="377"/>
    <n v="31"/>
    <n v="0.94"/>
  </r>
  <r>
    <x v="236"/>
    <n v="388418"/>
    <n v="0.19"/>
    <n v="31"/>
    <n v="18"/>
    <n v="27"/>
    <n v="367"/>
    <n v="33"/>
    <n v="0.95"/>
  </r>
  <r>
    <x v="237"/>
    <n v="392670"/>
    <n v="0.17"/>
    <n v="32"/>
    <n v="20"/>
    <n v="30"/>
    <n v="369"/>
    <n v="30"/>
    <n v="0.94"/>
  </r>
  <r>
    <x v="238"/>
    <n v="405258"/>
    <n v="0.19"/>
    <n v="39"/>
    <n v="22"/>
    <n v="29"/>
    <n v="361"/>
    <n v="37"/>
    <n v="0.94"/>
  </r>
  <r>
    <x v="239"/>
    <n v="400562"/>
    <n v="0.19"/>
    <n v="31"/>
    <n v="19"/>
    <n v="28"/>
    <n v="382"/>
    <n v="40"/>
    <n v="0.95"/>
  </r>
  <r>
    <x v="240"/>
    <n v="386473"/>
    <n v="0.17"/>
    <n v="35"/>
    <n v="22"/>
    <n v="29"/>
    <n v="362"/>
    <n v="31"/>
    <n v="0.92"/>
  </r>
  <r>
    <x v="241"/>
    <n v="382326"/>
    <n v="0.19"/>
    <n v="30"/>
    <n v="20"/>
    <n v="27"/>
    <n v="389"/>
    <n v="33"/>
    <n v="0.91"/>
  </r>
  <r>
    <x v="242"/>
    <n v="391845"/>
    <n v="0.19"/>
    <n v="38"/>
    <n v="19"/>
    <n v="26"/>
    <n v="372"/>
    <n v="31"/>
    <n v="0.95"/>
  </r>
  <r>
    <x v="243"/>
    <n v="407821"/>
    <n v="0.18"/>
    <n v="35"/>
    <n v="22"/>
    <n v="29"/>
    <n v="385"/>
    <n v="31"/>
    <n v="0.94"/>
  </r>
  <r>
    <x v="244"/>
    <n v="389944"/>
    <n v="0.17"/>
    <n v="31"/>
    <n v="22"/>
    <n v="28"/>
    <n v="364"/>
    <n v="32"/>
    <n v="0.92"/>
  </r>
  <r>
    <x v="245"/>
    <n v="402082"/>
    <n v="0.18"/>
    <n v="38"/>
    <n v="17"/>
    <n v="30"/>
    <n v="351"/>
    <n v="32"/>
    <n v="0.95"/>
  </r>
  <r>
    <x v="246"/>
    <n v="384229"/>
    <n v="0.19"/>
    <n v="39"/>
    <n v="20"/>
    <n v="26"/>
    <n v="361"/>
    <n v="34"/>
    <n v="0.93"/>
  </r>
  <r>
    <x v="247"/>
    <n v="386978"/>
    <n v="0.17"/>
    <n v="32"/>
    <n v="22"/>
    <n v="26"/>
    <n v="368"/>
    <n v="31"/>
    <n v="0.93"/>
  </r>
  <r>
    <x v="248"/>
    <n v="396745"/>
    <n v="0.18"/>
    <n v="33"/>
    <n v="17"/>
    <n v="30"/>
    <n v="377"/>
    <n v="34"/>
    <n v="0.92"/>
  </r>
  <r>
    <x v="249"/>
    <n v="407003"/>
    <n v="0.17"/>
    <n v="34"/>
    <n v="18"/>
    <n v="26"/>
    <n v="385"/>
    <n v="37"/>
    <n v="0.95"/>
  </r>
  <r>
    <x v="250"/>
    <n v="385901"/>
    <n v="0.18"/>
    <n v="35"/>
    <n v="18"/>
    <n v="30"/>
    <n v="382"/>
    <n v="34"/>
    <n v="0.91"/>
  </r>
  <r>
    <x v="251"/>
    <n v="407716"/>
    <n v="0.18"/>
    <n v="35"/>
    <n v="21"/>
    <n v="26"/>
    <n v="370"/>
    <n v="38"/>
    <n v="0.94"/>
  </r>
  <r>
    <x v="252"/>
    <n v="397777"/>
    <n v="0.18"/>
    <n v="35"/>
    <n v="18"/>
    <n v="27"/>
    <n v="399"/>
    <n v="37"/>
    <n v="0.91"/>
  </r>
  <r>
    <x v="253"/>
    <n v="393437"/>
    <n v="0.18"/>
    <n v="40"/>
    <n v="17"/>
    <n v="26"/>
    <n v="387"/>
    <n v="31"/>
    <n v="0.94"/>
  </r>
  <r>
    <x v="254"/>
    <n v="406634"/>
    <n v="0.18"/>
    <n v="34"/>
    <n v="20"/>
    <n v="25"/>
    <n v="368"/>
    <n v="36"/>
    <n v="0.91"/>
  </r>
  <r>
    <x v="255"/>
    <n v="392550"/>
    <n v="0.19"/>
    <n v="30"/>
    <n v="19"/>
    <n v="29"/>
    <n v="384"/>
    <n v="32"/>
    <n v="0.92"/>
  </r>
  <r>
    <x v="256"/>
    <n v="406604"/>
    <n v="0.17"/>
    <n v="64"/>
    <n v="22"/>
    <n v="30"/>
    <n v="378"/>
    <n v="35"/>
    <n v="0.93"/>
  </r>
  <r>
    <x v="257"/>
    <n v="393532"/>
    <n v="0.19"/>
    <n v="31"/>
    <n v="18"/>
    <n v="29"/>
    <n v="385"/>
    <n v="38"/>
    <n v="0.94"/>
  </r>
  <r>
    <x v="258"/>
    <n v="398745"/>
    <n v="0.19"/>
    <n v="33"/>
    <n v="21"/>
    <n v="25"/>
    <n v="367"/>
    <n v="32"/>
    <n v="0.95"/>
  </r>
  <r>
    <x v="259"/>
    <n v="388146"/>
    <n v="0.17"/>
    <n v="32"/>
    <n v="18"/>
    <n v="29"/>
    <n v="382"/>
    <n v="30"/>
    <n v="0.94"/>
  </r>
  <r>
    <x v="260"/>
    <n v="406545"/>
    <n v="0.18"/>
    <n v="32"/>
    <n v="20"/>
    <n v="28"/>
    <n v="377"/>
    <n v="35"/>
    <n v="0.93"/>
  </r>
  <r>
    <x v="261"/>
    <n v="406600"/>
    <n v="0.19"/>
    <n v="33"/>
    <n v="21"/>
    <n v="30"/>
    <n v="351"/>
    <n v="34"/>
    <n v="0.95"/>
  </r>
  <r>
    <x v="262"/>
    <n v="407858"/>
    <n v="0.19"/>
    <n v="39"/>
    <n v="21"/>
    <n v="27"/>
    <n v="383"/>
    <n v="35"/>
    <n v="0.93"/>
  </r>
  <r>
    <x v="263"/>
    <n v="388449"/>
    <n v="0.17"/>
    <n v="37"/>
    <n v="20"/>
    <n v="25"/>
    <n v="372"/>
    <n v="31"/>
    <n v="0.91"/>
  </r>
  <r>
    <x v="264"/>
    <n v="401959"/>
    <n v="0.19"/>
    <n v="31"/>
    <n v="20"/>
    <n v="25"/>
    <n v="366"/>
    <n v="31"/>
    <n v="0.95"/>
  </r>
  <r>
    <x v="265"/>
    <n v="405567"/>
    <n v="0.19"/>
    <n v="35"/>
    <n v="22"/>
    <n v="27"/>
    <n v="359"/>
    <n v="31"/>
    <n v="0.91"/>
  </r>
  <r>
    <x v="266"/>
    <n v="388298"/>
    <n v="0.19"/>
    <n v="38"/>
    <n v="17"/>
    <n v="30"/>
    <n v="398"/>
    <n v="35"/>
    <n v="0.95"/>
  </r>
  <r>
    <x v="267"/>
    <n v="391681"/>
    <n v="0.17"/>
    <n v="32"/>
    <n v="21"/>
    <n v="28"/>
    <n v="388"/>
    <n v="37"/>
    <n v="0.91"/>
  </r>
  <r>
    <x v="268"/>
    <n v="400929"/>
    <n v="0.19"/>
    <n v="30"/>
    <n v="18"/>
    <n v="28"/>
    <n v="394"/>
    <n v="35"/>
    <n v="0.91"/>
  </r>
  <r>
    <x v="269"/>
    <n v="400010"/>
    <n v="0.19"/>
    <n v="37"/>
    <n v="21"/>
    <n v="29"/>
    <n v="393"/>
    <n v="38"/>
    <n v="0.92"/>
  </r>
  <r>
    <x v="270"/>
    <n v="406277"/>
    <n v="0.19"/>
    <n v="38"/>
    <n v="17"/>
    <n v="30"/>
    <n v="397"/>
    <n v="36"/>
    <n v="0.94"/>
  </r>
  <r>
    <x v="271"/>
    <n v="400829"/>
    <n v="0.18"/>
    <n v="30"/>
    <n v="22"/>
    <n v="28"/>
    <n v="360"/>
    <n v="39"/>
    <n v="0.91"/>
  </r>
  <r>
    <x v="272"/>
    <n v="392169"/>
    <n v="0.18"/>
    <n v="32"/>
    <n v="18"/>
    <n v="28"/>
    <n v="359"/>
    <n v="34"/>
    <n v="0.91"/>
  </r>
  <r>
    <x v="273"/>
    <n v="383376"/>
    <n v="0.17"/>
    <n v="30"/>
    <n v="21"/>
    <n v="25"/>
    <n v="394"/>
    <n v="35"/>
    <n v="0.92"/>
  </r>
  <r>
    <x v="274"/>
    <n v="384903"/>
    <n v="0.19"/>
    <n v="34"/>
    <n v="19"/>
    <n v="26"/>
    <n v="380"/>
    <n v="30"/>
    <n v="0.94"/>
  </r>
  <r>
    <x v="275"/>
    <n v="381179"/>
    <n v="0.17"/>
    <n v="37"/>
    <n v="18"/>
    <n v="28"/>
    <n v="387"/>
    <n v="33"/>
    <n v="0.93"/>
  </r>
  <r>
    <x v="276"/>
    <n v="389368"/>
    <n v="0.19"/>
    <n v="34"/>
    <n v="22"/>
    <n v="29"/>
    <n v="357"/>
    <n v="40"/>
    <n v="0.94"/>
  </r>
  <r>
    <x v="277"/>
    <n v="409180"/>
    <n v="0.19"/>
    <n v="32"/>
    <n v="21"/>
    <n v="29"/>
    <n v="382"/>
    <n v="39"/>
    <n v="0.95"/>
  </r>
  <r>
    <x v="278"/>
    <n v="382705"/>
    <n v="0.17"/>
    <n v="31"/>
    <n v="19"/>
    <n v="30"/>
    <n v="372"/>
    <n v="31"/>
    <n v="0.94"/>
  </r>
  <r>
    <x v="279"/>
    <n v="402657"/>
    <n v="0.18"/>
    <n v="30"/>
    <n v="19"/>
    <n v="26"/>
    <n v="388"/>
    <n v="32"/>
    <n v="0.91"/>
  </r>
  <r>
    <x v="280"/>
    <n v="386505"/>
    <n v="0.19"/>
    <n v="38"/>
    <n v="18"/>
    <n v="29"/>
    <n v="387"/>
    <n v="39"/>
    <n v="0.95"/>
  </r>
  <r>
    <x v="281"/>
    <n v="382253"/>
    <n v="0.19"/>
    <n v="34"/>
    <n v="19"/>
    <n v="29"/>
    <n v="366"/>
    <n v="34"/>
    <n v="0.91"/>
  </r>
  <r>
    <x v="282"/>
    <n v="408424"/>
    <n v="0.17"/>
    <n v="33"/>
    <n v="22"/>
    <n v="29"/>
    <n v="368"/>
    <n v="30"/>
    <n v="0.93"/>
  </r>
  <r>
    <x v="283"/>
    <n v="388464"/>
    <n v="0.18"/>
    <n v="31"/>
    <n v="19"/>
    <n v="25"/>
    <n v="384"/>
    <n v="30"/>
    <n v="0.95"/>
  </r>
  <r>
    <x v="284"/>
    <n v="387248"/>
    <n v="0.17"/>
    <n v="33"/>
    <n v="17"/>
    <n v="27"/>
    <n v="360"/>
    <n v="39"/>
    <n v="0.95"/>
  </r>
  <r>
    <x v="285"/>
    <n v="404505"/>
    <n v="0.19"/>
    <n v="32"/>
    <n v="21"/>
    <n v="27"/>
    <n v="387"/>
    <n v="36"/>
    <n v="0.95"/>
  </r>
  <r>
    <x v="286"/>
    <n v="401477"/>
    <n v="0.18"/>
    <n v="31"/>
    <n v="21"/>
    <n v="25"/>
    <n v="362"/>
    <n v="36"/>
    <n v="0.93"/>
  </r>
  <r>
    <x v="287"/>
    <n v="402669"/>
    <n v="0.19"/>
    <n v="35"/>
    <n v="17"/>
    <n v="25"/>
    <n v="394"/>
    <n v="32"/>
    <n v="0.91"/>
  </r>
  <r>
    <x v="288"/>
    <n v="401441"/>
    <n v="0.19"/>
    <n v="38"/>
    <n v="22"/>
    <n v="26"/>
    <n v="371"/>
    <n v="31"/>
    <n v="0.95"/>
  </r>
  <r>
    <x v="289"/>
    <n v="404247"/>
    <n v="0.17"/>
    <n v="37"/>
    <n v="18"/>
    <n v="27"/>
    <n v="365"/>
    <n v="34"/>
    <n v="0.92"/>
  </r>
  <r>
    <x v="290"/>
    <n v="384464"/>
    <n v="0.18"/>
    <n v="35"/>
    <n v="20"/>
    <n v="30"/>
    <n v="383"/>
    <n v="39"/>
    <n v="0.94"/>
  </r>
  <r>
    <x v="291"/>
    <n v="383538"/>
    <n v="0.19"/>
    <n v="34"/>
    <n v="19"/>
    <n v="27"/>
    <n v="386"/>
    <n v="35"/>
    <n v="0.92"/>
  </r>
  <r>
    <x v="292"/>
    <n v="392178"/>
    <n v="0.19"/>
    <n v="38"/>
    <n v="22"/>
    <n v="25"/>
    <n v="361"/>
    <n v="33"/>
    <n v="0.94"/>
  </r>
  <r>
    <x v="293"/>
    <n v="383369"/>
    <n v="0.19"/>
    <n v="31"/>
    <n v="22"/>
    <n v="30"/>
    <n v="368"/>
    <n v="36"/>
    <n v="0.92"/>
  </r>
  <r>
    <x v="294"/>
    <n v="399709"/>
    <n v="0.18"/>
    <n v="37"/>
    <n v="19"/>
    <n v="29"/>
    <n v="376"/>
    <n v="32"/>
    <n v="0.94"/>
  </r>
  <r>
    <x v="295"/>
    <n v="394443"/>
    <n v="0.18"/>
    <n v="37"/>
    <n v="18"/>
    <n v="30"/>
    <n v="369"/>
    <n v="33"/>
    <n v="0.95"/>
  </r>
  <r>
    <x v="296"/>
    <n v="389066"/>
    <n v="0.18"/>
    <n v="38"/>
    <n v="21"/>
    <n v="27"/>
    <n v="398"/>
    <n v="31"/>
    <n v="0.91"/>
  </r>
  <r>
    <x v="297"/>
    <n v="393573"/>
    <n v="0.19"/>
    <n v="37"/>
    <n v="20"/>
    <n v="28"/>
    <n v="375"/>
    <n v="39"/>
    <n v="0.93"/>
  </r>
  <r>
    <x v="298"/>
    <n v="382825"/>
    <n v="0.17"/>
    <n v="36"/>
    <n v="20"/>
    <n v="28"/>
    <n v="359"/>
    <n v="40"/>
    <n v="0.92"/>
  </r>
  <r>
    <x v="299"/>
    <n v="382944"/>
    <n v="0.18"/>
    <n v="33"/>
    <n v="17"/>
    <n v="27"/>
    <n v="366"/>
    <n v="35"/>
    <n v="0.95"/>
  </r>
  <r>
    <x v="300"/>
    <n v="403354"/>
    <n v="0.19"/>
    <n v="31"/>
    <n v="20"/>
    <n v="28"/>
    <n v="395"/>
    <n v="31"/>
    <n v="0.94"/>
  </r>
  <r>
    <x v="301"/>
    <n v="396314"/>
    <n v="0.18"/>
    <n v="32"/>
    <n v="22"/>
    <n v="26"/>
    <n v="382"/>
    <n v="30"/>
    <n v="0.93"/>
  </r>
  <r>
    <x v="302"/>
    <n v="396097"/>
    <n v="0.17"/>
    <n v="34"/>
    <n v="21"/>
    <n v="30"/>
    <n v="394"/>
    <n v="37"/>
    <n v="0.91"/>
  </r>
  <r>
    <x v="303"/>
    <n v="392878"/>
    <n v="0.17"/>
    <n v="40"/>
    <n v="22"/>
    <n v="29"/>
    <n v="363"/>
    <n v="34"/>
    <n v="0.95"/>
  </r>
  <r>
    <x v="304"/>
    <n v="404865"/>
    <n v="0.19"/>
    <n v="33"/>
    <n v="20"/>
    <n v="26"/>
    <n v="355"/>
    <n v="31"/>
    <n v="0.91"/>
  </r>
  <r>
    <x v="305"/>
    <n v="404425"/>
    <n v="0.18"/>
    <n v="33"/>
    <n v="19"/>
    <n v="30"/>
    <n v="399"/>
    <n v="36"/>
    <n v="0.91"/>
  </r>
  <r>
    <x v="306"/>
    <n v="404029"/>
    <n v="0.19"/>
    <n v="32"/>
    <n v="19"/>
    <n v="26"/>
    <n v="390"/>
    <n v="37"/>
    <n v="0.94"/>
  </r>
  <r>
    <x v="307"/>
    <n v="382779"/>
    <n v="0.19"/>
    <n v="34"/>
    <n v="22"/>
    <n v="27"/>
    <n v="396"/>
    <n v="34"/>
    <n v="0.92"/>
  </r>
  <r>
    <x v="308"/>
    <n v="394015"/>
    <n v="0.17"/>
    <n v="31"/>
    <n v="22"/>
    <n v="25"/>
    <n v="398"/>
    <n v="39"/>
    <n v="0.91"/>
  </r>
  <r>
    <x v="309"/>
    <n v="384987"/>
    <n v="0.18"/>
    <n v="34"/>
    <n v="19"/>
    <n v="25"/>
    <n v="394"/>
    <n v="33"/>
    <n v="0.94"/>
  </r>
  <r>
    <x v="310"/>
    <n v="405410"/>
    <n v="0.18"/>
    <n v="36"/>
    <n v="21"/>
    <n v="30"/>
    <n v="361"/>
    <n v="37"/>
    <n v="0.93"/>
  </r>
  <r>
    <x v="311"/>
    <n v="403572"/>
    <n v="0.19"/>
    <n v="31"/>
    <n v="17"/>
    <n v="26"/>
    <n v="352"/>
    <n v="34"/>
    <n v="0.94"/>
  </r>
  <r>
    <x v="312"/>
    <n v="380487"/>
    <n v="0.19"/>
    <n v="40"/>
    <n v="21"/>
    <n v="27"/>
    <n v="368"/>
    <n v="32"/>
    <n v="0.93"/>
  </r>
  <r>
    <x v="313"/>
    <n v="397106"/>
    <n v="0.19"/>
    <n v="34"/>
    <n v="20"/>
    <n v="30"/>
    <n v="358"/>
    <n v="37"/>
    <n v="0.92"/>
  </r>
  <r>
    <x v="314"/>
    <n v="387858"/>
    <n v="0.17"/>
    <n v="38"/>
    <n v="17"/>
    <n v="25"/>
    <n v="381"/>
    <n v="31"/>
    <n v="0.94"/>
  </r>
  <r>
    <x v="315"/>
    <n v="403207"/>
    <n v="0.18"/>
    <n v="32"/>
    <n v="19"/>
    <n v="30"/>
    <n v="387"/>
    <n v="39"/>
    <n v="0.93"/>
  </r>
  <r>
    <x v="316"/>
    <n v="380788"/>
    <n v="0.19"/>
    <n v="36"/>
    <n v="21"/>
    <n v="25"/>
    <n v="394"/>
    <n v="34"/>
    <n v="0.95"/>
  </r>
  <r>
    <x v="317"/>
    <n v="383044"/>
    <n v="0.19"/>
    <n v="34"/>
    <n v="20"/>
    <n v="25"/>
    <n v="378"/>
    <n v="33"/>
    <n v="0.92"/>
  </r>
  <r>
    <x v="318"/>
    <n v="396628"/>
    <n v="0.19"/>
    <n v="30"/>
    <n v="18"/>
    <n v="27"/>
    <n v="365"/>
    <n v="40"/>
    <n v="0.91"/>
  </r>
  <r>
    <x v="319"/>
    <n v="404564"/>
    <n v="0.18"/>
    <n v="40"/>
    <n v="21"/>
    <n v="30"/>
    <n v="392"/>
    <n v="39"/>
    <n v="0.92"/>
  </r>
  <r>
    <x v="320"/>
    <n v="380987"/>
    <n v="0.19"/>
    <n v="112"/>
    <n v="22"/>
    <n v="27"/>
    <n v="353"/>
    <n v="38"/>
    <n v="0.95"/>
  </r>
  <r>
    <x v="321"/>
    <n v="398199"/>
    <n v="0.18"/>
    <n v="37"/>
    <n v="22"/>
    <n v="26"/>
    <n v="385"/>
    <n v="34"/>
    <n v="0.94"/>
  </r>
  <r>
    <x v="322"/>
    <n v="384779"/>
    <n v="0.19"/>
    <n v="33"/>
    <n v="22"/>
    <n v="27"/>
    <n v="369"/>
    <n v="33"/>
    <n v="0.92"/>
  </r>
  <r>
    <x v="323"/>
    <n v="410182"/>
    <n v="0.19"/>
    <n v="40"/>
    <n v="19"/>
    <n v="29"/>
    <n v="389"/>
    <n v="32"/>
    <n v="0.92"/>
  </r>
  <r>
    <x v="324"/>
    <n v="393181"/>
    <n v="0.18"/>
    <n v="38"/>
    <n v="21"/>
    <n v="27"/>
    <n v="395"/>
    <n v="35"/>
    <n v="0.92"/>
  </r>
  <r>
    <x v="325"/>
    <n v="409499"/>
    <n v="0.18"/>
    <n v="35"/>
    <n v="19"/>
    <n v="25"/>
    <n v="360"/>
    <n v="37"/>
    <n v="0.95"/>
  </r>
  <r>
    <x v="326"/>
    <n v="401426"/>
    <n v="0.18"/>
    <n v="37"/>
    <n v="18"/>
    <n v="28"/>
    <n v="393"/>
    <n v="39"/>
    <n v="0.95"/>
  </r>
  <r>
    <x v="327"/>
    <n v="388049"/>
    <n v="0.19"/>
    <n v="34"/>
    <n v="22"/>
    <n v="27"/>
    <n v="354"/>
    <n v="37"/>
    <n v="0.95"/>
  </r>
  <r>
    <x v="328"/>
    <n v="408801"/>
    <n v="0.19"/>
    <n v="34"/>
    <n v="22"/>
    <n v="26"/>
    <n v="392"/>
    <n v="39"/>
    <n v="0.94"/>
  </r>
  <r>
    <x v="329"/>
    <n v="396857"/>
    <n v="0.17"/>
    <n v="35"/>
    <n v="17"/>
    <n v="25"/>
    <n v="368"/>
    <n v="39"/>
    <n v="0.95"/>
  </r>
  <r>
    <x v="330"/>
    <n v="396457"/>
    <n v="0.19"/>
    <n v="35"/>
    <n v="22"/>
    <n v="28"/>
    <n v="369"/>
    <n v="34"/>
    <n v="0.91"/>
  </r>
  <r>
    <x v="331"/>
    <n v="403521"/>
    <n v="0.18"/>
    <n v="33"/>
    <n v="21"/>
    <n v="28"/>
    <n v="380"/>
    <n v="32"/>
    <n v="0.94"/>
  </r>
  <r>
    <x v="332"/>
    <n v="403130"/>
    <n v="0.17"/>
    <n v="39"/>
    <n v="17"/>
    <n v="28"/>
    <n v="352"/>
    <n v="32"/>
    <n v="0.94"/>
  </r>
  <r>
    <x v="333"/>
    <n v="381333"/>
    <n v="0.19"/>
    <n v="40"/>
    <n v="18"/>
    <n v="29"/>
    <n v="369"/>
    <n v="36"/>
    <n v="0.93"/>
  </r>
  <r>
    <x v="334"/>
    <n v="397690"/>
    <n v="0.18"/>
    <n v="40"/>
    <n v="18"/>
    <n v="27"/>
    <n v="388"/>
    <n v="39"/>
    <n v="0.92"/>
  </r>
  <r>
    <x v="335"/>
    <n v="400613"/>
    <n v="0.17"/>
    <n v="37"/>
    <n v="22"/>
    <n v="26"/>
    <n v="394"/>
    <n v="37"/>
    <n v="0.91"/>
  </r>
  <r>
    <x v="336"/>
    <n v="393251"/>
    <n v="0.19"/>
    <n v="36"/>
    <n v="20"/>
    <n v="30"/>
    <n v="360"/>
    <n v="39"/>
    <n v="0.94"/>
  </r>
  <r>
    <x v="337"/>
    <n v="385988"/>
    <n v="0.19"/>
    <n v="37"/>
    <n v="18"/>
    <n v="28"/>
    <n v="397"/>
    <n v="38"/>
    <n v="0.92"/>
  </r>
  <r>
    <x v="338"/>
    <n v="404457"/>
    <n v="0.18"/>
    <n v="30"/>
    <n v="22"/>
    <n v="30"/>
    <n v="370"/>
    <n v="39"/>
    <n v="0.91"/>
  </r>
  <r>
    <x v="339"/>
    <n v="386475"/>
    <n v="0.19"/>
    <n v="34"/>
    <n v="21"/>
    <n v="26"/>
    <n v="356"/>
    <n v="32"/>
    <n v="0.91"/>
  </r>
  <r>
    <x v="340"/>
    <n v="401987"/>
    <n v="0.17"/>
    <n v="38"/>
    <n v="20"/>
    <n v="30"/>
    <n v="370"/>
    <n v="36"/>
    <n v="0.95"/>
  </r>
  <r>
    <x v="341"/>
    <n v="392420"/>
    <n v="0.19"/>
    <n v="30"/>
    <n v="18"/>
    <n v="25"/>
    <n v="394"/>
    <n v="36"/>
    <n v="0.93"/>
  </r>
  <r>
    <x v="342"/>
    <n v="397135"/>
    <n v="0.17"/>
    <n v="36"/>
    <n v="22"/>
    <n v="25"/>
    <n v="363"/>
    <n v="38"/>
    <n v="0.92"/>
  </r>
  <r>
    <x v="343"/>
    <n v="408697"/>
    <n v="0.18"/>
    <n v="31"/>
    <n v="19"/>
    <n v="29"/>
    <n v="370"/>
    <n v="35"/>
    <n v="0.94"/>
  </r>
  <r>
    <x v="344"/>
    <n v="384623"/>
    <n v="0.18"/>
    <n v="36"/>
    <n v="20"/>
    <n v="27"/>
    <n v="397"/>
    <n v="37"/>
    <n v="0.94"/>
  </r>
  <r>
    <x v="345"/>
    <n v="385929"/>
    <n v="0.18"/>
    <n v="36"/>
    <n v="21"/>
    <n v="27"/>
    <n v="386"/>
    <n v="33"/>
    <n v="0.92"/>
  </r>
  <r>
    <x v="346"/>
    <n v="410246"/>
    <n v="0.17"/>
    <n v="32"/>
    <n v="20"/>
    <n v="25"/>
    <n v="371"/>
    <n v="33"/>
    <n v="0.92"/>
  </r>
  <r>
    <x v="347"/>
    <n v="386399"/>
    <n v="0.17"/>
    <n v="38"/>
    <n v="19"/>
    <n v="26"/>
    <n v="391"/>
    <n v="40"/>
    <n v="0.92"/>
  </r>
  <r>
    <x v="348"/>
    <n v="410008"/>
    <n v="0.18"/>
    <n v="30"/>
    <n v="21"/>
    <n v="27"/>
    <n v="355"/>
    <n v="32"/>
    <n v="0.91"/>
  </r>
  <r>
    <x v="349"/>
    <n v="390197"/>
    <n v="0.19"/>
    <n v="40"/>
    <n v="19"/>
    <n v="27"/>
    <n v="386"/>
    <n v="31"/>
    <n v="0.95"/>
  </r>
  <r>
    <x v="350"/>
    <n v="393364"/>
    <n v="0.17"/>
    <n v="40"/>
    <n v="20"/>
    <n v="27"/>
    <n v="356"/>
    <n v="33"/>
    <n v="0.92"/>
  </r>
  <r>
    <x v="351"/>
    <n v="396256"/>
    <n v="0.19"/>
    <n v="40"/>
    <n v="22"/>
    <n v="27"/>
    <n v="362"/>
    <n v="38"/>
    <n v="0.93"/>
  </r>
  <r>
    <x v="352"/>
    <n v="395679"/>
    <n v="0.17"/>
    <n v="34"/>
    <n v="19"/>
    <n v="30"/>
    <n v="354"/>
    <n v="32"/>
    <n v="0.92"/>
  </r>
  <r>
    <x v="353"/>
    <n v="388480"/>
    <n v="0.18"/>
    <n v="34"/>
    <n v="20"/>
    <n v="27"/>
    <n v="362"/>
    <n v="39"/>
    <n v="0.95"/>
  </r>
  <r>
    <x v="354"/>
    <n v="399659"/>
    <n v="0.17"/>
    <n v="39"/>
    <n v="17"/>
    <n v="29"/>
    <n v="350"/>
    <n v="31"/>
    <n v="0.91"/>
  </r>
  <r>
    <x v="355"/>
    <n v="391668"/>
    <n v="0.18"/>
    <n v="30"/>
    <n v="18"/>
    <n v="25"/>
    <n v="397"/>
    <n v="39"/>
    <n v="0.92"/>
  </r>
  <r>
    <x v="356"/>
    <n v="387294"/>
    <n v="0.17"/>
    <n v="34"/>
    <n v="18"/>
    <n v="29"/>
    <n v="357"/>
    <n v="30"/>
    <n v="0.92"/>
  </r>
  <r>
    <x v="357"/>
    <n v="385346"/>
    <n v="0.17"/>
    <n v="40"/>
    <n v="17"/>
    <n v="26"/>
    <n v="394"/>
    <n v="40"/>
    <n v="0.93"/>
  </r>
  <r>
    <x v="358"/>
    <n v="403674"/>
    <n v="0.19"/>
    <n v="38"/>
    <n v="20"/>
    <n v="27"/>
    <n v="366"/>
    <n v="35"/>
    <n v="0.93"/>
  </r>
  <r>
    <x v="359"/>
    <n v="381035"/>
    <n v="0.18"/>
    <n v="39"/>
    <n v="21"/>
    <n v="29"/>
    <n v="380"/>
    <n v="36"/>
    <n v="0.95"/>
  </r>
  <r>
    <x v="360"/>
    <n v="409390"/>
    <n v="0.19"/>
    <n v="30"/>
    <n v="18"/>
    <n v="27"/>
    <n v="387"/>
    <n v="33"/>
    <n v="0.91"/>
  </r>
  <r>
    <x v="361"/>
    <n v="383323"/>
    <n v="0.19"/>
    <n v="30"/>
    <n v="18"/>
    <n v="27"/>
    <n v="388"/>
    <n v="37"/>
    <n v="0.91"/>
  </r>
  <r>
    <x v="362"/>
    <n v="385433"/>
    <n v="0.17"/>
    <n v="38"/>
    <n v="17"/>
    <n v="25"/>
    <n v="350"/>
    <n v="31"/>
    <n v="0.94"/>
  </r>
  <r>
    <x v="363"/>
    <n v="382858"/>
    <n v="0.18"/>
    <n v="38"/>
    <n v="17"/>
    <n v="26"/>
    <n v="385"/>
    <n v="30"/>
    <n v="0.95"/>
  </r>
  <r>
    <x v="364"/>
    <n v="384453"/>
    <n v="0.19"/>
    <n v="33"/>
    <n v="18"/>
    <n v="26"/>
    <n v="357"/>
    <n v="36"/>
    <n v="0.91"/>
  </r>
  <r>
    <x v="365"/>
    <n v="385535"/>
    <n v="0.17"/>
    <n v="31"/>
    <n v="20"/>
    <n v="28"/>
    <n v="397"/>
    <n v="33"/>
    <n v="0.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CFEA7-DC6C-4BAB-8F7E-3DBA07BEB24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7" firstHeaderRow="0" firstDataRow="1" firstDataCol="1"/>
  <pivotFields count="10">
    <pivotField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dataField="1" numFmtId="9" showAll="0"/>
    <pivotField dataField="1" showAll="0"/>
    <pivotField showAll="0"/>
    <pivotField showAll="0"/>
    <pivotField showAll="0"/>
    <pivotField showAll="0"/>
    <pivotField dataField="1" numFmtId="9" showAll="0"/>
    <pivotField axis="axisRow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 count="1">
    <field x="9"/>
  </rowFields>
  <rowItems count="5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erage Discount" fld="2" subtotal="average" baseField="0" baseItem="0"/>
    <dataField name="Average of Out of stock Items per restaurant" fld="3" subtotal="average" baseField="0" baseItem="0"/>
    <dataField name="Average of Success Rate of payments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D379-A816-2846-B956-DD451B8B10CC}">
  <dimension ref="B1:S739"/>
  <sheetViews>
    <sheetView tabSelected="1" zoomScale="70" zoomScaleNormal="70" workbookViewId="0">
      <selection activeCell="L2" sqref="L2"/>
    </sheetView>
  </sheetViews>
  <sheetFormatPr defaultColWidth="10.6640625" defaultRowHeight="15.5" x14ac:dyDescent="0.35"/>
  <cols>
    <col min="2" max="2" width="11.25" bestFit="1" customWidth="1"/>
    <col min="3" max="3" width="10.6640625" customWidth="1"/>
    <col min="8" max="8" width="16.4140625" style="8" bestFit="1" customWidth="1"/>
    <col min="9" max="9" width="45.9140625" style="8" bestFit="1" customWidth="1"/>
    <col min="10" max="10" width="46" style="8" bestFit="1" customWidth="1"/>
    <col min="11" max="11" width="67.6640625" style="8" bestFit="1" customWidth="1"/>
    <col min="12" max="12" width="11.6640625" style="8" bestFit="1" customWidth="1"/>
    <col min="13" max="13" width="9.83203125" style="8" bestFit="1" customWidth="1"/>
    <col min="14" max="14" width="12.1640625" style="8" bestFit="1" customWidth="1"/>
    <col min="15" max="15" width="14.33203125" bestFit="1" customWidth="1"/>
    <col min="16" max="16" width="10.9140625" style="8" bestFit="1" customWidth="1"/>
    <col min="17" max="17" width="11.1640625" style="8" bestFit="1" customWidth="1"/>
    <col min="18" max="18" width="10.58203125" style="8" bestFit="1" customWidth="1"/>
    <col min="19" max="19" width="10.6640625" style="8"/>
  </cols>
  <sheetData>
    <row r="1" spans="2:19" x14ac:dyDescent="0.35"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t="s">
        <v>33</v>
      </c>
      <c r="P1" s="17" t="s">
        <v>38</v>
      </c>
      <c r="Q1" s="17"/>
      <c r="R1" s="17"/>
      <c r="S1" s="17"/>
    </row>
    <row r="2" spans="2:19" x14ac:dyDescent="0.35">
      <c r="B2" s="6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0" t="s">
        <v>18</v>
      </c>
      <c r="I2" s="10" t="s">
        <v>23</v>
      </c>
      <c r="J2" s="10" t="s">
        <v>24</v>
      </c>
      <c r="K2" s="10" t="s">
        <v>25</v>
      </c>
      <c r="L2" s="10" t="s">
        <v>19</v>
      </c>
      <c r="M2" s="10" t="s">
        <v>20</v>
      </c>
      <c r="N2" s="10" t="s">
        <v>21</v>
      </c>
      <c r="O2" s="9" t="s">
        <v>22</v>
      </c>
      <c r="P2" s="10" t="s">
        <v>39</v>
      </c>
      <c r="Q2" s="10" t="s">
        <v>40</v>
      </c>
      <c r="R2" s="10" t="s">
        <v>41</v>
      </c>
      <c r="S2" s="10" t="s">
        <v>42</v>
      </c>
    </row>
    <row r="3" spans="2:19" x14ac:dyDescent="0.35">
      <c r="B3" s="3">
        <v>43466</v>
      </c>
      <c r="C3" s="4">
        <v>20848646</v>
      </c>
      <c r="D3" s="4">
        <v>5107918</v>
      </c>
      <c r="E3" s="4">
        <v>2104462</v>
      </c>
      <c r="F3" s="4">
        <v>1505532</v>
      </c>
      <c r="G3" s="7">
        <v>1271572.67328</v>
      </c>
      <c r="H3" s="8">
        <f>IF(C3&gt;0, G3/C3, 0)</f>
        <v>6.0990659694639161E-2</v>
      </c>
      <c r="I3" s="8" t="str" cm="1">
        <f t="array" aca="1" ref="I3" ca="1">IF(ROW()-2&gt;7, (G3/INDIRECT("G"&amp;ROW()-7))-1, "")</f>
        <v/>
      </c>
      <c r="J3" s="8" t="str" cm="1">
        <f t="array" aca="1" ref="J3" ca="1">IF(ROW()-2&gt;7, (C3/INDIRECT("C"&amp;ROW()-7))-1, "")</f>
        <v/>
      </c>
      <c r="K3" s="8" t="str" cm="1">
        <f t="array" aca="1" ref="K3" ca="1">IF(ROW()-2&gt;7, (H3/INDIRECT("H"&amp;ROW()-7))-1, "")</f>
        <v/>
      </c>
      <c r="L3" s="8">
        <f>IF(D3&gt;0, D3/C3, 0)</f>
        <v>0.2449999870495187</v>
      </c>
      <c r="M3" s="8">
        <f>IF(D3&gt;0, E3/D3, 0)</f>
        <v>0.41199995771271192</v>
      </c>
      <c r="N3" s="8">
        <f>IF(E3&gt;0, F3/E3, 0)</f>
        <v>0.71539994544924068</v>
      </c>
      <c r="O3" s="8">
        <f>IF(F3&gt;0, G3/F3, 0)</f>
        <v>0.84460022987223116</v>
      </c>
      <c r="P3" s="8" t="str" cm="1">
        <f t="array" aca="1" ref="P3" ca="1">IF(ROW()-2&gt;1, (L3/INDIRECT("L"&amp;ROW()-1))-1, "")</f>
        <v/>
      </c>
      <c r="Q3" s="8" t="str" cm="1">
        <f t="array" aca="1" ref="Q3" ca="1">IF(ROW()-2&gt;1, (M3/INDIRECT("M"&amp;ROW()-1))-1, "")</f>
        <v/>
      </c>
      <c r="R3" s="8" t="str" cm="1">
        <f t="array" aca="1" ref="R3" ca="1">IF(ROW()-2&gt;1, (N3/INDIRECT("N"&amp;ROW()-1))-1, "")</f>
        <v/>
      </c>
      <c r="S3" s="8" t="str" cm="1">
        <f t="array" aca="1" ref="S3" ca="1">IF(ROW()-2&gt;1, (O3/INDIRECT("O"&amp;ROW()-1))-1, "")</f>
        <v/>
      </c>
    </row>
    <row r="4" spans="2:19" x14ac:dyDescent="0.35">
      <c r="B4" s="3">
        <v>43467</v>
      </c>
      <c r="C4" s="4">
        <v>21934513</v>
      </c>
      <c r="D4" s="4">
        <v>5428792</v>
      </c>
      <c r="E4" s="4">
        <v>2171516</v>
      </c>
      <c r="F4" s="4">
        <v>1569355</v>
      </c>
      <c r="G4" s="4">
        <v>1261133</v>
      </c>
      <c r="H4" s="8">
        <f>IF(C4&gt;0, G4/C4, 0)</f>
        <v>5.749537270328272E-2</v>
      </c>
      <c r="I4" s="8" t="str" cm="1">
        <f t="array" aca="1" ref="I4" ca="1">IF(ROW()-2&gt;7, (G4/INDIRECT("G"&amp;ROW()-7))-1, "")</f>
        <v/>
      </c>
      <c r="J4" s="8" t="str" cm="1">
        <f t="array" aca="1" ref="J4" ca="1">IF(ROW()-2&gt;7, (C4/INDIRECT("C"&amp;ROW()-7))-1, "")</f>
        <v/>
      </c>
      <c r="K4" s="8" t="str" cm="1">
        <f t="array" aca="1" ref="K4" ca="1">IF(ROW()-2&gt;7, (H4/INDIRECT("H"&amp;ROW()-7))-1, "")</f>
        <v/>
      </c>
      <c r="L4" s="8">
        <f>IF(D4&gt;0, D4/C4, 0)</f>
        <v>0.24750000148168322</v>
      </c>
      <c r="M4" s="8">
        <f>IF(D4&gt;0, E4/D4, 0)</f>
        <v>0.39999985263756649</v>
      </c>
      <c r="N4" s="8">
        <f>IF(E4&gt;0, F4/E4, 0)</f>
        <v>0.72270017812440712</v>
      </c>
      <c r="O4" s="8">
        <f>IF(F4&gt;0, G4/F4, 0)</f>
        <v>0.80359956797537846</v>
      </c>
      <c r="P4" s="8" cm="1">
        <f t="array" aca="1" ref="P4" ca="1">IF(ROW()-2&gt;1, (L4/INDIRECT("L"&amp;ROW()-1))-1, "")</f>
        <v>1.0204141078828721E-2</v>
      </c>
      <c r="Q4" s="8" cm="1">
        <f t="array" aca="1" ref="Q4" ca="1">IF(ROW()-2&gt;1, (M4/INDIRECT("M"&amp;ROW()-1))-1, "")</f>
        <v>-2.9126471618507122E-2</v>
      </c>
      <c r="R4" s="8" cm="1">
        <f t="array" aca="1" ref="R4" ca="1">IF(ROW()-2&gt;1, (N4/INDIRECT("N"&amp;ROW()-1))-1, "")</f>
        <v>1.0204407648622515E-2</v>
      </c>
      <c r="S4" s="8" cm="1">
        <f t="array" aca="1" ref="S4" ca="1">IF(ROW()-2&gt;1, (O4/INDIRECT("O"&amp;ROW()-1))-1, "")</f>
        <v>-4.8544459789047423E-2</v>
      </c>
    </row>
    <row r="5" spans="2:19" x14ac:dyDescent="0.35">
      <c r="B5" s="3">
        <v>43468</v>
      </c>
      <c r="C5" s="4">
        <v>20848646</v>
      </c>
      <c r="D5" s="4">
        <v>5212161</v>
      </c>
      <c r="E5" s="4">
        <v>2001470</v>
      </c>
      <c r="F5" s="4">
        <v>1402630</v>
      </c>
      <c r="G5" s="4">
        <v>1138655</v>
      </c>
      <c r="H5" s="8">
        <f>IF(C5&gt;0, G5/C5, 0)</f>
        <v>5.4615297319547756E-2</v>
      </c>
      <c r="I5" s="8" t="str" cm="1">
        <f t="array" aca="1" ref="I5" ca="1">IF(ROW()-2&gt;7, (G5/INDIRECT("G"&amp;ROW()-7))-1, "")</f>
        <v/>
      </c>
      <c r="J5" s="8" t="str" cm="1">
        <f t="array" aca="1" ref="J5" ca="1">IF(ROW()-2&gt;7, (C5/INDIRECT("C"&amp;ROW()-7))-1, "")</f>
        <v/>
      </c>
      <c r="K5" s="8" t="str" cm="1">
        <f t="array" aca="1" ref="K5" ca="1">IF(ROW()-2&gt;7, (H5/INDIRECT("H"&amp;ROW()-7))-1, "")</f>
        <v/>
      </c>
      <c r="L5" s="8">
        <f>IF(D5&gt;0, D5/C5, 0)</f>
        <v>0.24999997601762725</v>
      </c>
      <c r="M5" s="8">
        <f>IF(D5&gt;0, E5/D5, 0)</f>
        <v>0.38400003376718411</v>
      </c>
      <c r="N5" s="8">
        <f>IF(E5&gt;0, F5/E5, 0)</f>
        <v>0.70079991206463255</v>
      </c>
      <c r="O5" s="8">
        <f>IF(F5&gt;0, G5/F5, 0)</f>
        <v>0.81179997575982266</v>
      </c>
      <c r="P5" s="8" cm="1">
        <f t="array" aca="1" ref="P5" ca="1">IF(ROW()-2&gt;1, (L5/INDIRECT("L"&amp;ROW()-1))-1, "")</f>
        <v>1.0100907155465411E-2</v>
      </c>
      <c r="Q5" s="8" cm="1">
        <f t="array" aca="1" ref="Q5" ca="1">IF(ROW()-2&gt;1, (M5/INDIRECT("M"&amp;ROW()-1))-1, "")</f>
        <v>-3.9999561912037906E-2</v>
      </c>
      <c r="R5" s="8" cm="1">
        <f t="array" aca="1" ref="R5" ca="1">IF(ROW()-2&gt;1, (N5/INDIRECT("N"&amp;ROW()-1))-1, "")</f>
        <v>-3.0303390981044731E-2</v>
      </c>
      <c r="S5" s="8" cm="1">
        <f t="array" aca="1" ref="S5" ca="1">IF(ROW()-2&gt;1, (O5/INDIRECT("O"&amp;ROW()-1))-1, "")</f>
        <v>1.0204594565804248E-2</v>
      </c>
    </row>
    <row r="6" spans="2:19" x14ac:dyDescent="0.35">
      <c r="B6" s="3">
        <v>43469</v>
      </c>
      <c r="C6" s="4">
        <v>21717340</v>
      </c>
      <c r="D6" s="4">
        <v>5700801</v>
      </c>
      <c r="E6" s="4">
        <v>2303123</v>
      </c>
      <c r="F6" s="4">
        <v>1597216</v>
      </c>
      <c r="G6" s="4">
        <v>1296620</v>
      </c>
      <c r="H6" s="8">
        <f>IF(C6&gt;0, G6/C6, 0)</f>
        <v>5.9704365267569601E-2</v>
      </c>
      <c r="I6" s="8" t="str" cm="1">
        <f t="array" aca="1" ref="I6" ca="1">IF(ROW()-2&gt;7, (G6/INDIRECT("G"&amp;ROW()-7))-1, "")</f>
        <v/>
      </c>
      <c r="J6" s="8" t="str" cm="1">
        <f t="array" aca="1" ref="J6" ca="1">IF(ROW()-2&gt;7, (C6/INDIRECT("C"&amp;ROW()-7))-1, "")</f>
        <v/>
      </c>
      <c r="K6" s="8" t="str" cm="1">
        <f t="array" aca="1" ref="K6" ca="1">IF(ROW()-2&gt;7, (H6/INDIRECT("H"&amp;ROW()-7))-1, "")</f>
        <v/>
      </c>
      <c r="L6" s="8">
        <f>IF(D6&gt;0, D6/C6, 0)</f>
        <v>0.2624999654653839</v>
      </c>
      <c r="M6" s="8">
        <f>IF(D6&gt;0, E6/D6, 0)</f>
        <v>0.40399989404997649</v>
      </c>
      <c r="N6" s="8">
        <f>IF(E6&gt;0, F6/E6, 0)</f>
        <v>0.69350008662151352</v>
      </c>
      <c r="O6" s="8">
        <f>IF(F6&gt;0, G6/F6, 0)</f>
        <v>0.811800032055777</v>
      </c>
      <c r="P6" s="8" cm="1">
        <f t="array" aca="1" ref="P6" ca="1">IF(ROW()-2&gt;1, (L6/INDIRECT("L"&amp;ROW()-1))-1, "")</f>
        <v>4.9999962587497615E-2</v>
      </c>
      <c r="Q6" s="8" cm="1">
        <f t="array" aca="1" ref="Q6" ca="1">IF(ROW()-2&gt;1, (M6/INDIRECT("M"&amp;ROW()-1))-1, "")</f>
        <v>5.2082964906503326E-2</v>
      </c>
      <c r="R6" s="8" cm="1">
        <f t="array" aca="1" ref="R6" ca="1">IF(ROW()-2&gt;1, (N6/INDIRECT("N"&amp;ROW()-1))-1, "")</f>
        <v>-1.041641889139644E-2</v>
      </c>
      <c r="S6" s="8" cm="1">
        <f t="array" aca="1" ref="S6" ca="1">IF(ROW()-2&gt;1, (O6/INDIRECT("O"&amp;ROW()-1))-1, "")</f>
        <v>6.9347075637438138E-8</v>
      </c>
    </row>
    <row r="7" spans="2:19" x14ac:dyDescent="0.35">
      <c r="B7" s="3">
        <v>43470</v>
      </c>
      <c r="C7" s="4">
        <v>42645263</v>
      </c>
      <c r="D7" s="4">
        <v>8776395</v>
      </c>
      <c r="E7" s="4">
        <v>2924294</v>
      </c>
      <c r="F7" s="4">
        <v>2087946</v>
      </c>
      <c r="G7" s="4">
        <v>1596026</v>
      </c>
      <c r="H7" s="8">
        <f>IF(C7&gt;0, G7/C7, 0)</f>
        <v>3.7425633885761242E-2</v>
      </c>
      <c r="I7" s="8" t="str" cm="1">
        <f t="array" aca="1" ref="I7" ca="1">IF(ROW()-2&gt;7, (G7/INDIRECT("G"&amp;ROW()-7))-1, "")</f>
        <v/>
      </c>
      <c r="J7" s="8" t="str" cm="1">
        <f t="array" aca="1" ref="J7" ca="1">IF(ROW()-2&gt;7, (C7/INDIRECT("C"&amp;ROW()-7))-1, "")</f>
        <v/>
      </c>
      <c r="K7" s="8" t="str" cm="1">
        <f t="array" aca="1" ref="K7" ca="1">IF(ROW()-2&gt;7, (H7/INDIRECT("H"&amp;ROW()-7))-1, "")</f>
        <v/>
      </c>
      <c r="L7" s="8">
        <f>IF(D7&gt;0, D7/C7, 0)</f>
        <v>0.20579999705946239</v>
      </c>
      <c r="M7" s="8">
        <f>IF(D7&gt;0, E7/D7, 0)</f>
        <v>0.3331999072512119</v>
      </c>
      <c r="N7" s="8">
        <f>IF(E7&gt;0, F7/E7, 0)</f>
        <v>0.714000028724882</v>
      </c>
      <c r="O7" s="8">
        <f>IF(F7&gt;0, G7/F7, 0)</f>
        <v>0.76440003716571214</v>
      </c>
      <c r="P7" s="8" cm="1">
        <f t="array" aca="1" ref="P7" ca="1">IF(ROW()-2&gt;1, (L7/INDIRECT("L"&amp;ROW()-1))-1, "")</f>
        <v>-0.21599990805864921</v>
      </c>
      <c r="Q7" s="8" cm="1">
        <f t="array" aca="1" ref="Q7" ca="1">IF(ROW()-2&gt;1, (M7/INDIRECT("M"&amp;ROW()-1))-1, "")</f>
        <v>-0.17524753803526083</v>
      </c>
      <c r="R7" s="8" cm="1">
        <f t="array" aca="1" ref="R7" ca="1">IF(ROW()-2&gt;1, (N7/INDIRECT("N"&amp;ROW()-1))-1, "")</f>
        <v>2.9560114697659179E-2</v>
      </c>
      <c r="S7" s="8" cm="1">
        <f t="array" aca="1" ref="S7" ca="1">IF(ROW()-2&gt;1, (O7/INDIRECT("O"&amp;ROW()-1))-1, "")</f>
        <v>-5.8388757105651501E-2</v>
      </c>
    </row>
    <row r="8" spans="2:19" x14ac:dyDescent="0.35">
      <c r="B8" s="3">
        <v>43471</v>
      </c>
      <c r="C8" s="4">
        <v>43543058</v>
      </c>
      <c r="D8" s="4">
        <v>8778280</v>
      </c>
      <c r="E8" s="4">
        <v>3014461</v>
      </c>
      <c r="F8" s="4">
        <v>2049833</v>
      </c>
      <c r="G8" s="4">
        <v>1582881</v>
      </c>
      <c r="H8" s="8">
        <f>IF(C8&gt;0, G8/C8, 0)</f>
        <v>3.6352086249890857E-2</v>
      </c>
      <c r="I8" s="8" t="str" cm="1">
        <f t="array" aca="1" ref="I8" ca="1">IF(ROW()-2&gt;7, (G8/INDIRECT("G"&amp;ROW()-7))-1, "")</f>
        <v/>
      </c>
      <c r="J8" s="8" t="str" cm="1">
        <f t="array" aca="1" ref="J8" ca="1">IF(ROW()-2&gt;7, (C8/INDIRECT("C"&amp;ROW()-7))-1, "")</f>
        <v/>
      </c>
      <c r="K8" s="8" t="str" cm="1">
        <f t="array" aca="1" ref="K8" ca="1">IF(ROW()-2&gt;7, (H8/INDIRECT("H"&amp;ROW()-7))-1, "")</f>
        <v/>
      </c>
      <c r="L8" s="8">
        <f>IF(D8&gt;0, D8/C8, 0)</f>
        <v>0.2015999886824669</v>
      </c>
      <c r="M8" s="8">
        <f>IF(D8&gt;0, E8/D8, 0)</f>
        <v>0.34339995990102845</v>
      </c>
      <c r="N8" s="8">
        <f>IF(E8&gt;0, F8/E8, 0)</f>
        <v>0.67999984076755349</v>
      </c>
      <c r="O8" s="8">
        <f>IF(F8&gt;0, G8/F8, 0)</f>
        <v>0.77219997921781924</v>
      </c>
      <c r="P8" s="8" cm="1">
        <f t="array" aca="1" ref="P8" ca="1">IF(ROW()-2&gt;1, (L8/INDIRECT("L"&amp;ROW()-1))-1, "")</f>
        <v>-2.0408204261450846E-2</v>
      </c>
      <c r="Q8" s="8" cm="1">
        <f t="array" aca="1" ref="Q8" ca="1">IF(ROW()-2&gt;1, (M8/INDIRECT("M"&amp;ROW()-1))-1, "")</f>
        <v>3.0612411431814479E-2</v>
      </c>
      <c r="R8" s="8" cm="1">
        <f t="array" aca="1" ref="R8" ca="1">IF(ROW()-2&gt;1, (N8/INDIRECT("N"&amp;ROW()-1))-1, "")</f>
        <v>-4.7619308948836814E-2</v>
      </c>
      <c r="S8" s="8" cm="1">
        <f t="array" aca="1" ref="S8" ca="1">IF(ROW()-2&gt;1, (O8/INDIRECT("O"&amp;ROW()-1))-1, "")</f>
        <v>1.0204005328189325E-2</v>
      </c>
    </row>
    <row r="9" spans="2:19" x14ac:dyDescent="0.35">
      <c r="B9" s="3">
        <v>43472</v>
      </c>
      <c r="C9" s="4">
        <v>22803207</v>
      </c>
      <c r="D9" s="4">
        <v>5415761</v>
      </c>
      <c r="E9" s="4">
        <v>2079652</v>
      </c>
      <c r="F9" s="4">
        <v>1442239</v>
      </c>
      <c r="G9" s="4">
        <v>1123504</v>
      </c>
      <c r="H9" s="8">
        <f>IF(C9&gt;0, G9/C9, 0)</f>
        <v>4.9269561075334707E-2</v>
      </c>
      <c r="I9" s="8" t="str" cm="1">
        <f t="array" aca="1" ref="I9" ca="1">IF(ROW()-2&gt;7, (G9/INDIRECT("G"&amp;ROW()-7))-1, "")</f>
        <v/>
      </c>
      <c r="J9" s="8" t="str" cm="1">
        <f t="array" aca="1" ref="J9" ca="1">IF(ROW()-2&gt;7, (C9/INDIRECT("C"&amp;ROW()-7))-1, "")</f>
        <v/>
      </c>
      <c r="K9" s="8" t="str" cm="1">
        <f t="array" aca="1" ref="K9" ca="1">IF(ROW()-2&gt;7, (H9/INDIRECT("H"&amp;ROW()-7))-1, "")</f>
        <v/>
      </c>
      <c r="L9" s="8">
        <f>IF(D9&gt;0, D9/C9, 0)</f>
        <v>0.23749997094706898</v>
      </c>
      <c r="M9" s="8">
        <f>IF(D9&gt;0, E9/D9, 0)</f>
        <v>0.3839999586392383</v>
      </c>
      <c r="N9" s="8">
        <f>IF(E9&gt;0, F9/E9, 0)</f>
        <v>0.69350016252719204</v>
      </c>
      <c r="O9" s="8">
        <f>IF(F9&gt;0, G9/F9, 0)</f>
        <v>0.77899987450068953</v>
      </c>
      <c r="P9" s="8" cm="1">
        <f t="array" aca="1" ref="P9" ca="1">IF(ROW()-2&gt;1, (L9/INDIRECT("L"&amp;ROW()-1))-1, "")</f>
        <v>0.17807531884908445</v>
      </c>
      <c r="Q9" s="8" cm="1">
        <f t="array" aca="1" ref="Q9" ca="1">IF(ROW()-2&gt;1, (M9/INDIRECT("M"&amp;ROW()-1))-1, "")</f>
        <v>0.11822948013712997</v>
      </c>
      <c r="R9" s="8" cm="1">
        <f t="array" aca="1" ref="R9" ca="1">IF(ROW()-2&gt;1, (N9/INDIRECT("N"&amp;ROW()-1))-1, "")</f>
        <v>1.9853419001392592E-2</v>
      </c>
      <c r="S9" s="8" cm="1">
        <f t="array" aca="1" ref="S9" ca="1">IF(ROW()-2&gt;1, (O9/INDIRECT("O"&amp;ROW()-1))-1, "")</f>
        <v>8.8058734341822653E-3</v>
      </c>
    </row>
    <row r="10" spans="2:19" x14ac:dyDescent="0.35">
      <c r="B10" s="3">
        <v>43473</v>
      </c>
      <c r="C10" s="4">
        <v>21717340</v>
      </c>
      <c r="D10" s="4">
        <v>5320748</v>
      </c>
      <c r="E10" s="4">
        <v>2085733</v>
      </c>
      <c r="F10" s="4">
        <v>1583488</v>
      </c>
      <c r="G10" s="4">
        <v>1311445</v>
      </c>
      <c r="H10" s="8">
        <f>IF(C10&gt;0, G10/C10, 0)</f>
        <v>6.0386999512831684E-2</v>
      </c>
      <c r="I10" s="8" cm="1">
        <f t="array" aca="1" ref="I10" ca="1">IF(ROW()-2&gt;7, (G10/INDIRECT("G"&amp;ROW()-7))-1, "")</f>
        <v>3.1356703048005974E-2</v>
      </c>
      <c r="J10" s="8" cm="1">
        <f t="array" aca="1" ref="J10" ca="1">IF(ROW()-2&gt;7, (C10/INDIRECT("C"&amp;ROW()-7))-1, "")</f>
        <v>4.1666686651977258E-2</v>
      </c>
      <c r="K10" s="8" cm="1">
        <f t="array" aca="1" ref="K10" ca="1">IF(ROW()-2&gt;7, (H10/INDIRECT("H"&amp;ROW()-7))-1, "")</f>
        <v>-9.8975840699184747E-3</v>
      </c>
      <c r="L10" s="8">
        <f>IF(D10&gt;0, D10/C10, 0)</f>
        <v>0.24499998618615354</v>
      </c>
      <c r="M10" s="8">
        <f>IF(D10&gt;0, E10/D10, 0)</f>
        <v>0.39199995940420407</v>
      </c>
      <c r="N10" s="8">
        <f>IF(E10&gt;0, F10/E10, 0)</f>
        <v>0.75919976334458916</v>
      </c>
      <c r="O10" s="8">
        <f>IF(F10&gt;0, G10/F10, 0)</f>
        <v>0.82820015055371432</v>
      </c>
      <c r="P10" s="8" cm="1">
        <f t="array" aca="1" ref="P10" ca="1">IF(ROW()-2&gt;1, (L10/INDIRECT("L"&amp;ROW()-1))-1, "")</f>
        <v>3.1579015395989618E-2</v>
      </c>
      <c r="Q10" s="8" cm="1">
        <f t="array" aca="1" ref="Q10" ca="1">IF(ROW()-2&gt;1, (M10/INDIRECT("M"&amp;ROW()-1))-1, "")</f>
        <v>2.0833337569396981E-2</v>
      </c>
      <c r="R10" s="8" cm="1">
        <f t="array" aca="1" ref="R10" ca="1">IF(ROW()-2&gt;1, (N10/INDIRECT("N"&amp;ROW()-1))-1, "")</f>
        <v>9.4736244297305428E-2</v>
      </c>
      <c r="S10" s="8" cm="1">
        <f t="array" aca="1" ref="S10" ca="1">IF(ROW()-2&gt;1, (O10/INDIRECT("O"&amp;ROW()-1))-1, "")</f>
        <v>6.3158259280285955E-2</v>
      </c>
    </row>
    <row r="11" spans="2:19" x14ac:dyDescent="0.35">
      <c r="B11" s="3">
        <v>43474</v>
      </c>
      <c r="C11" s="4">
        <v>22586034</v>
      </c>
      <c r="D11" s="4">
        <v>5872368</v>
      </c>
      <c r="E11" s="4">
        <v>2372437</v>
      </c>
      <c r="F11" s="4">
        <v>1766516</v>
      </c>
      <c r="G11" s="4">
        <v>1506485</v>
      </c>
      <c r="H11" s="8">
        <f>IF(C11&gt;0, G11/C11, 0)</f>
        <v>6.6699846462641474E-2</v>
      </c>
      <c r="I11" s="8" cm="1">
        <f t="array" aca="1" ref="I11" ca="1">IF(ROW()-2&gt;7, (G11/INDIRECT("G"&amp;ROW()-7))-1, "")</f>
        <v>0.1945488699447242</v>
      </c>
      <c r="J11" s="8" cm="1">
        <f t="array" aca="1" ref="J11" ca="1">IF(ROW()-2&gt;7, (C11/INDIRECT("C"&amp;ROW()-7))-1, "")</f>
        <v>2.9703007310898588E-2</v>
      </c>
      <c r="K11" s="8" cm="1">
        <f t="array" aca="1" ref="K11" ca="1">IF(ROW()-2&gt;7, (H11/INDIRECT("H"&amp;ROW()-7))-1, "")</f>
        <v>0.16009068776474278</v>
      </c>
      <c r="L11" s="8">
        <f>IF(D11&gt;0, D11/C11, 0)</f>
        <v>0.25999996280887561</v>
      </c>
      <c r="M11" s="8">
        <f>IF(D11&gt;0, E11/D11, 0)</f>
        <v>0.40400005585481019</v>
      </c>
      <c r="N11" s="8">
        <f>IF(E11&gt;0, F11/E11, 0)</f>
        <v>0.74459975122627076</v>
      </c>
      <c r="O11" s="8">
        <f>IF(F11&gt;0, G11/F11, 0)</f>
        <v>0.85280008785654926</v>
      </c>
      <c r="P11" s="8" cm="1">
        <f t="array" aca="1" ref="P11" ca="1">IF(ROW()-2&gt;1, (L11/INDIRECT("L"&amp;ROW()-1))-1, "")</f>
        <v>6.1224397830475397E-2</v>
      </c>
      <c r="Q11" s="8" cm="1">
        <f t="array" aca="1" ref="Q11" ca="1">IF(ROW()-2&gt;1, (M11/INDIRECT("M"&amp;ROW()-1))-1, "")</f>
        <v>3.0612494115675126E-2</v>
      </c>
      <c r="R11" s="8" cm="1">
        <f t="array" aca="1" ref="R11" ca="1">IF(ROW()-2&gt;1, (N11/INDIRECT("N"&amp;ROW()-1))-1, "")</f>
        <v>-1.923079118728821E-2</v>
      </c>
      <c r="S11" s="8" cm="1">
        <f t="array" aca="1" ref="S11" ca="1">IF(ROW()-2&gt;1, (O11/INDIRECT("O"&amp;ROW()-1))-1, "")</f>
        <v>2.9702889194584303E-2</v>
      </c>
    </row>
    <row r="12" spans="2:19" x14ac:dyDescent="0.35">
      <c r="B12" s="3">
        <v>43475</v>
      </c>
      <c r="C12" s="4">
        <v>10641496</v>
      </c>
      <c r="D12" s="4">
        <v>2740185</v>
      </c>
      <c r="E12" s="4">
        <v>1063191</v>
      </c>
      <c r="F12" s="4">
        <v>760607</v>
      </c>
      <c r="G12" s="4">
        <v>623698</v>
      </c>
      <c r="H12" s="8">
        <f>IF(C12&gt;0, G12/C12, 0)</f>
        <v>5.8609992429635833E-2</v>
      </c>
      <c r="I12" s="8" cm="1">
        <f t="array" aca="1" ref="I12" ca="1">IF(ROW()-2&gt;7, (G12/INDIRECT("G"&amp;ROW()-7))-1, "")</f>
        <v>-0.4522502426107996</v>
      </c>
      <c r="J12" s="8" cm="1">
        <f t="array" aca="1" ref="J12" ca="1">IF(ROW()-2&gt;7, (C12/INDIRECT("C"&amp;ROW()-7))-1, "")</f>
        <v>-0.48958335231937844</v>
      </c>
      <c r="K12" s="8" cm="1">
        <f t="array" aca="1" ref="K12" ca="1">IF(ROW()-2&gt;7, (H12/INDIRECT("H"&amp;ROW()-7))-1, "")</f>
        <v>7.3142421741578811E-2</v>
      </c>
      <c r="L12" s="8">
        <f>IF(D12&gt;0, D12/C12, 0)</f>
        <v>0.25749997932621504</v>
      </c>
      <c r="M12" s="8">
        <f>IF(D12&gt;0, E12/D12, 0)</f>
        <v>0.3879997153476864</v>
      </c>
      <c r="N12" s="8">
        <f>IF(E12&gt;0, F12/E12, 0)</f>
        <v>0.71540014917357275</v>
      </c>
      <c r="O12" s="8">
        <f>IF(F12&gt;0, G12/F12, 0)</f>
        <v>0.82000034183224713</v>
      </c>
      <c r="P12" s="8" cm="1">
        <f t="array" aca="1" ref="P12" ca="1">IF(ROW()-2&gt;1, (L12/INDIRECT("L"&amp;ROW()-1))-1, "")</f>
        <v>-9.6153224625584732E-3</v>
      </c>
      <c r="Q12" s="8" cm="1">
        <f t="array" aca="1" ref="Q12" ca="1">IF(ROW()-2&gt;1, (M12/INDIRECT("M"&amp;ROW()-1))-1, "")</f>
        <v>-3.9604797759914212E-2</v>
      </c>
      <c r="R12" s="8" cm="1">
        <f t="array" aca="1" ref="R12" ca="1">IF(ROW()-2&gt;1, (N12/INDIRECT("N"&amp;ROW()-1))-1, "")</f>
        <v>-3.9215164932045132E-2</v>
      </c>
      <c r="S12" s="8" cm="1">
        <f t="array" aca="1" ref="S12" ca="1">IF(ROW()-2&gt;1, (O12/INDIRECT("O"&amp;ROW()-1))-1, "")</f>
        <v>-3.8461236685307876E-2</v>
      </c>
    </row>
    <row r="13" spans="2:19" x14ac:dyDescent="0.35">
      <c r="B13" s="3">
        <v>43476</v>
      </c>
      <c r="C13" s="4">
        <v>20631473</v>
      </c>
      <c r="D13" s="4">
        <v>4951553</v>
      </c>
      <c r="E13" s="4">
        <v>2000427</v>
      </c>
      <c r="F13" s="4">
        <v>1431105</v>
      </c>
      <c r="G13" s="4">
        <v>1126566</v>
      </c>
      <c r="H13" s="8">
        <f>IF(C13&gt;0, G13/C13, 0)</f>
        <v>5.4604244689654489E-2</v>
      </c>
      <c r="I13" s="8" cm="1">
        <f t="array" aca="1" ref="I13" ca="1">IF(ROW()-2&gt;7, (G13/INDIRECT("G"&amp;ROW()-7))-1, "")</f>
        <v>-0.13115176381669258</v>
      </c>
      <c r="J13" s="8" cm="1">
        <f t="array" aca="1" ref="J13" ca="1">IF(ROW()-2&gt;7, (C13/INDIRECT("C"&amp;ROW()-7))-1, "")</f>
        <v>-5.0000000000000044E-2</v>
      </c>
      <c r="K13" s="8" cm="1">
        <f t="array" aca="1" ref="K13" ca="1">IF(ROW()-2&gt;7, (H13/INDIRECT("H"&amp;ROW()-7))-1, "")</f>
        <v>-8.5422909280729042E-2</v>
      </c>
      <c r="L13" s="8">
        <f>IF(D13&gt;0, D13/C13, 0)</f>
        <v>0.23999997479578894</v>
      </c>
      <c r="M13" s="8">
        <f>IF(D13&gt;0, E13/D13, 0)</f>
        <v>0.40399991679378167</v>
      </c>
      <c r="N13" s="8">
        <f>IF(E13&gt;0, F13/E13, 0)</f>
        <v>0.71539976215078083</v>
      </c>
      <c r="O13" s="8">
        <f>IF(F13&gt;0, G13/F13, 0)</f>
        <v>0.78720010062154766</v>
      </c>
      <c r="P13" s="8" cm="1">
        <f t="array" aca="1" ref="P13" ca="1">IF(ROW()-2&gt;1, (L13/INDIRECT("L"&amp;ROW()-1))-1, "")</f>
        <v>-6.7961188098800362E-2</v>
      </c>
      <c r="Q13" s="8" cm="1">
        <f t="array" aca="1" ref="Q13" ca="1">IF(ROW()-2&gt;1, (M13/INDIRECT("M"&amp;ROW()-1))-1, "")</f>
        <v>4.1237662846627332E-2</v>
      </c>
      <c r="R13" s="8" cm="1">
        <f t="array" aca="1" ref="R13" ca="1">IF(ROW()-2&gt;1, (N13/INDIRECT("N"&amp;ROW()-1))-1, "")</f>
        <v>-5.4098785462475263E-7</v>
      </c>
      <c r="S13" s="8" cm="1">
        <f t="array" aca="1" ref="S13" ca="1">IF(ROW()-2&gt;1, (O13/INDIRECT("O"&amp;ROW()-1))-1, "")</f>
        <v>-4.0000277484530167E-2</v>
      </c>
    </row>
    <row r="14" spans="2:19" x14ac:dyDescent="0.35">
      <c r="B14" s="3">
        <v>43477</v>
      </c>
      <c r="C14" s="4">
        <v>42645263</v>
      </c>
      <c r="D14" s="4">
        <v>9045060</v>
      </c>
      <c r="E14" s="4">
        <v>3075320</v>
      </c>
      <c r="F14" s="4">
        <v>2133042</v>
      </c>
      <c r="G14" s="4">
        <v>1680410</v>
      </c>
      <c r="H14" s="8">
        <f>IF(C14&gt;0, G14/C14, 0)</f>
        <v>3.9404376518911377E-2</v>
      </c>
      <c r="I14" s="8" cm="1">
        <f t="array" aca="1" ref="I14" ca="1">IF(ROW()-2&gt;7, (G14/INDIRECT("G"&amp;ROW()-7))-1, "")</f>
        <v>5.2871319138911188E-2</v>
      </c>
      <c r="J14" s="8" cm="1">
        <f t="array" aca="1" ref="J14" ca="1">IF(ROW()-2&gt;7, (C14/INDIRECT("C"&amp;ROW()-7))-1, "")</f>
        <v>0</v>
      </c>
      <c r="K14" s="8" cm="1">
        <f t="array" aca="1" ref="K14" ca="1">IF(ROW()-2&gt;7, (H14/INDIRECT("H"&amp;ROW()-7))-1, "")</f>
        <v>5.2871319138911188E-2</v>
      </c>
      <c r="L14" s="8">
        <f>IF(D14&gt;0, D14/C14, 0)</f>
        <v>0.21209999338027297</v>
      </c>
      <c r="M14" s="8">
        <f>IF(D14&gt;0, E14/D14, 0)</f>
        <v>0.33999995577696557</v>
      </c>
      <c r="N14" s="8">
        <f>IF(E14&gt;0, F14/E14, 0)</f>
        <v>0.69360001560813178</v>
      </c>
      <c r="O14" s="8">
        <f>IF(F14&gt;0, G14/F14, 0)</f>
        <v>0.78779977140628266</v>
      </c>
      <c r="P14" s="8" cm="1">
        <f t="array" aca="1" ref="P14" ca="1">IF(ROW()-2&gt;1, (L14/INDIRECT("L"&amp;ROW()-1))-1, "")</f>
        <v>-0.11624993477293277</v>
      </c>
      <c r="Q14" s="8" cm="1">
        <f t="array" aca="1" ref="Q14" ca="1">IF(ROW()-2&gt;1, (M14/INDIRECT("M"&amp;ROW()-1))-1, "")</f>
        <v>-0.15841577771780668</v>
      </c>
      <c r="R14" s="8" cm="1">
        <f t="array" aca="1" ref="R14" ca="1">IF(ROW()-2&gt;1, (N14/INDIRECT("N"&amp;ROW()-1))-1, "")</f>
        <v>-3.0472118801256221E-2</v>
      </c>
      <c r="S14" s="8" cm="1">
        <f t="array" aca="1" ref="S14" ca="1">IF(ROW()-2&gt;1, (O14/INDIRECT("O"&amp;ROW()-1))-1, "")</f>
        <v>7.6177681413081011E-4</v>
      </c>
    </row>
    <row r="15" spans="2:19" x14ac:dyDescent="0.35">
      <c r="B15" s="3">
        <v>43478</v>
      </c>
      <c r="C15" s="4">
        <v>46236443</v>
      </c>
      <c r="D15" s="4">
        <v>9806749</v>
      </c>
      <c r="E15" s="4">
        <v>3300951</v>
      </c>
      <c r="F15" s="4">
        <v>2199754</v>
      </c>
      <c r="G15" s="4">
        <v>1630017</v>
      </c>
      <c r="H15" s="8">
        <f>IF(C15&gt;0, G15/C15, 0)</f>
        <v>3.5253944599501305E-2</v>
      </c>
      <c r="I15" s="8" cm="1">
        <f t="array" aca="1" ref="I15" ca="1">IF(ROW()-2&gt;7, (G15/INDIRECT("G"&amp;ROW()-7))-1, "")</f>
        <v>2.9778612542572747E-2</v>
      </c>
      <c r="J15" s="8" cm="1">
        <f t="array" aca="1" ref="J15" ca="1">IF(ROW()-2&gt;7, (C15/INDIRECT("C"&amp;ROW()-7))-1, "")</f>
        <v>6.1855669392811174E-2</v>
      </c>
      <c r="K15" s="8" cm="1">
        <f t="array" aca="1" ref="K15" ca="1">IF(ROW()-2&gt;7, (H15/INDIRECT("H"&amp;ROW()-7))-1, "")</f>
        <v>-3.0208490451984704E-2</v>
      </c>
      <c r="L15" s="8">
        <f>IF(D15&gt;0, D15/C15, 0)</f>
        <v>0.21209998788185327</v>
      </c>
      <c r="M15" s="8">
        <f>IF(D15&gt;0, E15/D15, 0)</f>
        <v>0.33659992725417975</v>
      </c>
      <c r="N15" s="8">
        <f>IF(E15&gt;0, F15/E15, 0)</f>
        <v>0.66640007682634494</v>
      </c>
      <c r="O15" s="8">
        <f>IF(F15&gt;0, G15/F15, 0)</f>
        <v>0.74099967541825129</v>
      </c>
      <c r="P15" s="8" cm="1">
        <f t="array" aca="1" ref="P15" ca="1">IF(ROW()-2&gt;1, (L15/INDIRECT("L"&amp;ROW()-1))-1, "")</f>
        <v>-2.592371461940246E-8</v>
      </c>
      <c r="Q15" s="8" cm="1">
        <f t="array" aca="1" ref="Q15" ca="1">IF(ROW()-2&gt;1, (M15/INDIRECT("M"&amp;ROW()-1))-1, "")</f>
        <v>-1.0000085191235075E-2</v>
      </c>
      <c r="R15" s="8" cm="1">
        <f t="array" aca="1" ref="R15" ca="1">IF(ROW()-2&gt;1, (N15/INDIRECT("N"&amp;ROW()-1))-1, "")</f>
        <v>-3.921559713048528E-2</v>
      </c>
      <c r="S15" s="8" cm="1">
        <f t="array" aca="1" ref="S15" ca="1">IF(ROW()-2&gt;1, (O15/INDIRECT("O"&amp;ROW()-1))-1, "")</f>
        <v>-5.940607967490219E-2</v>
      </c>
    </row>
    <row r="16" spans="2:19" x14ac:dyDescent="0.35">
      <c r="B16" s="3">
        <v>43479</v>
      </c>
      <c r="C16" s="4">
        <v>21065820</v>
      </c>
      <c r="D16" s="4">
        <v>5371784</v>
      </c>
      <c r="E16" s="4">
        <v>2084252</v>
      </c>
      <c r="F16" s="4">
        <v>1445428</v>
      </c>
      <c r="G16" s="4">
        <v>1197104</v>
      </c>
      <c r="H16" s="8">
        <f>IF(C16&gt;0, G16/C16, 0)</f>
        <v>5.6826840825564828E-2</v>
      </c>
      <c r="I16" s="8" cm="1">
        <f t="array" aca="1" ref="I16" ca="1">IF(ROW()-2&gt;7, (G16/INDIRECT("G"&amp;ROW()-7))-1, "")</f>
        <v>6.550933508024892E-2</v>
      </c>
      <c r="J16" s="8" cm="1">
        <f t="array" aca="1" ref="J16" ca="1">IF(ROW()-2&gt;7, (C16/INDIRECT("C"&amp;ROW()-7))-1, "")</f>
        <v>-7.6190467419780084E-2</v>
      </c>
      <c r="K16" s="8" cm="1">
        <f t="array" aca="1" ref="K16" ca="1">IF(ROW()-2&gt;7, (H16/INDIRECT("H"&amp;ROW()-7))-1, "")</f>
        <v>0.15338638269325777</v>
      </c>
      <c r="L16" s="8">
        <f>IF(D16&gt;0, D16/C16, 0)</f>
        <v>0.25499999525297379</v>
      </c>
      <c r="M16" s="8">
        <f>IF(D16&gt;0, E16/D16, 0)</f>
        <v>0.38799996425768424</v>
      </c>
      <c r="N16" s="8">
        <f>IF(E16&gt;0, F16/E16, 0)</f>
        <v>0.69349963440121443</v>
      </c>
      <c r="O16" s="8">
        <f>IF(F16&gt;0, G16/F16, 0)</f>
        <v>0.82820036695013521</v>
      </c>
      <c r="P16" s="8" cm="1">
        <f t="array" aca="1" ref="P16" ca="1">IF(ROW()-2&gt;1, (L16/INDIRECT("L"&amp;ROW()-1))-1, "")</f>
        <v>0.20226312976037142</v>
      </c>
      <c r="Q16" s="8" cm="1">
        <f t="array" aca="1" ref="Q16" ca="1">IF(ROW()-2&gt;1, (M16/INDIRECT("M"&amp;ROW()-1))-1, "")</f>
        <v>0.15270364858008523</v>
      </c>
      <c r="R16" s="8" cm="1">
        <f t="array" aca="1" ref="R16" ca="1">IF(ROW()-2&gt;1, (N16/INDIRECT("N"&amp;ROW()-1))-1, "")</f>
        <v>4.0665597915186424E-2</v>
      </c>
      <c r="S16" s="8" cm="1">
        <f t="array" aca="1" ref="S16" ca="1">IF(ROW()-2&gt;1, (O16/INDIRECT("O"&amp;ROW()-1))-1, "")</f>
        <v>0.11767979720458599</v>
      </c>
    </row>
    <row r="17" spans="2:19" x14ac:dyDescent="0.35">
      <c r="B17" s="3">
        <v>43480</v>
      </c>
      <c r="C17" s="4">
        <v>21282993</v>
      </c>
      <c r="D17" s="4">
        <v>5054710</v>
      </c>
      <c r="E17" s="4">
        <v>2042103</v>
      </c>
      <c r="F17" s="4">
        <v>1475828</v>
      </c>
      <c r="G17" s="4">
        <v>1198077</v>
      </c>
      <c r="H17" s="8">
        <f>IF(C17&gt;0, G17/C17, 0)</f>
        <v>5.6292693419576843E-2</v>
      </c>
      <c r="I17" s="8" cm="1">
        <f t="array" aca="1" ref="I17" ca="1">IF(ROW()-2&gt;7, (G17/INDIRECT("G"&amp;ROW()-7))-1, "")</f>
        <v>-8.6445104445859289E-2</v>
      </c>
      <c r="J17" s="8" cm="1">
        <f t="array" aca="1" ref="J17" ca="1">IF(ROW()-2&gt;7, (C17/INDIRECT("C"&amp;ROW()-7))-1, "")</f>
        <v>-2.0000009209230951E-2</v>
      </c>
      <c r="K17" s="8" cm="1">
        <f t="array" aca="1" ref="K17" ca="1">IF(ROW()-2&gt;7, (H17/INDIRECT("H"&amp;ROW()-7))-1, "")</f>
        <v>-6.7801118225535251E-2</v>
      </c>
      <c r="L17" s="8">
        <f>IF(D17&gt;0, D17/C17, 0)</f>
        <v>0.2374999606493316</v>
      </c>
      <c r="M17" s="8">
        <f>IF(D17&gt;0, E17/D17, 0)</f>
        <v>0.40400003165364579</v>
      </c>
      <c r="N17" s="8">
        <f>IF(E17&gt;0, F17/E17, 0)</f>
        <v>0.72270007928101565</v>
      </c>
      <c r="O17" s="8">
        <f>IF(F17&gt;0, G17/F17, 0)</f>
        <v>0.81179988453939078</v>
      </c>
      <c r="P17" s="8" cm="1">
        <f t="array" aca="1" ref="P17" ca="1">IF(ROW()-2&gt;1, (L17/INDIRECT("L"&amp;ROW()-1))-1, "")</f>
        <v>-6.8627587958506431E-2</v>
      </c>
      <c r="Q17" s="8" cm="1">
        <f t="array" aca="1" ref="Q17" ca="1">IF(ROW()-2&gt;1, (M17/INDIRECT("M"&amp;ROW()-1))-1, "")</f>
        <v>4.1237290901746881E-2</v>
      </c>
      <c r="R17" s="8" cm="1">
        <f t="array" aca="1" ref="R17" ca="1">IF(ROW()-2&gt;1, (N17/INDIRECT("N"&amp;ROW()-1))-1, "")</f>
        <v>4.2105926854617115E-2</v>
      </c>
      <c r="S17" s="8" cm="1">
        <f t="array" aca="1" ref="S17" ca="1">IF(ROW()-2&gt;1, (O17/INDIRECT("O"&amp;ROW()-1))-1, "")</f>
        <v>-1.9802553905088893E-2</v>
      </c>
    </row>
    <row r="18" spans="2:19" x14ac:dyDescent="0.35">
      <c r="B18" s="3">
        <v>43481</v>
      </c>
      <c r="C18" s="4">
        <v>21065820</v>
      </c>
      <c r="D18" s="4">
        <v>5529777</v>
      </c>
      <c r="E18" s="4">
        <v>2278268</v>
      </c>
      <c r="F18" s="4">
        <v>1663135</v>
      </c>
      <c r="G18" s="4">
        <v>1391046</v>
      </c>
      <c r="H18" s="8">
        <f>IF(C18&gt;0, G18/C18, 0)</f>
        <v>6.6033318427670989E-2</v>
      </c>
      <c r="I18" s="8" cm="1">
        <f t="array" aca="1" ref="I18" ca="1">IF(ROW()-2&gt;7, (G18/INDIRECT("G"&amp;ROW()-7))-1, "")</f>
        <v>-7.6628044753183744E-2</v>
      </c>
      <c r="J18" s="8" cm="1">
        <f t="array" aca="1" ref="J18" ca="1">IF(ROW()-2&gt;7, (C18/INDIRECT("C"&amp;ROW()-7))-1, "")</f>
        <v>-6.7307699970698742E-2</v>
      </c>
      <c r="K18" s="8" cm="1">
        <f t="array" aca="1" ref="K18" ca="1">IF(ROW()-2&gt;7, (H18/INDIRECT("H"&amp;ROW()-7))-1, "")</f>
        <v>-9.992947065385005E-3</v>
      </c>
      <c r="L18" s="8">
        <f>IF(D18&gt;0, D18/C18, 0)</f>
        <v>0.26249996439730333</v>
      </c>
      <c r="M18" s="8">
        <f>IF(D18&gt;0, E18/D18, 0)</f>
        <v>0.41199997757594925</v>
      </c>
      <c r="N18" s="8">
        <f>IF(E18&gt;0, F18/E18, 0)</f>
        <v>0.72999971908484862</v>
      </c>
      <c r="O18" s="8">
        <f>IF(F18&gt;0, G18/F18, 0)</f>
        <v>0.83639993145475267</v>
      </c>
      <c r="P18" s="8" cm="1">
        <f t="array" aca="1" ref="P18" ca="1">IF(ROW()-2&gt;1, (L18/INDIRECT("L"&amp;ROW()-1))-1, "")</f>
        <v>0.10526319111641547</v>
      </c>
      <c r="Q18" s="8" cm="1">
        <f t="array" aca="1" ref="Q18" ca="1">IF(ROW()-2&gt;1, (M18/INDIRECT("M"&amp;ROW()-1))-1, "")</f>
        <v>1.9801844790848788E-2</v>
      </c>
      <c r="R18" s="8" cm="1">
        <f t="array" aca="1" ref="R18" ca="1">IF(ROW()-2&gt;1, (N18/INDIRECT("N"&amp;ROW()-1))-1, "")</f>
        <v>1.010051058953132E-2</v>
      </c>
      <c r="S18" s="8" cm="1">
        <f t="array" aca="1" ref="S18" ca="1">IF(ROW()-2&gt;1, (O18/INDIRECT("O"&amp;ROW()-1))-1, "")</f>
        <v>3.0303092404749155E-2</v>
      </c>
    </row>
    <row r="19" spans="2:19" x14ac:dyDescent="0.35">
      <c r="B19" s="3">
        <v>43482</v>
      </c>
      <c r="C19" s="4">
        <v>22368860</v>
      </c>
      <c r="D19" s="4">
        <v>5648137</v>
      </c>
      <c r="E19" s="4">
        <v>2168884</v>
      </c>
      <c r="F19" s="4">
        <v>1535787</v>
      </c>
      <c r="G19" s="4">
        <v>1284532</v>
      </c>
      <c r="H19" s="8">
        <f>IF(C19&gt;0, G19/C19, 0)</f>
        <v>5.7425009589223593E-2</v>
      </c>
      <c r="I19" s="8" cm="1">
        <f t="array" aca="1" ref="I19" ca="1">IF(ROW()-2&gt;7, (G19/INDIRECT("G"&amp;ROW()-7))-1, "")</f>
        <v>1.0595416371384867</v>
      </c>
      <c r="J19" s="8" cm="1">
        <f t="array" aca="1" ref="J19" ca="1">IF(ROW()-2&gt;7, (C19/INDIRECT("C"&amp;ROW()-7))-1, "")</f>
        <v>1.1020409160516529</v>
      </c>
      <c r="K19" s="8" cm="1">
        <f t="array" aca="1" ref="K19" ca="1">IF(ROW()-2&gt;7, (H19/INDIRECT("H"&amp;ROW()-7))-1, "")</f>
        <v>-2.0218102601444077E-2</v>
      </c>
      <c r="L19" s="8">
        <f>IF(D19&gt;0, D19/C19, 0)</f>
        <v>0.25249999329424921</v>
      </c>
      <c r="M19" s="8">
        <f>IF(D19&gt;0, E19/D19, 0)</f>
        <v>0.38399989235388587</v>
      </c>
      <c r="N19" s="8">
        <f>IF(E19&gt;0, F19/E19, 0)</f>
        <v>0.70810011047156052</v>
      </c>
      <c r="O19" s="8">
        <f>IF(F19&gt;0, G19/F19, 0)</f>
        <v>0.83639983930063222</v>
      </c>
      <c r="P19" s="8" cm="1">
        <f t="array" aca="1" ref="P19" ca="1">IF(ROW()-2&gt;1, (L19/INDIRECT("L"&amp;ROW()-1))-1, "")</f>
        <v>-3.8095133178451812E-2</v>
      </c>
      <c r="Q19" s="8" cm="1">
        <f t="array" aca="1" ref="Q19" ca="1">IF(ROW()-2&gt;1, (M19/INDIRECT("M"&amp;ROW()-1))-1, "")</f>
        <v>-6.7961375597166751E-2</v>
      </c>
      <c r="R19" s="8" cm="1">
        <f t="array" aca="1" ref="R19" ca="1">IF(ROW()-2&gt;1, (N19/INDIRECT("N"&amp;ROW()-1))-1, "")</f>
        <v>-2.9999475398075681E-2</v>
      </c>
      <c r="S19" s="8" cm="1">
        <f t="array" aca="1" ref="S19" ca="1">IF(ROW()-2&gt;1, (O19/INDIRECT("O"&amp;ROW()-1))-1, "")</f>
        <v>-1.1017949308467223E-7</v>
      </c>
    </row>
    <row r="20" spans="2:19" x14ac:dyDescent="0.35">
      <c r="B20" s="3">
        <v>43483</v>
      </c>
      <c r="C20" s="4">
        <v>22151687</v>
      </c>
      <c r="D20" s="4">
        <v>5759438</v>
      </c>
      <c r="E20" s="4">
        <v>2395926</v>
      </c>
      <c r="F20" s="4">
        <v>1661575</v>
      </c>
      <c r="G20" s="4">
        <v>1307991</v>
      </c>
      <c r="H20" s="8">
        <f>IF(C20&gt;0, G20/C20, 0)</f>
        <v>5.9047015245385151E-2</v>
      </c>
      <c r="I20" s="8" cm="1">
        <f t="array" aca="1" ref="I20" ca="1">IF(ROW()-2&gt;7, (G20/INDIRECT("G"&amp;ROW()-7))-1, "")</f>
        <v>0.16104249551291261</v>
      </c>
      <c r="J20" s="8" cm="1">
        <f t="array" aca="1" ref="J20" ca="1">IF(ROW()-2&gt;7, (C20/INDIRECT("C"&amp;ROW()-7))-1, "")</f>
        <v>7.3684220220243013E-2</v>
      </c>
      <c r="K20" s="8" cm="1">
        <f t="array" aca="1" ref="K20" ca="1">IF(ROW()-2&gt;7, (H20/INDIRECT("H"&amp;ROW()-7))-1, "")</f>
        <v>8.136309880269077E-2</v>
      </c>
      <c r="L20" s="8">
        <f>IF(D20&gt;0, D20/C20, 0)</f>
        <v>0.25999997201116104</v>
      </c>
      <c r="M20" s="8">
        <f>IF(D20&gt;0, E20/D20, 0)</f>
        <v>0.4159999638853652</v>
      </c>
      <c r="N20" s="8">
        <f>IF(E20&gt;0, F20/E20, 0)</f>
        <v>0.69350013314267633</v>
      </c>
      <c r="O20" s="8">
        <f>IF(F20&gt;0, G20/F20, 0)</f>
        <v>0.7871994944555617</v>
      </c>
      <c r="P20" s="8" cm="1">
        <f t="array" aca="1" ref="P20" ca="1">IF(ROW()-2&gt;1, (L20/INDIRECT("L"&amp;ROW()-1))-1, "")</f>
        <v>2.9702886796403982E-2</v>
      </c>
      <c r="Q20" s="8" cm="1">
        <f t="array" aca="1" ref="Q20" ca="1">IF(ROW()-2&gt;1, (M20/INDIRECT("M"&amp;ROW()-1))-1, "")</f>
        <v>8.3333542973988095E-2</v>
      </c>
      <c r="R20" s="8" cm="1">
        <f t="array" aca="1" ref="R20" ca="1">IF(ROW()-2&gt;1, (N20/INDIRECT("N"&amp;ROW()-1))-1, "")</f>
        <v>-2.0618521467481887E-2</v>
      </c>
      <c r="S20" s="8" cm="1">
        <f t="array" aca="1" ref="S20" ca="1">IF(ROW()-2&gt;1, (O20/INDIRECT("O"&amp;ROW()-1))-1, "")</f>
        <v>-5.8823953010572194E-2</v>
      </c>
    </row>
    <row r="21" spans="2:19" x14ac:dyDescent="0.35">
      <c r="B21" s="3">
        <v>43484</v>
      </c>
      <c r="C21" s="4">
        <v>42645263</v>
      </c>
      <c r="D21" s="4">
        <v>8686840</v>
      </c>
      <c r="E21" s="4">
        <v>2894455</v>
      </c>
      <c r="F21" s="4">
        <v>2046958</v>
      </c>
      <c r="G21" s="4">
        <v>1612594</v>
      </c>
      <c r="H21" s="8">
        <f>IF(C21&gt;0, G21/C21, 0)</f>
        <v>3.7814141279888462E-2</v>
      </c>
      <c r="I21" s="8" cm="1">
        <f t="array" aca="1" ref="I21" ca="1">IF(ROW()-2&gt;7, (G21/INDIRECT("G"&amp;ROW()-7))-1, "")</f>
        <v>-4.0356817681399204E-2</v>
      </c>
      <c r="J21" s="8" cm="1">
        <f t="array" aca="1" ref="J21" ca="1">IF(ROW()-2&gt;7, (C21/INDIRECT("C"&amp;ROW()-7))-1, "")</f>
        <v>0</v>
      </c>
      <c r="K21" s="8" cm="1">
        <f t="array" aca="1" ref="K21" ca="1">IF(ROW()-2&gt;7, (H21/INDIRECT("H"&amp;ROW()-7))-1, "")</f>
        <v>-4.0356817681399204E-2</v>
      </c>
      <c r="L21" s="8">
        <f>IF(D21&gt;0, D21/C21, 0)</f>
        <v>0.20369999828585886</v>
      </c>
      <c r="M21" s="8">
        <f>IF(D21&gt;0, E21/D21, 0)</f>
        <v>0.33319998986973398</v>
      </c>
      <c r="N21" s="8">
        <f>IF(E21&gt;0, F21/E21, 0)</f>
        <v>0.7071998009988063</v>
      </c>
      <c r="O21" s="8">
        <f>IF(F21&gt;0, G21/F21, 0)</f>
        <v>0.78780023820713474</v>
      </c>
      <c r="P21" s="8" cm="1">
        <f t="array" aca="1" ref="P21" ca="1">IF(ROW()-2&gt;1, (L21/INDIRECT("L"&amp;ROW()-1))-1, "")</f>
        <v>-0.2165383837921544</v>
      </c>
      <c r="Q21" s="8" cm="1">
        <f t="array" aca="1" ref="Q21" ca="1">IF(ROW()-2&gt;1, (M21/INDIRECT("M"&amp;ROW()-1))-1, "")</f>
        <v>-0.19903841635536279</v>
      </c>
      <c r="R21" s="8" cm="1">
        <f t="array" aca="1" ref="R21" ca="1">IF(ROW()-2&gt;1, (N21/INDIRECT("N"&amp;ROW()-1))-1, "")</f>
        <v>1.9754383887495841E-2</v>
      </c>
      <c r="S21" s="8" cm="1">
        <f t="array" aca="1" ref="S21" ca="1">IF(ROW()-2&gt;1, (O21/INDIRECT("O"&amp;ROW()-1))-1, "")</f>
        <v>7.6314041841274438E-4</v>
      </c>
    </row>
    <row r="22" spans="2:19" x14ac:dyDescent="0.35">
      <c r="B22" s="3">
        <v>43485</v>
      </c>
      <c r="C22" s="4">
        <v>44440853</v>
      </c>
      <c r="D22" s="4">
        <v>9239253</v>
      </c>
      <c r="E22" s="4">
        <v>3267000</v>
      </c>
      <c r="F22" s="4">
        <v>2310422</v>
      </c>
      <c r="G22" s="4">
        <v>1820150</v>
      </c>
      <c r="H22" s="8">
        <f>IF(C22&gt;0, G22/C22, 0)</f>
        <v>4.0956684607291405E-2</v>
      </c>
      <c r="I22" s="8" cm="1">
        <f t="array" aca="1" ref="I22" ca="1">IF(ROW()-2&gt;7, (G22/INDIRECT("G"&amp;ROW()-7))-1, "")</f>
        <v>0.11664479572912434</v>
      </c>
      <c r="J22" s="8" cm="1">
        <f t="array" aca="1" ref="J22" ca="1">IF(ROW()-2&gt;7, (C22/INDIRECT("C"&amp;ROW()-7))-1, "")</f>
        <v>-3.8834951036350263E-2</v>
      </c>
      <c r="K22" s="8" cm="1">
        <f t="array" aca="1" ref="K22" ca="1">IF(ROW()-2&gt;7, (H22/INDIRECT("H"&amp;ROW()-7))-1, "")</f>
        <v>0.16176175666511861</v>
      </c>
      <c r="L22" s="8">
        <f>IF(D22&gt;0, D22/C22, 0)</f>
        <v>0.20789999237863413</v>
      </c>
      <c r="M22" s="8">
        <f>IF(D22&gt;0, E22/D22, 0)</f>
        <v>0.35360001506615307</v>
      </c>
      <c r="N22" s="8">
        <f>IF(E22&gt;0, F22/E22, 0)</f>
        <v>0.70719987756351388</v>
      </c>
      <c r="O22" s="8">
        <f>IF(F22&gt;0, G22/F22, 0)</f>
        <v>0.78779980453787235</v>
      </c>
      <c r="P22" s="8" cm="1">
        <f t="array" aca="1" ref="P22" ca="1">IF(ROW()-2&gt;1, (L22/INDIRECT("L"&amp;ROW()-1))-1, "")</f>
        <v>2.0618527874906034E-2</v>
      </c>
      <c r="Q22" s="8" cm="1">
        <f t="array" aca="1" ref="Q22" ca="1">IF(ROW()-2&gt;1, (M22/INDIRECT("M"&amp;ROW()-1))-1, "")</f>
        <v>6.1224567276831454E-2</v>
      </c>
      <c r="R22" s="8" cm="1">
        <f t="array" aca="1" ref="R22" ca="1">IF(ROW()-2&gt;1, (N22/INDIRECT("N"&amp;ROW()-1))-1, "")</f>
        <v>1.0826460572488372E-7</v>
      </c>
      <c r="S22" s="8" cm="1">
        <f t="array" aca="1" ref="S22" ca="1">IF(ROW()-2&gt;1, (O22/INDIRECT("O"&amp;ROW()-1))-1, "")</f>
        <v>-5.5048125313650331E-7</v>
      </c>
    </row>
    <row r="23" spans="2:19" x14ac:dyDescent="0.35">
      <c r="B23" s="3">
        <v>43486</v>
      </c>
      <c r="C23" s="4">
        <v>22151687</v>
      </c>
      <c r="D23" s="4">
        <v>5759438</v>
      </c>
      <c r="E23" s="4">
        <v>2395926</v>
      </c>
      <c r="F23" s="4">
        <v>1818987</v>
      </c>
      <c r="G23" s="4">
        <v>1476653</v>
      </c>
      <c r="H23" s="8">
        <f>IF(C23&gt;0, G23/C23, 0)</f>
        <v>6.6660972593193465E-2</v>
      </c>
      <c r="I23" s="8" cm="1">
        <f t="array" aca="1" ref="I23" ca="1">IF(ROW()-2&gt;7, (G23/INDIRECT("G"&amp;ROW()-7))-1, "")</f>
        <v>0.23352106416819263</v>
      </c>
      <c r="J23" s="8" cm="1">
        <f t="array" aca="1" ref="J23" ca="1">IF(ROW()-2&gt;7, (C23/INDIRECT("C"&amp;ROW()-7))-1, "")</f>
        <v>5.154639126319327E-2</v>
      </c>
      <c r="K23" s="8" cm="1">
        <f t="array" aca="1" ref="K23" ca="1">IF(ROW()-2&gt;7, (H23/INDIRECT("H"&amp;ROW()-7))-1, "")</f>
        <v>0.17305434588235169</v>
      </c>
      <c r="L23" s="8">
        <f>IF(D23&gt;0, D23/C23, 0)</f>
        <v>0.25999997201116104</v>
      </c>
      <c r="M23" s="8">
        <f>IF(D23&gt;0, E23/D23, 0)</f>
        <v>0.4159999638853652</v>
      </c>
      <c r="N23" s="8">
        <f>IF(E23&gt;0, F23/E23, 0)</f>
        <v>0.75919999198639687</v>
      </c>
      <c r="O23" s="8">
        <f>IF(F23&gt;0, G23/F23, 0)</f>
        <v>0.81179964452742104</v>
      </c>
      <c r="P23" s="8" cm="1">
        <f t="array" aca="1" ref="P23" ca="1">IF(ROW()-2&gt;1, (L23/INDIRECT("L"&amp;ROW()-1))-1, "")</f>
        <v>0.25060116182034653</v>
      </c>
      <c r="Q23" s="8" cm="1">
        <f t="array" aca="1" ref="Q23" ca="1">IF(ROW()-2&gt;1, (M23/INDIRECT("M"&amp;ROW()-1))-1, "")</f>
        <v>0.17647043597421241</v>
      </c>
      <c r="R23" s="8" cm="1">
        <f t="array" aca="1" ref="R23" ca="1">IF(ROW()-2&gt;1, (N23/INDIRECT("N"&amp;ROW()-1))-1, "")</f>
        <v>7.3529586291837035E-2</v>
      </c>
      <c r="S23" s="8" cm="1">
        <f t="array" aca="1" ref="S23" ca="1">IF(ROW()-2&gt;1, (O23/INDIRECT("O"&amp;ROW()-1))-1, "")</f>
        <v>3.046438936809226E-2</v>
      </c>
    </row>
    <row r="24" spans="2:19" x14ac:dyDescent="0.35">
      <c r="B24" s="3">
        <v>43487</v>
      </c>
      <c r="C24" s="4">
        <v>37570998</v>
      </c>
      <c r="D24" s="4">
        <v>9768459</v>
      </c>
      <c r="E24" s="4">
        <v>3751088</v>
      </c>
      <c r="F24" s="4">
        <v>2656145</v>
      </c>
      <c r="G24" s="4">
        <v>2221600</v>
      </c>
      <c r="H24" s="8">
        <f>IF(C24&gt;0, G24/C24, 0)</f>
        <v>5.9130715665311848E-2</v>
      </c>
      <c r="I24" s="8" cm="1">
        <f t="array" aca="1" ref="I24" ca="1">IF(ROW()-2&gt;7, (G24/INDIRECT("G"&amp;ROW()-7))-1, "")</f>
        <v>0.85430485686646174</v>
      </c>
      <c r="J24" s="8" cm="1">
        <f t="array" aca="1" ref="J24" ca="1">IF(ROW()-2&gt;7, (C24/INDIRECT("C"&amp;ROW()-7))-1, "")</f>
        <v>0.76530612964069489</v>
      </c>
      <c r="K24" s="8" cm="1">
        <f t="array" aca="1" ref="K24" ca="1">IF(ROW()-2&gt;7, (H24/INDIRECT("H"&amp;ROW()-7))-1, "")</f>
        <v>5.041546377221362E-2</v>
      </c>
      <c r="L24" s="8">
        <f>IF(D24&gt;0, D24/C24, 0)</f>
        <v>0.25999998722418821</v>
      </c>
      <c r="M24" s="8">
        <f>IF(D24&gt;0, E24/D24, 0)</f>
        <v>0.38399997379320527</v>
      </c>
      <c r="N24" s="8">
        <f>IF(E24&gt;0, F24/E24, 0)</f>
        <v>0.70809988995192863</v>
      </c>
      <c r="O24" s="8">
        <f>IF(F24&gt;0, G24/F24, 0)</f>
        <v>0.83640012122832152</v>
      </c>
      <c r="P24" s="8" cm="1">
        <f t="array" aca="1" ref="P24" ca="1">IF(ROW()-2&gt;1, (L24/INDIRECT("L"&amp;ROW()-1))-1, "")</f>
        <v>5.8511649303483182E-8</v>
      </c>
      <c r="Q24" s="8" cm="1">
        <f t="array" aca="1" ref="Q24" ca="1">IF(ROW()-2&gt;1, (M24/INDIRECT("M"&amp;ROW()-1))-1, "")</f>
        <v>-7.6923059784154146E-2</v>
      </c>
      <c r="R24" s="8" cm="1">
        <f t="array" aca="1" ref="R24" ca="1">IF(ROW()-2&gt;1, (N24/INDIRECT("N"&amp;ROW()-1))-1, "")</f>
        <v>-6.7307827415498456E-2</v>
      </c>
      <c r="S24" s="8" cm="1">
        <f t="array" aca="1" ref="S24" ca="1">IF(ROW()-2&gt;1, (O24/INDIRECT("O"&amp;ROW()-1))-1, "")</f>
        <v>3.0303630787152258E-2</v>
      </c>
    </row>
    <row r="25" spans="2:19" x14ac:dyDescent="0.35">
      <c r="B25" s="3">
        <v>43488</v>
      </c>
      <c r="C25" s="4">
        <v>21500167</v>
      </c>
      <c r="D25" s="4">
        <v>5428792</v>
      </c>
      <c r="E25" s="4">
        <v>2258377</v>
      </c>
      <c r="F25" s="4">
        <v>1648615</v>
      </c>
      <c r="G25" s="4">
        <v>1392420</v>
      </c>
      <c r="H25" s="8">
        <f>IF(C25&gt;0, G25/C25, 0)</f>
        <v>6.4763217885702939E-2</v>
      </c>
      <c r="I25" s="8" cm="1">
        <f t="array" aca="1" ref="I25" ca="1">IF(ROW()-2&gt;7, (G25/INDIRECT("G"&amp;ROW()-7))-1, "")</f>
        <v>9.8774591206907125E-4</v>
      </c>
      <c r="J25" s="8" cm="1">
        <f t="array" aca="1" ref="J25" ca="1">IF(ROW()-2&gt;7, (C25/INDIRECT("C"&amp;ROW()-7))-1, "")</f>
        <v>2.0618565999329652E-2</v>
      </c>
      <c r="K25" s="8" cm="1">
        <f t="array" aca="1" ref="K25" ca="1">IF(ROW()-2&gt;7, (H25/INDIRECT("H"&amp;ROW()-7))-1, "")</f>
        <v>-1.9234237688042999E-2</v>
      </c>
      <c r="L25" s="8">
        <f>IF(D25&gt;0, D25/C25, 0)</f>
        <v>0.25249999220936281</v>
      </c>
      <c r="M25" s="8">
        <f>IF(D25&gt;0, E25/D25, 0)</f>
        <v>0.41599991305616424</v>
      </c>
      <c r="N25" s="8">
        <f>IF(E25&gt;0, F25/E25, 0)</f>
        <v>0.7299999070128681</v>
      </c>
      <c r="O25" s="8">
        <f>IF(F25&gt;0, G25/F25, 0)</f>
        <v>0.84459986109552565</v>
      </c>
      <c r="P25" s="8" cm="1">
        <f t="array" aca="1" ref="P25" ca="1">IF(ROW()-2&gt;1, (L25/INDIRECT("L"&amp;ROW()-1))-1, "")</f>
        <v>-2.8846136089839214E-2</v>
      </c>
      <c r="Q25" s="8" cm="1">
        <f t="array" aca="1" ref="Q25" ca="1">IF(ROW()-2&gt;1, (M25/INDIRECT("M"&amp;ROW()-1))-1, "")</f>
        <v>8.3333180851183686E-2</v>
      </c>
      <c r="R25" s="8" cm="1">
        <f t="array" aca="1" ref="R25" ca="1">IF(ROW()-2&gt;1, (N25/INDIRECT("N"&amp;ROW()-1))-1, "")</f>
        <v>3.092786395211311E-2</v>
      </c>
      <c r="S25" s="8" cm="1">
        <f t="array" aca="1" ref="S25" ca="1">IF(ROW()-2&gt;1, (O25/INDIRECT("O"&amp;ROW()-1))-1, "")</f>
        <v>9.8036091328659314E-3</v>
      </c>
    </row>
    <row r="26" spans="2:19" x14ac:dyDescent="0.35">
      <c r="B26" s="3">
        <v>43489</v>
      </c>
      <c r="C26" s="4">
        <v>20631473</v>
      </c>
      <c r="D26" s="4">
        <v>4899974</v>
      </c>
      <c r="E26" s="4">
        <v>1861990</v>
      </c>
      <c r="F26" s="4">
        <v>1332067</v>
      </c>
      <c r="G26" s="4">
        <v>1059526</v>
      </c>
      <c r="H26" s="8">
        <f>IF(C26&gt;0, G26/C26, 0)</f>
        <v>5.1354840248197496E-2</v>
      </c>
      <c r="I26" s="8" cm="1">
        <f t="array" aca="1" ref="I26" ca="1">IF(ROW()-2&gt;7, (G26/INDIRECT("G"&amp;ROW()-7))-1, "")</f>
        <v>-0.17516574129721951</v>
      </c>
      <c r="J26" s="8" cm="1">
        <f t="array" aca="1" ref="J26" ca="1">IF(ROW()-2&gt;7, (C26/INDIRECT("C"&amp;ROW()-7))-1, "")</f>
        <v>-7.7669894666066996E-2</v>
      </c>
      <c r="K26" s="8" cm="1">
        <f t="array" aca="1" ref="K26" ca="1">IF(ROW()-2&gt;7, (H26/INDIRECT("H"&amp;ROW()-7))-1, "")</f>
        <v>-0.10570602224444781</v>
      </c>
      <c r="L26" s="8">
        <f>IF(D26&gt;0, D26/C26, 0)</f>
        <v>0.23749995940667931</v>
      </c>
      <c r="M26" s="8">
        <f>IF(D26&gt;0, E26/D26, 0)</f>
        <v>0.37999997551007414</v>
      </c>
      <c r="N26" s="8">
        <f>IF(E26&gt;0, F26/E26, 0)</f>
        <v>0.71539965305936126</v>
      </c>
      <c r="O26" s="8">
        <f>IF(F26&gt;0, G26/F26, 0)</f>
        <v>0.79539993108454754</v>
      </c>
      <c r="P26" s="8" cm="1">
        <f t="array" aca="1" ref="P26" ca="1">IF(ROW()-2&gt;1, (L26/INDIRECT("L"&amp;ROW()-1))-1, "")</f>
        <v>-5.9406072338592741E-2</v>
      </c>
      <c r="Q26" s="8" cm="1">
        <f t="array" aca="1" ref="Q26" ca="1">IF(ROW()-2&gt;1, (M26/INDIRECT("M"&amp;ROW()-1))-1, "")</f>
        <v>-8.6538329495347122E-2</v>
      </c>
      <c r="R26" s="8" cm="1">
        <f t="array" aca="1" ref="R26" ca="1">IF(ROW()-2&gt;1, (N26/INDIRECT("N"&amp;ROW()-1))-1, "")</f>
        <v>-2.0000350429153491E-2</v>
      </c>
      <c r="S26" s="8" cm="1">
        <f t="array" aca="1" ref="S26" ca="1">IF(ROW()-2&gt;1, (O26/INDIRECT("O"&amp;ROW()-1))-1, "")</f>
        <v>-5.8252353898284093E-2</v>
      </c>
    </row>
    <row r="27" spans="2:19" x14ac:dyDescent="0.35">
      <c r="B27" s="3">
        <v>43490</v>
      </c>
      <c r="C27" s="4">
        <v>20631473</v>
      </c>
      <c r="D27" s="4">
        <v>5054710</v>
      </c>
      <c r="E27" s="4">
        <v>2021884</v>
      </c>
      <c r="F27" s="4">
        <v>1520254</v>
      </c>
      <c r="G27" s="4">
        <v>1234142</v>
      </c>
      <c r="H27" s="8">
        <f>IF(C27&gt;0, G27/C27, 0)</f>
        <v>5.9818414322622526E-2</v>
      </c>
      <c r="I27" s="8" cm="1">
        <f t="array" aca="1" ref="I27" ca="1">IF(ROW()-2&gt;7, (G27/INDIRECT("G"&amp;ROW()-7))-1, "")</f>
        <v>-5.6459868607658614E-2</v>
      </c>
      <c r="J27" s="8" cm="1">
        <f t="array" aca="1" ref="J27" ca="1">IF(ROW()-2&gt;7, (C27/INDIRECT("C"&amp;ROW()-7))-1, "")</f>
        <v>-6.8627459389436152E-2</v>
      </c>
      <c r="K27" s="8" cm="1">
        <f t="array" aca="1" ref="K27" ca="1">IF(ROW()-2&gt;7, (H27/INDIRECT("H"&amp;ROW()-7))-1, "")</f>
        <v>1.3064150220491788E-2</v>
      </c>
      <c r="L27" s="8">
        <f>IF(D27&gt;0, D27/C27, 0)</f>
        <v>0.24499995710437156</v>
      </c>
      <c r="M27" s="8">
        <f>IF(D27&gt;0, E27/D27, 0)</f>
        <v>0.4</v>
      </c>
      <c r="N27" s="8">
        <f>IF(E27&gt;0, F27/E27, 0)</f>
        <v>0.75189971333667016</v>
      </c>
      <c r="O27" s="8">
        <f>IF(F27&gt;0, G27/F27, 0)</f>
        <v>0.81179987028483402</v>
      </c>
      <c r="P27" s="8" cm="1">
        <f t="array" aca="1" ref="P27" ca="1">IF(ROW()-2&gt;1, (L27/INDIRECT("L"&amp;ROW()-1))-1, "")</f>
        <v>3.1578943071942867E-2</v>
      </c>
      <c r="Q27" s="8" cm="1">
        <f t="array" aca="1" ref="Q27" ca="1">IF(ROW()-2&gt;1, (M27/INDIRECT("M"&amp;ROW()-1))-1, "")</f>
        <v>5.2631646786502673E-2</v>
      </c>
      <c r="R27" s="8" cm="1">
        <f t="array" aca="1" ref="R27" ca="1">IF(ROW()-2&gt;1, (N27/INDIRECT("N"&amp;ROW()-1))-1, "")</f>
        <v>5.102051716298539E-2</v>
      </c>
      <c r="S27" s="8" cm="1">
        <f t="array" aca="1" ref="S27" ca="1">IF(ROW()-2&gt;1, (O27/INDIRECT("O"&amp;ROW()-1))-1, "")</f>
        <v>2.0618482048300857E-2</v>
      </c>
    </row>
    <row r="28" spans="2:19" x14ac:dyDescent="0.35">
      <c r="B28" s="3">
        <v>43491</v>
      </c>
      <c r="C28" s="4">
        <v>47134238</v>
      </c>
      <c r="D28" s="4">
        <v>9997171</v>
      </c>
      <c r="E28" s="4">
        <v>3568990</v>
      </c>
      <c r="F28" s="4">
        <v>2378375</v>
      </c>
      <c r="G28" s="4">
        <v>1762376</v>
      </c>
      <c r="H28" s="8">
        <f>IF(C28&gt;0, G28/C28, 0)</f>
        <v>3.7390569462478637E-2</v>
      </c>
      <c r="I28" s="8" cm="1">
        <f t="array" aca="1" ref="I28" ca="1">IF(ROW()-2&gt;7, (G28/INDIRECT("G"&amp;ROW()-7))-1, "")</f>
        <v>9.2882647461171253E-2</v>
      </c>
      <c r="J28" s="8" cm="1">
        <f t="array" aca="1" ref="J28" ca="1">IF(ROW()-2&gt;7, (C28/INDIRECT("C"&amp;ROW()-7))-1, "")</f>
        <v>0.10526315666056507</v>
      </c>
      <c r="K28" s="8" cm="1">
        <f t="array" aca="1" ref="K28" ca="1">IF(ROW()-2&gt;7, (H28/INDIRECT("H"&amp;ROW()-7))-1, "")</f>
        <v>-1.120141309767364E-2</v>
      </c>
      <c r="L28" s="8">
        <f>IF(D28&gt;0, D28/C28, 0)</f>
        <v>0.21209998133416308</v>
      </c>
      <c r="M28" s="8">
        <f>IF(D28&gt;0, E28/D28, 0)</f>
        <v>0.35699999529866999</v>
      </c>
      <c r="N28" s="8">
        <f>IF(E28&gt;0, F28/E28, 0)</f>
        <v>0.66640001793224413</v>
      </c>
      <c r="O28" s="8">
        <f>IF(F28&gt;0, G28/F28, 0)</f>
        <v>0.74100005255689283</v>
      </c>
      <c r="P28" s="8" cm="1">
        <f t="array" aca="1" ref="P28" ca="1">IF(ROW()-2&gt;1, (L28/INDIRECT("L"&amp;ROW()-1))-1, "")</f>
        <v>-0.13428563889989942</v>
      </c>
      <c r="Q28" s="8" cm="1">
        <f t="array" aca="1" ref="Q28" ca="1">IF(ROW()-2&gt;1, (M28/INDIRECT("M"&amp;ROW()-1))-1, "")</f>
        <v>-0.10750001175332502</v>
      </c>
      <c r="R28" s="8" cm="1">
        <f t="array" aca="1" ref="R28" ca="1">IF(ROW()-2&gt;1, (N28/INDIRECT("N"&amp;ROW()-1))-1, "")</f>
        <v>-0.11371156802947568</v>
      </c>
      <c r="S28" s="8" cm="1">
        <f t="array" aca="1" ref="S28" ca="1">IF(ROW()-2&gt;1, (O28/INDIRECT("O"&amp;ROW()-1))-1, "")</f>
        <v>-8.7213388816014259E-2</v>
      </c>
    </row>
    <row r="29" spans="2:19" x14ac:dyDescent="0.35">
      <c r="B29" s="3">
        <v>43492</v>
      </c>
      <c r="C29" s="4">
        <v>45338648</v>
      </c>
      <c r="D29" s="4">
        <v>9616327</v>
      </c>
      <c r="E29" s="4">
        <v>3400333</v>
      </c>
      <c r="F29" s="4">
        <v>2358471</v>
      </c>
      <c r="G29" s="4">
        <v>1784419</v>
      </c>
      <c r="H29" s="8">
        <f>IF(C29&gt;0, G29/C29, 0)</f>
        <v>3.9357569727266679E-2</v>
      </c>
      <c r="I29" s="8" cm="1">
        <f t="array" aca="1" ref="I29" ca="1">IF(ROW()-2&gt;7, (G29/INDIRECT("G"&amp;ROW()-7))-1, "")</f>
        <v>-1.9630799659368758E-2</v>
      </c>
      <c r="J29" s="8" cm="1">
        <f t="array" aca="1" ref="J29" ca="1">IF(ROW()-2&gt;7, (C29/INDIRECT("C"&amp;ROW()-7))-1, "")</f>
        <v>2.0202019974729035E-2</v>
      </c>
      <c r="K29" s="8" cm="1">
        <f t="array" aca="1" ref="K29" ca="1">IF(ROW()-2&gt;7, (H29/INDIRECT("H"&amp;ROW()-7))-1, "")</f>
        <v>-3.9044050937170782E-2</v>
      </c>
      <c r="L29" s="8">
        <f>IF(D29&gt;0, D29/C29, 0)</f>
        <v>0.21209999468885796</v>
      </c>
      <c r="M29" s="8">
        <f>IF(D29&gt;0, E29/D29, 0)</f>
        <v>0.35359997637351559</v>
      </c>
      <c r="N29" s="8">
        <f>IF(E29&gt;0, F29/E29, 0)</f>
        <v>0.69360000917557196</v>
      </c>
      <c r="O29" s="8">
        <f>IF(F29&gt;0, G29/F29, 0)</f>
        <v>0.75659993275304216</v>
      </c>
      <c r="P29" s="8" cm="1">
        <f t="array" aca="1" ref="P29" ca="1">IF(ROW()-2&gt;1, (L29/INDIRECT("L"&amp;ROW()-1))-1, "")</f>
        <v>6.2964149227795474E-8</v>
      </c>
      <c r="Q29" s="8" cm="1">
        <f t="array" aca="1" ref="Q29" ca="1">IF(ROW()-2&gt;1, (M29/INDIRECT("M"&amp;ROW()-1))-1, "")</f>
        <v>-9.5238626608661336E-3</v>
      </c>
      <c r="R29" s="8" cm="1">
        <f t="array" aca="1" ref="R29" ca="1">IF(ROW()-2&gt;1, (N29/INDIRECT("N"&amp;ROW()-1))-1, "")</f>
        <v>4.0816312292016432E-2</v>
      </c>
      <c r="S29" s="8" cm="1">
        <f t="array" aca="1" ref="S29" ca="1">IF(ROW()-2&gt;1, (O29/INDIRECT("O"&amp;ROW()-1))-1, "")</f>
        <v>2.1052468407148472E-2</v>
      </c>
    </row>
    <row r="30" spans="2:19" x14ac:dyDescent="0.35">
      <c r="B30" s="3">
        <v>43493</v>
      </c>
      <c r="C30" s="4">
        <v>21282993</v>
      </c>
      <c r="D30" s="4">
        <v>5267540</v>
      </c>
      <c r="E30" s="4">
        <v>2043805</v>
      </c>
      <c r="F30" s="4">
        <v>1536737</v>
      </c>
      <c r="G30" s="4">
        <v>1310529</v>
      </c>
      <c r="H30" s="8">
        <f>IF(C30&gt;0, G30/C30, 0)</f>
        <v>6.157634877763668E-2</v>
      </c>
      <c r="I30" s="8" cm="1">
        <f t="array" aca="1" ref="I30" ca="1">IF(ROW()-2&gt;7, (G30/INDIRECT("G"&amp;ROW()-7))-1, "")</f>
        <v>-0.11250036399885421</v>
      </c>
      <c r="J30" s="8" cm="1">
        <f t="array" aca="1" ref="J30" ca="1">IF(ROW()-2&gt;7, (C30/INDIRECT("C"&amp;ROW()-7))-1, "")</f>
        <v>-3.9215703977760197E-2</v>
      </c>
      <c r="K30" s="8" cm="1">
        <f t="array" aca="1" ref="K30" ca="1">IF(ROW()-2&gt;7, (H30/INDIRECT("H"&amp;ROW()-7))-1, "")</f>
        <v>-7.6275872039646142E-2</v>
      </c>
      <c r="L30" s="8">
        <f>IF(D30&gt;0, D30/C30, 0)</f>
        <v>0.2474999639383427</v>
      </c>
      <c r="M30" s="8">
        <f>IF(D30&gt;0, E30/D30, 0)</f>
        <v>0.38799990128219247</v>
      </c>
      <c r="N30" s="8">
        <f>IF(E30&gt;0, F30/E30, 0)</f>
        <v>0.75190001003031115</v>
      </c>
      <c r="O30" s="8">
        <f>IF(F30&gt;0, G30/F30, 0)</f>
        <v>0.8527997959312491</v>
      </c>
      <c r="P30" s="8" cm="1">
        <f t="array" aca="1" ref="P30" ca="1">IF(ROW()-2&gt;1, (L30/INDIRECT("L"&amp;ROW()-1))-1, "")</f>
        <v>0.16690226372431094</v>
      </c>
      <c r="Q30" s="8" cm="1">
        <f t="array" aca="1" ref="Q30" ca="1">IF(ROW()-2&gt;1, (M30/INDIRECT("M"&amp;ROW()-1))-1, "")</f>
        <v>9.7284862011244755E-2</v>
      </c>
      <c r="R30" s="8" cm="1">
        <f t="array" aca="1" ref="R30" ca="1">IF(ROW()-2&gt;1, (N30/INDIRECT("N"&amp;ROW()-1))-1, "")</f>
        <v>8.4054210039639088E-2</v>
      </c>
      <c r="S30" s="8" cm="1">
        <f t="array" aca="1" ref="S30" ca="1">IF(ROW()-2&gt;1, (O30/INDIRECT("O"&amp;ROW()-1))-1, "")</f>
        <v>0.12714759678627541</v>
      </c>
    </row>
    <row r="31" spans="2:19" x14ac:dyDescent="0.35">
      <c r="B31" s="3">
        <v>43494</v>
      </c>
      <c r="C31" s="4">
        <v>22368860</v>
      </c>
      <c r="D31" s="4">
        <v>2628341</v>
      </c>
      <c r="E31" s="4">
        <v>1093389</v>
      </c>
      <c r="F31" s="4">
        <v>790192</v>
      </c>
      <c r="G31" s="4">
        <v>628519</v>
      </c>
      <c r="H31" s="8">
        <f>IF(C31&gt;0, G31/C31, 0)</f>
        <v>2.8097945089736356E-2</v>
      </c>
      <c r="I31" s="8" cm="1">
        <f t="array" aca="1" ref="I31" ca="1">IF(ROW()-2&gt;7, (G31/INDIRECT("G"&amp;ROW()-7))-1, "")</f>
        <v>-0.71708723442563915</v>
      </c>
      <c r="J31" s="8" cm="1">
        <f t="array" aca="1" ref="J31" ca="1">IF(ROW()-2&gt;7, (C31/INDIRECT("C"&amp;ROW()-7))-1, "")</f>
        <v>-0.40462427961056557</v>
      </c>
      <c r="K31" s="8" cm="1">
        <f t="array" aca="1" ref="K31" ca="1">IF(ROW()-2&gt;7, (H31/INDIRECT("H"&amp;ROW()-7))-1, "")</f>
        <v>-0.52481642115115479</v>
      </c>
      <c r="L31" s="8">
        <f>IF(D31&gt;0, D31/C31, 0)</f>
        <v>0.11749999776474974</v>
      </c>
      <c r="M31" s="8">
        <f>IF(D31&gt;0, E31/D31, 0)</f>
        <v>0.41599967431927592</v>
      </c>
      <c r="N31" s="8">
        <f>IF(E31&gt;0, F31/E31, 0)</f>
        <v>0.72269978937048018</v>
      </c>
      <c r="O31" s="8">
        <f>IF(F31&gt;0, G31/F31, 0)</f>
        <v>0.79540035839390932</v>
      </c>
      <c r="P31" s="8" cm="1">
        <f t="array" aca="1" ref="P31" ca="1">IF(ROW()-2&gt;1, (L31/INDIRECT("L"&amp;ROW()-1))-1, "")</f>
        <v>-0.52525246511138324</v>
      </c>
      <c r="Q31" s="8" cm="1">
        <f t="array" aca="1" ref="Q31" ca="1">IF(ROW()-2&gt;1, (M31/INDIRECT("M"&amp;ROW()-1))-1, "")</f>
        <v>7.2164381858229376E-2</v>
      </c>
      <c r="R31" s="8" cm="1">
        <f t="array" aca="1" ref="R31" ca="1">IF(ROW()-2&gt;1, (N31/INDIRECT("N"&amp;ROW()-1))-1, "")</f>
        <v>-3.883524440790187E-2</v>
      </c>
      <c r="S31" s="8" cm="1">
        <f t="array" aca="1" ref="S31" ca="1">IF(ROW()-2&gt;1, (O31/INDIRECT("O"&amp;ROW()-1))-1, "")</f>
        <v>-6.7307048865625219E-2</v>
      </c>
    </row>
    <row r="32" spans="2:19" x14ac:dyDescent="0.35">
      <c r="B32" s="3">
        <v>43495</v>
      </c>
      <c r="C32" s="4">
        <v>22368860</v>
      </c>
      <c r="D32" s="4">
        <v>5536293</v>
      </c>
      <c r="E32" s="4">
        <v>2303097</v>
      </c>
      <c r="F32" s="4">
        <v>1614011</v>
      </c>
      <c r="G32" s="4">
        <v>1283784</v>
      </c>
      <c r="H32" s="8">
        <f>IF(C32&gt;0, G32/C32, 0)</f>
        <v>5.739157024542154E-2</v>
      </c>
      <c r="I32" s="8" cm="1">
        <f t="array" aca="1" ref="I32" ca="1">IF(ROW()-2&gt;7, (G32/INDIRECT("G"&amp;ROW()-7))-1, "")</f>
        <v>-7.8019563062868946E-2</v>
      </c>
      <c r="J32" s="8" cm="1">
        <f t="array" aca="1" ref="J32" ca="1">IF(ROW()-2&gt;7, (C32/INDIRECT("C"&amp;ROW()-7))-1, "")</f>
        <v>4.0404011745583279E-2</v>
      </c>
      <c r="K32" s="8" cm="1">
        <f t="array" aca="1" ref="K32" ca="1">IF(ROW()-2&gt;7, (H32/INDIRECT("H"&amp;ROW()-7))-1, "")</f>
        <v>-0.11382460416483964</v>
      </c>
      <c r="L32" s="8">
        <f>IF(D32&gt;0, D32/C32, 0)</f>
        <v>0.24750000670575076</v>
      </c>
      <c r="M32" s="8">
        <f>IF(D32&gt;0, E32/D32, 0)</f>
        <v>0.41599983960386488</v>
      </c>
      <c r="N32" s="8">
        <f>IF(E32&gt;0, F32/E32, 0)</f>
        <v>0.70080027024480518</v>
      </c>
      <c r="O32" s="8">
        <f>IF(F32&gt;0, G32/F32, 0)</f>
        <v>0.7953997835206823</v>
      </c>
      <c r="P32" s="8" cm="1">
        <f t="array" aca="1" ref="P32" ca="1">IF(ROW()-2&gt;1, (L32/INDIRECT("L"&amp;ROW()-1))-1, "")</f>
        <v>1.1063830758642048</v>
      </c>
      <c r="Q32" s="8" cm="1">
        <f t="array" aca="1" ref="Q32" ca="1">IF(ROW()-2&gt;1, (M32/INDIRECT("M"&amp;ROW()-1))-1, "")</f>
        <v>3.9731903456186046E-7</v>
      </c>
      <c r="R32" s="8" cm="1">
        <f t="array" aca="1" ref="R32" ca="1">IF(ROW()-2&gt;1, (N32/INDIRECT("N"&amp;ROW()-1))-1, "")</f>
        <v>-3.0302373748788525E-2</v>
      </c>
      <c r="S32" s="8" cm="1">
        <f t="array" aca="1" ref="S32" ca="1">IF(ROW()-2&gt;1, (O32/INDIRECT("O"&amp;ROW()-1))-1, "")</f>
        <v>-7.2274700524399549E-7</v>
      </c>
    </row>
    <row r="33" spans="2:19" x14ac:dyDescent="0.35">
      <c r="B33" s="3">
        <v>43496</v>
      </c>
      <c r="C33" s="4">
        <v>20848646</v>
      </c>
      <c r="D33" s="4">
        <v>5316404</v>
      </c>
      <c r="E33" s="4">
        <v>2147827</v>
      </c>
      <c r="F33" s="4">
        <v>1520876</v>
      </c>
      <c r="G33" s="4">
        <v>1272061</v>
      </c>
      <c r="H33" s="8">
        <f>IF(C33&gt;0, G33/C33, 0)</f>
        <v>6.1014082161498638E-2</v>
      </c>
      <c r="I33" s="8" cm="1">
        <f t="array" aca="1" ref="I33" ca="1">IF(ROW()-2&gt;7, (G33/INDIRECT("G"&amp;ROW()-7))-1, "")</f>
        <v>0.20059441674862155</v>
      </c>
      <c r="J33" s="8" cm="1">
        <f t="array" aca="1" ref="J33" ca="1">IF(ROW()-2&gt;7, (C33/INDIRECT("C"&amp;ROW()-7))-1, "")</f>
        <v>1.0526296401619062E-2</v>
      </c>
      <c r="K33" s="8" cm="1">
        <f t="array" aca="1" ref="K33" ca="1">IF(ROW()-2&gt;7, (H33/INDIRECT("H"&amp;ROW()-7))-1, "")</f>
        <v>0.18808824770202981</v>
      </c>
      <c r="L33" s="8">
        <f>IF(D33&gt;0, D33/C33, 0)</f>
        <v>0.25499996498573574</v>
      </c>
      <c r="M33" s="8">
        <f>IF(D33&gt;0, E33/D33, 0)</f>
        <v>0.4039999593710335</v>
      </c>
      <c r="N33" s="8">
        <f>IF(E33&gt;0, F33/E33, 0)</f>
        <v>0.70809986092920896</v>
      </c>
      <c r="O33" s="8">
        <f>IF(F33&gt;0, G33/F33, 0)</f>
        <v>0.83640020619695488</v>
      </c>
      <c r="P33" s="8" cm="1">
        <f t="array" aca="1" ref="P33" ca="1">IF(ROW()-2&gt;1, (L33/INDIRECT("L"&amp;ROW()-1))-1, "")</f>
        <v>3.0302860916288976E-2</v>
      </c>
      <c r="Q33" s="8" cm="1">
        <f t="array" aca="1" ref="Q33" ca="1">IF(ROW()-2&gt;1, (M33/INDIRECT("M"&amp;ROW()-1))-1, "")</f>
        <v>-2.8845877066342784E-2</v>
      </c>
      <c r="R33" s="8" cm="1">
        <f t="array" aca="1" ref="R33" ca="1">IF(ROW()-2&gt;1, (N33/INDIRECT("N"&amp;ROW()-1))-1, "")</f>
        <v>1.0416078580925525E-2</v>
      </c>
      <c r="S33" s="8" cm="1">
        <f t="array" aca="1" ref="S33" ca="1">IF(ROW()-2&gt;1, (O33/INDIRECT("O"&amp;ROW()-1))-1, "")</f>
        <v>5.1546937182698427E-2</v>
      </c>
    </row>
    <row r="34" spans="2:19" x14ac:dyDescent="0.35">
      <c r="B34" s="3">
        <v>43497</v>
      </c>
      <c r="C34" s="4">
        <v>20631473</v>
      </c>
      <c r="D34" s="4">
        <v>5054710</v>
      </c>
      <c r="E34" s="4">
        <v>2082540</v>
      </c>
      <c r="F34" s="4">
        <v>1565862</v>
      </c>
      <c r="G34" s="4">
        <v>1322527</v>
      </c>
      <c r="H34" s="8">
        <f>IF(C34&gt;0, G34/C34, 0)</f>
        <v>6.4102403158514176E-2</v>
      </c>
      <c r="I34" s="8" cm="1">
        <f t="array" aca="1" ref="I34" ca="1">IF(ROW()-2&gt;7, (G34/INDIRECT("G"&amp;ROW()-7))-1, "")</f>
        <v>7.1616556279585408E-2</v>
      </c>
      <c r="J34" s="8" cm="1">
        <f t="array" aca="1" ref="J34" ca="1">IF(ROW()-2&gt;7, (C34/INDIRECT("C"&amp;ROW()-7))-1, "")</f>
        <v>0</v>
      </c>
      <c r="K34" s="8" cm="1">
        <f t="array" aca="1" ref="K34" ca="1">IF(ROW()-2&gt;7, (H34/INDIRECT("H"&amp;ROW()-7))-1, "")</f>
        <v>7.1616556279585408E-2</v>
      </c>
      <c r="L34" s="8">
        <f>IF(D34&gt;0, D34/C34, 0)</f>
        <v>0.24499995710437156</v>
      </c>
      <c r="M34" s="8">
        <f>IF(D34&gt;0, E34/D34, 0)</f>
        <v>0.4119998971256511</v>
      </c>
      <c r="N34" s="8">
        <f>IF(E34&gt;0, F34/E34, 0)</f>
        <v>0.75190008355181648</v>
      </c>
      <c r="O34" s="8">
        <f>IF(F34&gt;0, G34/F34, 0)</f>
        <v>0.84459997113411012</v>
      </c>
      <c r="P34" s="8" cm="1">
        <f t="array" aca="1" ref="P34" ca="1">IF(ROW()-2&gt;1, (L34/INDIRECT("L"&amp;ROW()-1))-1, "")</f>
        <v>-3.9215722566564137E-2</v>
      </c>
      <c r="Q34" s="8" cm="1">
        <f t="array" aca="1" ref="Q34" ca="1">IF(ROW()-2&gt;1, (M34/INDIRECT("M"&amp;ROW()-1))-1, "")</f>
        <v>1.9801828116696507E-2</v>
      </c>
      <c r="R34" s="8" cm="1">
        <f t="array" aca="1" ref="R34" ca="1">IF(ROW()-2&gt;1, (N34/INDIRECT("N"&amp;ROW()-1))-1, "")</f>
        <v>6.1855996645911571E-2</v>
      </c>
      <c r="S34" s="8" cm="1">
        <f t="array" aca="1" ref="S34" ca="1">IF(ROW()-2&gt;1, (O34/INDIRECT("O"&amp;ROW()-1))-1, "")</f>
        <v>9.8036381105630621E-3</v>
      </c>
    </row>
    <row r="35" spans="2:19" x14ac:dyDescent="0.35">
      <c r="B35" s="3">
        <v>43498</v>
      </c>
      <c r="C35" s="4">
        <v>43543058</v>
      </c>
      <c r="D35" s="4">
        <v>9052601</v>
      </c>
      <c r="E35" s="4">
        <v>2985548</v>
      </c>
      <c r="F35" s="4">
        <v>2070776</v>
      </c>
      <c r="G35" s="4">
        <v>1566749</v>
      </c>
      <c r="H35" s="8">
        <f>IF(C35&gt;0, G35/C35, 0)</f>
        <v>3.598160239457688E-2</v>
      </c>
      <c r="I35" s="8" cm="1">
        <f t="array" aca="1" ref="I35" ca="1">IF(ROW()-2&gt;7, (G35/INDIRECT("G"&amp;ROW()-7))-1, "")</f>
        <v>-0.11100185204519353</v>
      </c>
      <c r="J35" s="8" cm="1">
        <f t="array" aca="1" ref="J35" ca="1">IF(ROW()-2&gt;7, (C35/INDIRECT("C"&amp;ROW()-7))-1, "")</f>
        <v>-7.6190475382247658E-2</v>
      </c>
      <c r="K35" s="8" cm="1">
        <f t="array" aca="1" ref="K35" ca="1">IF(ROW()-2&gt;7, (H35/INDIRECT("H"&amp;ROW()-7))-1, "")</f>
        <v>-3.7682418004241769E-2</v>
      </c>
      <c r="L35" s="8">
        <f>IF(D35&gt;0, D35/C35, 0)</f>
        <v>0.20789998258735065</v>
      </c>
      <c r="M35" s="8">
        <f>IF(D35&gt;0, E35/D35, 0)</f>
        <v>0.32980002101053607</v>
      </c>
      <c r="N35" s="8">
        <f>IF(E35&gt;0, F35/E35, 0)</f>
        <v>0.6935999689169291</v>
      </c>
      <c r="O35" s="8">
        <f>IF(F35&gt;0, G35/F35, 0)</f>
        <v>0.7565999412780523</v>
      </c>
      <c r="P35" s="8" cm="1">
        <f t="array" aca="1" ref="P35" ca="1">IF(ROW()-2&gt;1, (L35/INDIRECT("L"&amp;ROW()-1))-1, "")</f>
        <v>-0.15142849392914826</v>
      </c>
      <c r="Q35" s="8" cm="1">
        <f t="array" aca="1" ref="Q35" ca="1">IF(ROW()-2&gt;1, (M35/INDIRECT("M"&amp;ROW()-1))-1, "")</f>
        <v>-0.19951431223305827</v>
      </c>
      <c r="R35" s="8" cm="1">
        <f t="array" aca="1" ref="R35" ca="1">IF(ROW()-2&gt;1, (N35/INDIRECT("N"&amp;ROW()-1))-1, "")</f>
        <v>-7.7537050347820213E-2</v>
      </c>
      <c r="S35" s="8" cm="1">
        <f t="array" aca="1" ref="S35" ca="1">IF(ROW()-2&gt;1, (O35/INDIRECT("O"&amp;ROW()-1))-1, "")</f>
        <v>-0.1041913720857619</v>
      </c>
    </row>
    <row r="36" spans="2:19" x14ac:dyDescent="0.35">
      <c r="B36" s="3">
        <v>43499</v>
      </c>
      <c r="C36" s="4">
        <v>44889750</v>
      </c>
      <c r="D36" s="4">
        <v>9709653</v>
      </c>
      <c r="E36" s="4">
        <v>3268269</v>
      </c>
      <c r="F36" s="4">
        <v>2333544</v>
      </c>
      <c r="G36" s="4">
        <v>1892971</v>
      </c>
      <c r="H36" s="8">
        <f>IF(C36&gt;0, G36/C36, 0)</f>
        <v>4.2169337098112596E-2</v>
      </c>
      <c r="I36" s="8" cm="1">
        <f t="array" aca="1" ref="I36" ca="1">IF(ROW()-2&gt;7, (G36/INDIRECT("G"&amp;ROW()-7))-1, "")</f>
        <v>6.0833246003320962E-2</v>
      </c>
      <c r="J36" s="8" cm="1">
        <f t="array" aca="1" ref="J36" ca="1">IF(ROW()-2&gt;7, (C36/INDIRECT("C"&amp;ROW()-7))-1, "")</f>
        <v>-9.9010010179394481E-3</v>
      </c>
      <c r="K36" s="8" cm="1">
        <f t="array" aca="1" ref="K36" ca="1">IF(ROW()-2&gt;7, (H36/INDIRECT("H"&amp;ROW()-7))-1, "")</f>
        <v>7.1441590279339273E-2</v>
      </c>
      <c r="L36" s="8">
        <f>IF(D36&gt;0, D36/C36, 0)</f>
        <v>0.21630000167076002</v>
      </c>
      <c r="M36" s="8">
        <f>IF(D36&gt;0, E36/D36, 0)</f>
        <v>0.33659997942253961</v>
      </c>
      <c r="N36" s="8">
        <f>IF(E36&gt;0, F36/E36, 0)</f>
        <v>0.71399997980582386</v>
      </c>
      <c r="O36" s="8">
        <f>IF(F36&gt;0, G36/F36, 0)</f>
        <v>0.81120004593870954</v>
      </c>
      <c r="P36" s="8" cm="1">
        <f t="array" aca="1" ref="P36" ca="1">IF(ROW()-2&gt;1, (L36/INDIRECT("L"&amp;ROW()-1))-1, "")</f>
        <v>4.0404135579376721E-2</v>
      </c>
      <c r="Q36" s="8" cm="1">
        <f t="array" aca="1" ref="Q36" ca="1">IF(ROW()-2&gt;1, (M36/INDIRECT("M"&amp;ROW()-1))-1, "")</f>
        <v>2.0618429286838325E-2</v>
      </c>
      <c r="R36" s="8" cm="1">
        <f t="array" aca="1" ref="R36" ca="1">IF(ROW()-2&gt;1, (N36/INDIRECT("N"&amp;ROW()-1))-1, "")</f>
        <v>2.9411781723043928E-2</v>
      </c>
      <c r="S36" s="8" cm="1">
        <f t="array" aca="1" ref="S36" ca="1">IF(ROW()-2&gt;1, (O36/INDIRECT("O"&amp;ROW()-1))-1, "")</f>
        <v>7.2165092384789853E-2</v>
      </c>
    </row>
    <row r="37" spans="2:19" x14ac:dyDescent="0.35">
      <c r="B37" s="3">
        <v>43500</v>
      </c>
      <c r="C37" s="4">
        <v>21282993</v>
      </c>
      <c r="D37" s="4">
        <v>5054710</v>
      </c>
      <c r="E37" s="4">
        <v>2001665</v>
      </c>
      <c r="F37" s="4">
        <v>1475828</v>
      </c>
      <c r="G37" s="4">
        <v>1198077</v>
      </c>
      <c r="H37" s="8">
        <f>IF(C37&gt;0, G37/C37, 0)</f>
        <v>5.6292693419576843E-2</v>
      </c>
      <c r="I37" s="8" cm="1">
        <f t="array" aca="1" ref="I37" ca="1">IF(ROW()-2&gt;7, (G37/INDIRECT("G"&amp;ROW()-7))-1, "")</f>
        <v>-8.5806571239552931E-2</v>
      </c>
      <c r="J37" s="8" cm="1">
        <f t="array" aca="1" ref="J37" ca="1">IF(ROW()-2&gt;7, (C37/INDIRECT("C"&amp;ROW()-7))-1, "")</f>
        <v>0</v>
      </c>
      <c r="K37" s="8" cm="1">
        <f t="array" aca="1" ref="K37" ca="1">IF(ROW()-2&gt;7, (H37/INDIRECT("H"&amp;ROW()-7))-1, "")</f>
        <v>-8.5806571239552931E-2</v>
      </c>
      <c r="L37" s="8">
        <f>IF(D37&gt;0, D37/C37, 0)</f>
        <v>0.2374999606493316</v>
      </c>
      <c r="M37" s="8">
        <f>IF(D37&gt;0, E37/D37, 0)</f>
        <v>0.3959999683463542</v>
      </c>
      <c r="N37" s="8">
        <f>IF(E37&gt;0, F37/E37, 0)</f>
        <v>0.73730019758551002</v>
      </c>
      <c r="O37" s="8">
        <f>IF(F37&gt;0, G37/F37, 0)</f>
        <v>0.81179988453939078</v>
      </c>
      <c r="P37" s="8" cm="1">
        <f t="array" aca="1" ref="P37" ca="1">IF(ROW()-2&gt;1, (L37/INDIRECT("L"&amp;ROW()-1))-1, "")</f>
        <v>9.8011829934430583E-2</v>
      </c>
      <c r="Q37" s="8" cm="1">
        <f t="array" aca="1" ref="Q37" ca="1">IF(ROW()-2&gt;1, (M37/INDIRECT("M"&amp;ROW()-1))-1, "")</f>
        <v>0.17647056611744105</v>
      </c>
      <c r="R37" s="8" cm="1">
        <f t="array" aca="1" ref="R37" ca="1">IF(ROW()-2&gt;1, (N37/INDIRECT("N"&amp;ROW()-1))-1, "")</f>
        <v>3.2633359157829167E-2</v>
      </c>
      <c r="S37" s="8" cm="1">
        <f t="array" aca="1" ref="S37" ca="1">IF(ROW()-2&gt;1, (O37/INDIRECT("O"&amp;ROW()-1))-1, "")</f>
        <v>7.3944596488173531E-4</v>
      </c>
    </row>
    <row r="38" spans="2:19" x14ac:dyDescent="0.35">
      <c r="B38" s="3">
        <v>43501</v>
      </c>
      <c r="C38" s="4">
        <v>22368860</v>
      </c>
      <c r="D38" s="4">
        <v>5871825</v>
      </c>
      <c r="E38" s="4">
        <v>2372217</v>
      </c>
      <c r="F38" s="4">
        <v>1679767</v>
      </c>
      <c r="G38" s="4">
        <v>1349861</v>
      </c>
      <c r="H38" s="8">
        <f>IF(C38&gt;0, G38/C38, 0)</f>
        <v>6.0345542866288224E-2</v>
      </c>
      <c r="I38" s="8" cm="1">
        <f t="array" aca="1" ref="I38" ca="1">IF(ROW()-2&gt;7, (G38/INDIRECT("G"&amp;ROW()-7))-1, "")</f>
        <v>1.1476852728398028</v>
      </c>
      <c r="J38" s="8" cm="1">
        <f t="array" aca="1" ref="J38" ca="1">IF(ROW()-2&gt;7, (C38/INDIRECT("C"&amp;ROW()-7))-1, "")</f>
        <v>0</v>
      </c>
      <c r="K38" s="8" cm="1">
        <f t="array" aca="1" ref="K38" ca="1">IF(ROW()-2&gt;7, (H38/INDIRECT("H"&amp;ROW()-7))-1, "")</f>
        <v>1.1476852728398028</v>
      </c>
      <c r="L38" s="8">
        <f>IF(D38&gt;0, D38/C38, 0)</f>
        <v>0.26249996647124618</v>
      </c>
      <c r="M38" s="8">
        <f>IF(D38&gt;0, E38/D38, 0)</f>
        <v>0.40399994890855911</v>
      </c>
      <c r="N38" s="8">
        <f>IF(E38&gt;0, F38/E38, 0)</f>
        <v>0.7081000599860805</v>
      </c>
      <c r="O38" s="8">
        <f>IF(F38&gt;0, G38/F38, 0)</f>
        <v>0.80360014216257369</v>
      </c>
      <c r="P38" s="8" cm="1">
        <f t="array" aca="1" ref="P38" ca="1">IF(ROW()-2&gt;1, (L38/INDIRECT("L"&amp;ROW()-1))-1, "")</f>
        <v>0.10526319984880783</v>
      </c>
      <c r="Q38" s="8" cm="1">
        <f t="array" aca="1" ref="Q38" ca="1">IF(ROW()-2&gt;1, (M38/INDIRECT("M"&amp;ROW()-1))-1, "")</f>
        <v>2.0201972731492379E-2</v>
      </c>
      <c r="R38" s="8" cm="1">
        <f t="array" aca="1" ref="R38" ca="1">IF(ROW()-2&gt;1, (N38/INDIRECT("N"&amp;ROW()-1))-1, "")</f>
        <v>-3.9604136408824098E-2</v>
      </c>
      <c r="S38" s="8" cm="1">
        <f t="array" aca="1" ref="S38" ca="1">IF(ROW()-2&gt;1, (O38/INDIRECT("O"&amp;ROW()-1))-1, "")</f>
        <v>-1.0100694189516424E-2</v>
      </c>
    </row>
    <row r="39" spans="2:19" x14ac:dyDescent="0.35">
      <c r="B39" s="3">
        <v>43502</v>
      </c>
      <c r="C39" s="4">
        <v>20631473</v>
      </c>
      <c r="D39" s="4">
        <v>5364183</v>
      </c>
      <c r="E39" s="4">
        <v>2145673</v>
      </c>
      <c r="F39" s="4">
        <v>1488024</v>
      </c>
      <c r="G39" s="4">
        <v>1281189</v>
      </c>
      <c r="H39" s="8">
        <f>IF(C39&gt;0, G39/C39, 0)</f>
        <v>6.2098765318404553E-2</v>
      </c>
      <c r="I39" s="8" cm="1">
        <f t="array" aca="1" ref="I39" ca="1">IF(ROW()-2&gt;7, (G39/INDIRECT("G"&amp;ROW()-7))-1, "")</f>
        <v>-2.0213680806117074E-3</v>
      </c>
      <c r="J39" s="8" cm="1">
        <f t="array" aca="1" ref="J39" ca="1">IF(ROW()-2&gt;7, (C39/INDIRECT("C"&amp;ROW()-7))-1, "")</f>
        <v>-7.7669894666066996E-2</v>
      </c>
      <c r="K39" s="8" cm="1">
        <f t="array" aca="1" ref="K39" ca="1">IF(ROW()-2&gt;7, (H39/INDIRECT("H"&amp;ROW()-7))-1, "")</f>
        <v>8.2018928090899168E-2</v>
      </c>
      <c r="L39" s="8">
        <f>IF(D39&gt;0, D39/C39, 0)</f>
        <v>0.26000000096939274</v>
      </c>
      <c r="M39" s="8">
        <f>IF(D39&gt;0, E39/D39, 0)</f>
        <v>0.39999996271566424</v>
      </c>
      <c r="N39" s="8">
        <f>IF(E39&gt;0, F39/E39, 0)</f>
        <v>0.69349989490476882</v>
      </c>
      <c r="O39" s="8">
        <f>IF(F39&gt;0, G39/F39, 0)</f>
        <v>0.86100022580280966</v>
      </c>
      <c r="P39" s="8" cm="1">
        <f t="array" aca="1" ref="P39" ca="1">IF(ROW()-2&gt;1, (L39/INDIRECT("L"&amp;ROW()-1))-1, "")</f>
        <v>-9.5236793187448709E-3</v>
      </c>
      <c r="Q39" s="8" cm="1">
        <f t="array" aca="1" ref="Q39" ca="1">IF(ROW()-2&gt;1, (M39/INDIRECT("M"&amp;ROW()-1))-1, "")</f>
        <v>-9.9009571751214054E-3</v>
      </c>
      <c r="R39" s="8" cm="1">
        <f t="array" aca="1" ref="R39" ca="1">IF(ROW()-2&gt;1, (N39/INDIRECT("N"&amp;ROW()-1))-1, "")</f>
        <v>-2.0618788087094164E-2</v>
      </c>
      <c r="S39" s="8" cm="1">
        <f t="array" aca="1" ref="S39" ca="1">IF(ROW()-2&gt;1, (O39/INDIRECT("O"&amp;ROW()-1))-1, "")</f>
        <v>7.1428662874257531E-2</v>
      </c>
    </row>
    <row r="40" spans="2:19" x14ac:dyDescent="0.35">
      <c r="B40" s="3">
        <v>43503</v>
      </c>
      <c r="C40" s="4">
        <v>22151687</v>
      </c>
      <c r="D40" s="4">
        <v>5482542</v>
      </c>
      <c r="E40" s="4">
        <v>2193017</v>
      </c>
      <c r="F40" s="4">
        <v>1616911</v>
      </c>
      <c r="G40" s="4">
        <v>1378902</v>
      </c>
      <c r="H40" s="8">
        <f>IF(C40&gt;0, G40/C40, 0)</f>
        <v>6.2248170985803472E-2</v>
      </c>
      <c r="I40" s="8" cm="1">
        <f t="array" aca="1" ref="I40" ca="1">IF(ROW()-2&gt;7, (G40/INDIRECT("G"&amp;ROW()-7))-1, "")</f>
        <v>8.3990469010527091E-2</v>
      </c>
      <c r="J40" s="8" cm="1">
        <f t="array" aca="1" ref="J40" ca="1">IF(ROW()-2&gt;7, (C40/INDIRECT("C"&amp;ROW()-7))-1, "")</f>
        <v>6.2500029977965887E-2</v>
      </c>
      <c r="K40" s="8" cm="1">
        <f t="array" aca="1" ref="K40" ca="1">IF(ROW()-2&gt;7, (H40/INDIRECT("H"&amp;ROW()-7))-1, "")</f>
        <v>2.0226294989381444E-2</v>
      </c>
      <c r="L40" s="8">
        <f>IF(D40&gt;0, D40/C40, 0)</f>
        <v>0.2474999759611988</v>
      </c>
      <c r="M40" s="8">
        <f>IF(D40&gt;0, E40/D40, 0)</f>
        <v>0.40000003647942872</v>
      </c>
      <c r="N40" s="8">
        <f>IF(E40&gt;0, F40/E40, 0)</f>
        <v>0.73729980205351808</v>
      </c>
      <c r="O40" s="8">
        <f>IF(F40&gt;0, G40/F40, 0)</f>
        <v>0.85280018504419852</v>
      </c>
      <c r="P40" s="8" cm="1">
        <f t="array" aca="1" ref="P40" ca="1">IF(ROW()-2&gt;1, (L40/INDIRECT("L"&amp;ROW()-1))-1, "")</f>
        <v>-4.8077019083032413E-2</v>
      </c>
      <c r="Q40" s="8" cm="1">
        <f t="array" aca="1" ref="Q40" ca="1">IF(ROW()-2&gt;1, (M40/INDIRECT("M"&amp;ROW()-1))-1, "")</f>
        <v>1.84409428394261E-7</v>
      </c>
      <c r="R40" s="8" cm="1">
        <f t="array" aca="1" ref="R40" ca="1">IF(ROW()-2&gt;1, (N40/INDIRECT("N"&amp;ROW()-1))-1, "")</f>
        <v>6.3157770420086079E-2</v>
      </c>
      <c r="S40" s="8" cm="1">
        <f t="array" aca="1" ref="S40" ca="1">IF(ROW()-2&gt;1, (O40/INDIRECT("O"&amp;ROW()-1))-1, "")</f>
        <v>-9.5238543648060725E-3</v>
      </c>
    </row>
    <row r="41" spans="2:19" x14ac:dyDescent="0.35">
      <c r="B41" s="3">
        <v>43504</v>
      </c>
      <c r="C41" s="4">
        <v>21934513</v>
      </c>
      <c r="D41" s="4">
        <v>5209447</v>
      </c>
      <c r="E41" s="4">
        <v>2104616</v>
      </c>
      <c r="F41" s="4">
        <v>1490279</v>
      </c>
      <c r="G41" s="4">
        <v>1246469</v>
      </c>
      <c r="H41" s="8">
        <f>IF(C41&gt;0, G41/C41, 0)</f>
        <v>5.6826837231353164E-2</v>
      </c>
      <c r="I41" s="8" cm="1">
        <f t="array" aca="1" ref="I41" ca="1">IF(ROW()-2&gt;7, (G41/INDIRECT("G"&amp;ROW()-7))-1, "")</f>
        <v>-5.7509600938203898E-2</v>
      </c>
      <c r="J41" s="8" cm="1">
        <f t="array" aca="1" ref="J41" ca="1">IF(ROW()-2&gt;7, (C41/INDIRECT("C"&amp;ROW()-7))-1, "")</f>
        <v>6.3157875348987425E-2</v>
      </c>
      <c r="K41" s="8" cm="1">
        <f t="array" aca="1" ref="K41" ca="1">IF(ROW()-2&gt;7, (H41/INDIRECT("H"&amp;ROW()-7))-1, "")</f>
        <v>-0.11349911342902064</v>
      </c>
      <c r="L41" s="8">
        <f>IF(D41&gt;0, D41/C41, 0)</f>
        <v>0.23750000740841615</v>
      </c>
      <c r="M41" s="8">
        <f>IF(D41&gt;0, E41/D41, 0)</f>
        <v>0.40399988712813473</v>
      </c>
      <c r="N41" s="8">
        <f>IF(E41&gt;0, F41/E41, 0)</f>
        <v>0.70810019499994303</v>
      </c>
      <c r="O41" s="8">
        <f>IF(F41&gt;0, G41/F41, 0)</f>
        <v>0.83639976138696182</v>
      </c>
      <c r="P41" s="8" cm="1">
        <f t="array" aca="1" ref="P41" ca="1">IF(ROW()-2&gt;1, (L41/INDIRECT("L"&amp;ROW()-1))-1, "")</f>
        <v>-4.0403917268866163E-2</v>
      </c>
      <c r="Q41" s="8" cm="1">
        <f t="array" aca="1" ref="Q41" ca="1">IF(ROW()-2&gt;1, (M41/INDIRECT("M"&amp;ROW()-1))-1, "")</f>
        <v>9.9996257098133867E-3</v>
      </c>
      <c r="R41" s="8" cm="1">
        <f t="array" aca="1" ref="R41" ca="1">IF(ROW()-2&gt;1, (N41/INDIRECT("N"&amp;ROW()-1))-1, "")</f>
        <v>-3.9603438075323849E-2</v>
      </c>
      <c r="S41" s="8" cm="1">
        <f t="array" aca="1" ref="S41" ca="1">IF(ROW()-2&gt;1, (O41/INDIRECT("O"&amp;ROW()-1))-1, "")</f>
        <v>-1.9231261841701763E-2</v>
      </c>
    </row>
    <row r="42" spans="2:19" x14ac:dyDescent="0.35">
      <c r="B42" s="3">
        <v>43505</v>
      </c>
      <c r="C42" s="4">
        <v>43991955</v>
      </c>
      <c r="D42" s="4">
        <v>9145927</v>
      </c>
      <c r="E42" s="4">
        <v>3265096</v>
      </c>
      <c r="F42" s="4">
        <v>2286873</v>
      </c>
      <c r="G42" s="4">
        <v>1855111</v>
      </c>
      <c r="H42" s="8">
        <f>IF(C42&gt;0, G42/C42, 0)</f>
        <v>4.2169323913883797E-2</v>
      </c>
      <c r="I42" s="8" cm="1">
        <f t="array" aca="1" ref="I42" ca="1">IF(ROW()-2&gt;7, (G42/INDIRECT("G"&amp;ROW()-7))-1, "")</f>
        <v>0.1840511785869976</v>
      </c>
      <c r="J42" s="8" cm="1">
        <f t="array" aca="1" ref="J42" ca="1">IF(ROW()-2&gt;7, (C42/INDIRECT("C"&amp;ROW()-7))-1, "")</f>
        <v>1.0309266749248591E-2</v>
      </c>
      <c r="K42" s="8" cm="1">
        <f t="array" aca="1" ref="K42" ca="1">IF(ROW()-2&gt;7, (H42/INDIRECT("H"&amp;ROW()-7))-1, "")</f>
        <v>0.1719690371610445</v>
      </c>
      <c r="L42" s="8">
        <f>IF(D42&gt;0, D42/C42, 0)</f>
        <v>0.20789998989587982</v>
      </c>
      <c r="M42" s="8">
        <f>IF(D42&gt;0, E42/D42, 0)</f>
        <v>0.35700000666963555</v>
      </c>
      <c r="N42" s="8">
        <f>IF(E42&gt;0, F42/E42, 0)</f>
        <v>0.70039992698530151</v>
      </c>
      <c r="O42" s="8">
        <f>IF(F42&gt;0, G42/F42, 0)</f>
        <v>0.81119983488370362</v>
      </c>
      <c r="P42" s="8" cm="1">
        <f t="array" aca="1" ref="P42" ca="1">IF(ROW()-2&gt;1, (L42/INDIRECT("L"&amp;ROW()-1))-1, "")</f>
        <v>-0.1246316487966872</v>
      </c>
      <c r="Q42" s="8" cm="1">
        <f t="array" aca="1" ref="Q42" ca="1">IF(ROW()-2&gt;1, (M42/INDIRECT("M"&amp;ROW()-1))-1, "")</f>
        <v>-0.11633637027129284</v>
      </c>
      <c r="R42" s="8" cm="1">
        <f t="array" aca="1" ref="R42" ca="1">IF(ROW()-2&gt;1, (N42/INDIRECT("N"&amp;ROW()-1))-1, "")</f>
        <v>-1.087454581853653E-2</v>
      </c>
      <c r="S42" s="8" cm="1">
        <f t="array" aca="1" ref="S42" ca="1">IF(ROW()-2&gt;1, (O42/INDIRECT("O"&amp;ROW()-1))-1, "")</f>
        <v>-3.0129045543330069E-2</v>
      </c>
    </row>
    <row r="43" spans="2:19" x14ac:dyDescent="0.35">
      <c r="B43" s="3">
        <v>43506</v>
      </c>
      <c r="C43" s="4">
        <v>46236443</v>
      </c>
      <c r="D43" s="4">
        <v>10000942</v>
      </c>
      <c r="E43" s="4">
        <v>3366317</v>
      </c>
      <c r="F43" s="4">
        <v>2197531</v>
      </c>
      <c r="G43" s="4">
        <v>1799778</v>
      </c>
      <c r="H43" s="8">
        <f>IF(C43&gt;0, G43/C43, 0)</f>
        <v>3.892552893828792E-2</v>
      </c>
      <c r="I43" s="8" cm="1">
        <f t="array" aca="1" ref="I43" ca="1">IF(ROW()-2&gt;7, (G43/INDIRECT("G"&amp;ROW()-7))-1, "")</f>
        <v>-4.9231076440156785E-2</v>
      </c>
      <c r="J43" s="8" cm="1">
        <f t="array" aca="1" ref="J43" ca="1">IF(ROW()-2&gt;7, (C43/INDIRECT("C"&amp;ROW()-7))-1, "")</f>
        <v>3.0000011138400229E-2</v>
      </c>
      <c r="K43" s="8" cm="1">
        <f t="array" aca="1" ref="K43" ca="1">IF(ROW()-2&gt;7, (H43/INDIRECT("H"&amp;ROW()-7))-1, "")</f>
        <v>-7.6923385166750902E-2</v>
      </c>
      <c r="L43" s="8">
        <f>IF(D43&gt;0, D43/C43, 0)</f>
        <v>0.21629998657119884</v>
      </c>
      <c r="M43" s="8">
        <f>IF(D43&gt;0, E43/D43, 0)</f>
        <v>0.33659999228072718</v>
      </c>
      <c r="N43" s="8">
        <f>IF(E43&gt;0, F43/E43, 0)</f>
        <v>0.65279978088813384</v>
      </c>
      <c r="O43" s="8">
        <f>IF(F43&gt;0, G43/F43, 0)</f>
        <v>0.81900005051123281</v>
      </c>
      <c r="P43" s="8" cm="1">
        <f t="array" aca="1" ref="P43" ca="1">IF(ROW()-2&gt;1, (L43/INDIRECT("L"&amp;ROW()-1))-1, "")</f>
        <v>4.0404026375979507E-2</v>
      </c>
      <c r="Q43" s="8" cm="1">
        <f t="array" aca="1" ref="Q43" ca="1">IF(ROW()-2&gt;1, (M43/INDIRECT("M"&amp;ROW()-1))-1, "")</f>
        <v>-5.7142896380353192E-2</v>
      </c>
      <c r="R43" s="8" cm="1">
        <f t="array" aca="1" ref="R43" ca="1">IF(ROW()-2&gt;1, (N43/INDIRECT("N"&amp;ROW()-1))-1, "")</f>
        <v>-6.7961380724368081E-2</v>
      </c>
      <c r="S43" s="8" cm="1">
        <f t="array" aca="1" ref="S43" ca="1">IF(ROW()-2&gt;1, (O43/INDIRECT("O"&amp;ROW()-1))-1, "")</f>
        <v>9.6156523856387732E-3</v>
      </c>
    </row>
    <row r="44" spans="2:19" x14ac:dyDescent="0.35">
      <c r="B44" s="3">
        <v>43507</v>
      </c>
      <c r="C44" s="4">
        <v>22368860</v>
      </c>
      <c r="D44" s="4">
        <v>5312604</v>
      </c>
      <c r="E44" s="4">
        <v>2125041</v>
      </c>
      <c r="F44" s="4">
        <v>1582306</v>
      </c>
      <c r="G44" s="4">
        <v>1297491</v>
      </c>
      <c r="H44" s="8">
        <f>IF(C44&gt;0, G44/C44, 0)</f>
        <v>5.8004341750093655E-2</v>
      </c>
      <c r="I44" s="8" cm="1">
        <f t="array" aca="1" ref="I44" ca="1">IF(ROW()-2&gt;7, (G44/INDIRECT("G"&amp;ROW()-7))-1, "")</f>
        <v>8.2977972200451333E-2</v>
      </c>
      <c r="J44" s="8" cm="1">
        <f t="array" aca="1" ref="J44" ca="1">IF(ROW()-2&gt;7, (C44/INDIRECT("C"&amp;ROW()-7))-1, "")</f>
        <v>5.1020408642713067E-2</v>
      </c>
      <c r="K44" s="8" cm="1">
        <f t="array" aca="1" ref="K44" ca="1">IF(ROW()-2&gt;7, (H44/INDIRECT("H"&amp;ROW()-7))-1, "")</f>
        <v>3.0406225507084272E-2</v>
      </c>
      <c r="L44" s="8">
        <f>IF(D44&gt;0, D44/C44, 0)</f>
        <v>0.23749998882374873</v>
      </c>
      <c r="M44" s="8">
        <f>IF(D44&gt;0, E44/D44, 0)</f>
        <v>0.39999988706103445</v>
      </c>
      <c r="N44" s="8">
        <f>IF(E44&gt;0, F44/E44, 0)</f>
        <v>0.74460022183101404</v>
      </c>
      <c r="O44" s="8">
        <f>IF(F44&gt;0, G44/F44, 0)</f>
        <v>0.82000005055912073</v>
      </c>
      <c r="P44" s="8" cm="1">
        <f t="array" aca="1" ref="P44" ca="1">IF(ROW()-2&gt;1, (L44/INDIRECT("L"&amp;ROW()-1))-1, "")</f>
        <v>9.8012036841119032E-2</v>
      </c>
      <c r="Q44" s="8" cm="1">
        <f t="array" aca="1" ref="Q44" ca="1">IF(ROW()-2&gt;1, (M44/INDIRECT("M"&amp;ROW()-1))-1, "")</f>
        <v>0.18835382125449152</v>
      </c>
      <c r="R44" s="8" cm="1">
        <f t="array" aca="1" ref="R44" ca="1">IF(ROW()-2&gt;1, (N44/INDIRECT("N"&amp;ROW()-1))-1, "")</f>
        <v>0.14062572266489703</v>
      </c>
      <c r="S44" s="8" cm="1">
        <f t="array" aca="1" ref="S44" ca="1">IF(ROW()-2&gt;1, (O44/INDIRECT("O"&amp;ROW()-1))-1, "")</f>
        <v>1.2210012041680152E-3</v>
      </c>
    </row>
    <row r="45" spans="2:19" x14ac:dyDescent="0.35">
      <c r="B45" s="3">
        <v>43508</v>
      </c>
      <c r="C45" s="4">
        <v>22803207</v>
      </c>
      <c r="D45" s="4">
        <v>5814817</v>
      </c>
      <c r="E45" s="4">
        <v>2256149</v>
      </c>
      <c r="F45" s="4">
        <v>1712868</v>
      </c>
      <c r="G45" s="4">
        <v>1404552</v>
      </c>
      <c r="H45" s="8">
        <f>IF(C45&gt;0, G45/C45, 0)</f>
        <v>6.1594494142863325E-2</v>
      </c>
      <c r="I45" s="8" cm="1">
        <f t="array" aca="1" ref="I45" ca="1">IF(ROW()-2&gt;7, (G45/INDIRECT("G"&amp;ROW()-7))-1, "")</f>
        <v>4.0516023501679044E-2</v>
      </c>
      <c r="J45" s="8" cm="1">
        <f t="array" aca="1" ref="J45" ca="1">IF(ROW()-2&gt;7, (C45/INDIRECT("C"&amp;ROW()-7))-1, "")</f>
        <v>1.9417484842767951E-2</v>
      </c>
      <c r="K45" s="8" cm="1">
        <f t="array" aca="1" ref="K45" ca="1">IF(ROW()-2&gt;7, (H45/INDIRECT("H"&amp;ROW()-7))-1, "")</f>
        <v>2.0696661547025652E-2</v>
      </c>
      <c r="L45" s="8">
        <f>IF(D45&gt;0, D45/C45, 0)</f>
        <v>0.25499996557501758</v>
      </c>
      <c r="M45" s="8">
        <f>IF(D45&gt;0, E45/D45, 0)</f>
        <v>0.38800000068789781</v>
      </c>
      <c r="N45" s="8">
        <f>IF(E45&gt;0, F45/E45, 0)</f>
        <v>0.75919985781080945</v>
      </c>
      <c r="O45" s="8">
        <f>IF(F45&gt;0, G45/F45, 0)</f>
        <v>0.82000014011587585</v>
      </c>
      <c r="P45" s="8" cm="1">
        <f t="array" aca="1" ref="P45" ca="1">IF(ROW()-2&gt;1, (L45/INDIRECT("L"&amp;ROW()-1))-1, "")</f>
        <v>7.3684116104341335E-2</v>
      </c>
      <c r="Q45" s="8" cm="1">
        <f t="array" aca="1" ref="Q45" ca="1">IF(ROW()-2&gt;1, (M45/INDIRECT("M"&amp;ROW()-1))-1, "")</f>
        <v>-2.9999724403186212E-2</v>
      </c>
      <c r="R45" s="8" cm="1">
        <f t="array" aca="1" ref="R45" ca="1">IF(ROW()-2&gt;1, (N45/INDIRECT("N"&amp;ROW()-1))-1, "")</f>
        <v>1.9607348415629167E-2</v>
      </c>
      <c r="S45" s="8" cm="1">
        <f t="array" aca="1" ref="S45" ca="1">IF(ROW()-2&gt;1, (O45/INDIRECT("O"&amp;ROW()-1))-1, "")</f>
        <v>1.0921554838283498E-7</v>
      </c>
    </row>
    <row r="46" spans="2:19" x14ac:dyDescent="0.35">
      <c r="B46" s="3">
        <v>43509</v>
      </c>
      <c r="C46" s="4">
        <v>21717340</v>
      </c>
      <c r="D46" s="4">
        <v>5483628</v>
      </c>
      <c r="E46" s="4">
        <v>2259254</v>
      </c>
      <c r="F46" s="4">
        <v>1682241</v>
      </c>
      <c r="G46" s="4">
        <v>1393232</v>
      </c>
      <c r="H46" s="8">
        <f>IF(C46&gt;0, G46/C46, 0)</f>
        <v>6.4152976377401652E-2</v>
      </c>
      <c r="I46" s="8" cm="1">
        <f t="array" aca="1" ref="I46" ca="1">IF(ROW()-2&gt;7, (G46/INDIRECT("G"&amp;ROW()-7))-1, "")</f>
        <v>8.7452358707419409E-2</v>
      </c>
      <c r="J46" s="8" cm="1">
        <f t="array" aca="1" ref="J46" ca="1">IF(ROW()-2&gt;7, (C46/INDIRECT("C"&amp;ROW()-7))-1, "")</f>
        <v>5.2631578947368363E-2</v>
      </c>
      <c r="K46" s="8" cm="1">
        <f t="array" aca="1" ref="K46" ca="1">IF(ROW()-2&gt;7, (H46/INDIRECT("H"&amp;ROW()-7))-1, "")</f>
        <v>3.3079740772048449E-2</v>
      </c>
      <c r="L46" s="8">
        <f>IF(D46&gt;0, D46/C46, 0)</f>
        <v>0.25249998388384581</v>
      </c>
      <c r="M46" s="8">
        <f>IF(D46&gt;0, E46/D46, 0)</f>
        <v>0.41199986578228864</v>
      </c>
      <c r="N46" s="8">
        <f>IF(E46&gt;0, F46/E46, 0)</f>
        <v>0.74460020874146948</v>
      </c>
      <c r="O46" s="8">
        <f>IF(F46&gt;0, G46/F46, 0)</f>
        <v>0.82820000225889157</v>
      </c>
      <c r="P46" s="8" cm="1">
        <f t="array" aca="1" ref="P46" ca="1">IF(ROW()-2&gt;1, (L46/INDIRECT("L"&amp;ROW()-1))-1, "")</f>
        <v>-9.8038510928203371E-3</v>
      </c>
      <c r="Q46" s="8" cm="1">
        <f t="array" aca="1" ref="Q46" ca="1">IF(ROW()-2&gt;1, (M46/INDIRECT("M"&amp;ROW()-1))-1, "")</f>
        <v>6.1855322298558502E-2</v>
      </c>
      <c r="R46" s="8" cm="1">
        <f t="array" aca="1" ref="R46" ca="1">IF(ROW()-2&gt;1, (N46/INDIRECT("N"&amp;ROW()-1))-1, "")</f>
        <v>-1.9230310594945066E-2</v>
      </c>
      <c r="S46" s="8" cm="1">
        <f t="array" aca="1" ref="S46" ca="1">IF(ROW()-2&gt;1, (O46/INDIRECT("O"&amp;ROW()-1))-1, "")</f>
        <v>9.9998301730253036E-3</v>
      </c>
    </row>
    <row r="47" spans="2:19" x14ac:dyDescent="0.35">
      <c r="B47" s="3">
        <v>43510</v>
      </c>
      <c r="C47" s="4">
        <v>21500167</v>
      </c>
      <c r="D47" s="4">
        <v>5213790</v>
      </c>
      <c r="E47" s="4">
        <v>1981240</v>
      </c>
      <c r="F47" s="4">
        <v>1402916</v>
      </c>
      <c r="G47" s="4">
        <v>1184903</v>
      </c>
      <c r="H47" s="8">
        <f>IF(C47&gt;0, G47/C47, 0)</f>
        <v>5.5111339367736073E-2</v>
      </c>
      <c r="I47" s="8" cm="1">
        <f t="array" aca="1" ref="I47" ca="1">IF(ROW()-2&gt;7, (G47/INDIRECT("G"&amp;ROW()-7))-1, "")</f>
        <v>-0.14069092654880477</v>
      </c>
      <c r="J47" s="8" cm="1">
        <f t="array" aca="1" ref="J47" ca="1">IF(ROW()-2&gt;7, (C47/INDIRECT("C"&amp;ROW()-7))-1, "")</f>
        <v>-2.9411755411675844E-2</v>
      </c>
      <c r="K47" s="8" cm="1">
        <f t="array" aca="1" ref="K47" ca="1">IF(ROW()-2&gt;7, (H47/INDIRECT("H"&amp;ROW()-7))-1, "")</f>
        <v>-0.1146512661343102</v>
      </c>
      <c r="L47" s="8">
        <f>IF(D47&gt;0, D47/C47, 0)</f>
        <v>0.24249997686064484</v>
      </c>
      <c r="M47" s="8">
        <f>IF(D47&gt;0, E47/D47, 0)</f>
        <v>0.37999996164018879</v>
      </c>
      <c r="N47" s="8">
        <f>IF(E47&gt;0, F47/E47, 0)</f>
        <v>0.70809997779168599</v>
      </c>
      <c r="O47" s="8">
        <f>IF(F47&gt;0, G47/F47, 0)</f>
        <v>0.84460010435407396</v>
      </c>
      <c r="P47" s="8" cm="1">
        <f t="array" aca="1" ref="P47" ca="1">IF(ROW()-2&gt;1, (L47/INDIRECT("L"&amp;ROW()-1))-1, "")</f>
        <v>-3.9603990738475203E-2</v>
      </c>
      <c r="Q47" s="8" cm="1">
        <f t="array" aca="1" ref="Q47" ca="1">IF(ROW()-2&gt;1, (M47/INDIRECT("M"&amp;ROW()-1))-1, "")</f>
        <v>-7.766969555036074E-2</v>
      </c>
      <c r="R47" s="8" cm="1">
        <f t="array" aca="1" ref="R47" ca="1">IF(ROW()-2&gt;1, (N47/INDIRECT("N"&amp;ROW()-1))-1, "")</f>
        <v>-4.9019904267118775E-2</v>
      </c>
      <c r="S47" s="8" cm="1">
        <f t="array" aca="1" ref="S47" ca="1">IF(ROW()-2&gt;1, (O47/INDIRECT("O"&amp;ROW()-1))-1, "")</f>
        <v>1.9802103417594363E-2</v>
      </c>
    </row>
    <row r="48" spans="2:19" x14ac:dyDescent="0.35">
      <c r="B48" s="3">
        <v>43511</v>
      </c>
      <c r="C48" s="4">
        <v>21500167</v>
      </c>
      <c r="D48" s="4">
        <v>5482542</v>
      </c>
      <c r="E48" s="4">
        <v>2214947</v>
      </c>
      <c r="F48" s="4">
        <v>1633080</v>
      </c>
      <c r="G48" s="4">
        <v>1285561</v>
      </c>
      <c r="H48" s="8">
        <f>IF(C48&gt;0, G48/C48, 0)</f>
        <v>5.9793070444522596E-2</v>
      </c>
      <c r="I48" s="8" cm="1">
        <f t="array" aca="1" ref="I48" ca="1">IF(ROW()-2&gt;7, (G48/INDIRECT("G"&amp;ROW()-7))-1, "")</f>
        <v>3.1362191919734883E-2</v>
      </c>
      <c r="J48" s="8" cm="1">
        <f t="array" aca="1" ref="J48" ca="1">IF(ROW()-2&gt;7, (C48/INDIRECT("C"&amp;ROW()-7))-1, "")</f>
        <v>-1.9801944086928258E-2</v>
      </c>
      <c r="K48" s="8" cm="1">
        <f t="array" aca="1" ref="K48" ca="1">IF(ROW()-2&gt;7, (H48/INDIRECT("H"&amp;ROW()-7))-1, "")</f>
        <v>5.2197752992891644E-2</v>
      </c>
      <c r="L48" s="8">
        <f>IF(D48&gt;0, D48/C48, 0)</f>
        <v>0.25499997279090902</v>
      </c>
      <c r="M48" s="8">
        <f>IF(D48&gt;0, E48/D48, 0)</f>
        <v>0.40400000583670859</v>
      </c>
      <c r="N48" s="8">
        <f>IF(E48&gt;0, F48/E48, 0)</f>
        <v>0.73729980897962799</v>
      </c>
      <c r="O48" s="8">
        <f>IF(F48&gt;0, G48/F48, 0)</f>
        <v>0.78720025963210616</v>
      </c>
      <c r="P48" s="8" cm="1">
        <f t="array" aca="1" ref="P48" ca="1">IF(ROW()-2&gt;1, (L48/INDIRECT("L"&amp;ROW()-1))-1, "")</f>
        <v>5.1546379888718352E-2</v>
      </c>
      <c r="Q48" s="8" cm="1">
        <f t="array" aca="1" ref="Q48" ca="1">IF(ROW()-2&gt;1, (M48/INDIRECT("M"&amp;ROW()-1))-1, "")</f>
        <v>6.3158017419077339E-2</v>
      </c>
      <c r="R48" s="8" cm="1">
        <f t="array" aca="1" ref="R48" ca="1">IF(ROW()-2&gt;1, (N48/INDIRECT("N"&amp;ROW()-1))-1, "")</f>
        <v>4.1236876293946567E-2</v>
      </c>
      <c r="S48" s="8" cm="1">
        <f t="array" aca="1" ref="S48" ca="1">IF(ROW()-2&gt;1, (O48/INDIRECT("O"&amp;ROW()-1))-1, "")</f>
        <v>-6.7960972803650765E-2</v>
      </c>
    </row>
    <row r="49" spans="2:19" x14ac:dyDescent="0.35">
      <c r="B49" s="3">
        <v>43512</v>
      </c>
      <c r="C49" s="4">
        <v>45787545</v>
      </c>
      <c r="D49" s="4">
        <v>9807692</v>
      </c>
      <c r="E49" s="4">
        <v>3334615</v>
      </c>
      <c r="F49" s="4">
        <v>2290213</v>
      </c>
      <c r="G49" s="4">
        <v>1768503</v>
      </c>
      <c r="H49" s="8">
        <f>IF(C49&gt;0, G49/C49, 0)</f>
        <v>3.8624106184334629E-2</v>
      </c>
      <c r="I49" s="8" cm="1">
        <f t="array" aca="1" ref="I49" ca="1">IF(ROW()-2&gt;7, (G49/INDIRECT("G"&amp;ROW()-7))-1, "")</f>
        <v>-4.6686155168073507E-2</v>
      </c>
      <c r="J49" s="8" cm="1">
        <f t="array" aca="1" ref="J49" ca="1">IF(ROW()-2&gt;7, (C49/INDIRECT("C"&amp;ROW()-7))-1, "")</f>
        <v>4.081632653061229E-2</v>
      </c>
      <c r="K49" s="8" cm="1">
        <f t="array" aca="1" ref="K49" ca="1">IF(ROW()-2&gt;7, (H49/INDIRECT("H"&amp;ROW()-7))-1, "")</f>
        <v>-8.4071011828148912E-2</v>
      </c>
      <c r="L49" s="8">
        <f>IF(D49&gt;0, D49/C49, 0)</f>
        <v>0.21419999696423994</v>
      </c>
      <c r="M49" s="8">
        <f>IF(D49&gt;0, E49/D49, 0)</f>
        <v>0.33999997145097949</v>
      </c>
      <c r="N49" s="8">
        <f>IF(E49&gt;0, F49/E49, 0)</f>
        <v>0.68679982546710794</v>
      </c>
      <c r="O49" s="8">
        <f>IF(F49&gt;0, G49/F49, 0)</f>
        <v>0.77220022766441376</v>
      </c>
      <c r="P49" s="8" cm="1">
        <f t="array" aca="1" ref="P49" ca="1">IF(ROW()-2&gt;1, (L49/INDIRECT("L"&amp;ROW()-1))-1, "")</f>
        <v>-0.15999992227498638</v>
      </c>
      <c r="Q49" s="8" cm="1">
        <f t="array" aca="1" ref="Q49" ca="1">IF(ROW()-2&gt;1, (M49/INDIRECT("M"&amp;ROW()-1))-1, "")</f>
        <v>-0.15841592440866714</v>
      </c>
      <c r="R49" s="8" cm="1">
        <f t="array" aca="1" ref="R49" ca="1">IF(ROW()-2&gt;1, (N49/INDIRECT("N"&amp;ROW()-1))-1, "")</f>
        <v>-6.8493146068230426E-2</v>
      </c>
      <c r="S49" s="8" cm="1">
        <f t="array" aca="1" ref="S49" ca="1">IF(ROW()-2&gt;1, (O49/INDIRECT("O"&amp;ROW()-1))-1, "")</f>
        <v>-1.9054912373507871E-2</v>
      </c>
    </row>
    <row r="50" spans="2:19" x14ac:dyDescent="0.35">
      <c r="B50" s="3">
        <v>43513</v>
      </c>
      <c r="C50" s="4">
        <v>45338648</v>
      </c>
      <c r="D50" s="4">
        <v>9901960</v>
      </c>
      <c r="E50" s="4">
        <v>3232000</v>
      </c>
      <c r="F50" s="4">
        <v>2087872</v>
      </c>
      <c r="G50" s="4">
        <v>1579683</v>
      </c>
      <c r="H50" s="8">
        <f>IF(C50&gt;0, G50/C50, 0)</f>
        <v>3.4841863833257665E-2</v>
      </c>
      <c r="I50" s="8" cm="1">
        <f t="array" aca="1" ref="I50" ca="1">IF(ROW()-2&gt;7, (G50/INDIRECT("G"&amp;ROW()-7))-1, "")</f>
        <v>-0.12229008244350137</v>
      </c>
      <c r="J50" s="8" cm="1">
        <f t="array" aca="1" ref="J50" ca="1">IF(ROW()-2&gt;7, (C50/INDIRECT("C"&amp;ROW()-7))-1, "")</f>
        <v>-1.9417475518175187E-2</v>
      </c>
      <c r="K50" s="8" cm="1">
        <f t="array" aca="1" ref="K50" ca="1">IF(ROW()-2&gt;7, (H50/INDIRECT("H"&amp;ROW()-7))-1, "")</f>
        <v>-0.10490968822811508</v>
      </c>
      <c r="L50" s="8">
        <f>IF(D50&gt;0, D50/C50, 0)</f>
        <v>0.21839998404892885</v>
      </c>
      <c r="M50" s="8">
        <f>IF(D50&gt;0, E50/D50, 0)</f>
        <v>0.32640002585346739</v>
      </c>
      <c r="N50" s="8">
        <f>IF(E50&gt;0, F50/E50, 0)</f>
        <v>0.64600000000000002</v>
      </c>
      <c r="O50" s="8">
        <f>IF(F50&gt;0, G50/F50, 0)</f>
        <v>0.75659954250068973</v>
      </c>
      <c r="P50" s="8" cm="1">
        <f t="array" aca="1" ref="P50" ca="1">IF(ROW()-2&gt;1, (L50/INDIRECT("L"&amp;ROW()-1))-1, "")</f>
        <v>1.9607783119577116E-2</v>
      </c>
      <c r="Q50" s="8" cm="1">
        <f t="array" aca="1" ref="Q50" ca="1">IF(ROW()-2&gt;1, (M50/INDIRECT("M"&amp;ROW()-1))-1, "")</f>
        <v>-3.999984335137774E-2</v>
      </c>
      <c r="R50" s="8" cm="1">
        <f t="array" aca="1" ref="R50" ca="1">IF(ROW()-2&gt;1, (N50/INDIRECT("N"&amp;ROW()-1))-1, "")</f>
        <v>-5.9405701565749536E-2</v>
      </c>
      <c r="S50" s="8" cm="1">
        <f t="array" aca="1" ref="S50" ca="1">IF(ROW()-2&gt;1, (O50/INDIRECT("O"&amp;ROW()-1))-1, "")</f>
        <v>-2.0202901533595274E-2</v>
      </c>
    </row>
    <row r="51" spans="2:19" x14ac:dyDescent="0.35">
      <c r="B51" s="3">
        <v>43514</v>
      </c>
      <c r="C51" s="4">
        <v>21717340</v>
      </c>
      <c r="D51" s="4">
        <v>5592215</v>
      </c>
      <c r="E51" s="4">
        <v>2348730</v>
      </c>
      <c r="F51" s="4">
        <v>1800301</v>
      </c>
      <c r="G51" s="4">
        <v>1431960</v>
      </c>
      <c r="H51" s="8">
        <f>IF(C51&gt;0, G51/C51, 0)</f>
        <v>6.5936251861415815E-2</v>
      </c>
      <c r="I51" s="8" cm="1">
        <f t="array" aca="1" ref="I51" ca="1">IF(ROW()-2&gt;7, (G51/INDIRECT("G"&amp;ROW()-7))-1, "")</f>
        <v>0.10363771309396363</v>
      </c>
      <c r="J51" s="8" cm="1">
        <f t="array" aca="1" ref="J51" ca="1">IF(ROW()-2&gt;7, (C51/INDIRECT("C"&amp;ROW()-7))-1, "")</f>
        <v>-2.9126204911649523E-2</v>
      </c>
      <c r="K51" s="8" cm="1">
        <f t="array" aca="1" ref="K51" ca="1">IF(ROW()-2&gt;7, (H51/INDIRECT("H"&amp;ROW()-7))-1, "")</f>
        <v>0.13674683432312817</v>
      </c>
      <c r="L51" s="8">
        <f>IF(D51&gt;0, D51/C51, 0)</f>
        <v>0.25749999769769227</v>
      </c>
      <c r="M51" s="8">
        <f>IF(D51&gt;0, E51/D51, 0)</f>
        <v>0.4199999463539939</v>
      </c>
      <c r="N51" s="8">
        <f>IF(E51&gt;0, F51/E51, 0)</f>
        <v>0.76649976795970587</v>
      </c>
      <c r="O51" s="8">
        <f>IF(F51&gt;0, G51/F51, 0)</f>
        <v>0.79540032472347677</v>
      </c>
      <c r="P51" s="8" cm="1">
        <f t="array" aca="1" ref="P51" ca="1">IF(ROW()-2&gt;1, (L51/INDIRECT("L"&amp;ROW()-1))-1, "")</f>
        <v>0.17902937959923904</v>
      </c>
      <c r="Q51" s="8" cm="1">
        <f t="array" aca="1" ref="Q51" ca="1">IF(ROW()-2&gt;1, (M51/INDIRECT("M"&amp;ROW()-1))-1, "")</f>
        <v>0.28676443960377274</v>
      </c>
      <c r="R51" s="8" cm="1">
        <f t="array" aca="1" ref="R51" ca="1">IF(ROW()-2&gt;1, (N51/INDIRECT("N"&amp;ROW()-1))-1, "")</f>
        <v>0.18653214854443623</v>
      </c>
      <c r="S51" s="8" cm="1">
        <f t="array" aca="1" ref="S51" ca="1">IF(ROW()-2&gt;1, (O51/INDIRECT("O"&amp;ROW()-1))-1, "")</f>
        <v>5.1283116157516906E-2</v>
      </c>
    </row>
    <row r="52" spans="2:19" x14ac:dyDescent="0.35">
      <c r="B52" s="3">
        <v>43515</v>
      </c>
      <c r="C52" s="4">
        <v>21934513</v>
      </c>
      <c r="D52" s="4">
        <v>5648137</v>
      </c>
      <c r="E52" s="4">
        <v>948887</v>
      </c>
      <c r="F52" s="4">
        <v>727321</v>
      </c>
      <c r="G52" s="4">
        <v>620260</v>
      </c>
      <c r="H52" s="8">
        <f>IF(C52&gt;0, G52/C52, 0)</f>
        <v>2.8277810407735061E-2</v>
      </c>
      <c r="I52" s="8" cm="1">
        <f t="array" aca="1" ref="I52" ca="1">IF(ROW()-2&gt;7, (G52/INDIRECT("G"&amp;ROW()-7))-1, "")</f>
        <v>-0.55839299648571217</v>
      </c>
      <c r="J52" s="8" cm="1">
        <f t="array" aca="1" ref="J52" ca="1">IF(ROW()-2&gt;7, (C52/INDIRECT("C"&amp;ROW()-7))-1, "")</f>
        <v>-3.809525563663041E-2</v>
      </c>
      <c r="K52" s="8" cm="1">
        <f t="array" aca="1" ref="K52" ca="1">IF(ROW()-2&gt;7, (H52/INDIRECT("H"&amp;ROW()-7))-1, "")</f>
        <v>-0.54090360183579034</v>
      </c>
      <c r="L52" s="8">
        <f>IF(D52&gt;0, D52/C52, 0)</f>
        <v>0.25749999555495034</v>
      </c>
      <c r="M52" s="8">
        <f>IF(D52&gt;0, E52/D52, 0)</f>
        <v>0.16799999716720751</v>
      </c>
      <c r="N52" s="8">
        <f>IF(E52&gt;0, F52/E52, 0)</f>
        <v>0.76649906680142099</v>
      </c>
      <c r="O52" s="8">
        <f>IF(F52&gt;0, G52/F52, 0)</f>
        <v>0.8528008953405718</v>
      </c>
      <c r="P52" s="8" cm="1">
        <f t="array" aca="1" ref="P52" ca="1">IF(ROW()-2&gt;1, (L52/INDIRECT("L"&amp;ROW()-1))-1, "")</f>
        <v>-8.3213279600258261E-9</v>
      </c>
      <c r="Q52" s="8" cm="1">
        <f t="array" aca="1" ref="Q52" ca="1">IF(ROW()-2&gt;1, (M52/INDIRECT("M"&amp;ROW()-1))-1, "")</f>
        <v>-0.599999955653304</v>
      </c>
      <c r="R52" s="8" cm="1">
        <f t="array" aca="1" ref="R52" ca="1">IF(ROW()-2&gt;1, (N52/INDIRECT("N"&amp;ROW()-1))-1, "")</f>
        <v>-9.1475342089974987E-7</v>
      </c>
      <c r="S52" s="8" cm="1">
        <f t="array" aca="1" ref="S52" ca="1">IF(ROW()-2&gt;1, (O52/INDIRECT("O"&amp;ROW()-1))-1, "")</f>
        <v>7.2165636388255905E-2</v>
      </c>
    </row>
    <row r="53" spans="2:19" x14ac:dyDescent="0.35">
      <c r="B53" s="3">
        <v>43516</v>
      </c>
      <c r="C53" s="4">
        <v>22151687</v>
      </c>
      <c r="D53" s="4">
        <v>5427163</v>
      </c>
      <c r="E53" s="4">
        <v>2105739</v>
      </c>
      <c r="F53" s="4">
        <v>1537189</v>
      </c>
      <c r="G53" s="4">
        <v>1222680</v>
      </c>
      <c r="H53" s="8">
        <f>IF(C53&gt;0, G53/C53, 0)</f>
        <v>5.5195796148618387E-2</v>
      </c>
      <c r="I53" s="8" cm="1">
        <f t="array" aca="1" ref="I53" ca="1">IF(ROW()-2&gt;7, (G53/INDIRECT("G"&amp;ROW()-7))-1, "")</f>
        <v>-0.12241464451003137</v>
      </c>
      <c r="J53" s="8" cm="1">
        <f t="array" aca="1" ref="J53" ca="1">IF(ROW()-2&gt;7, (C53/INDIRECT("C"&amp;ROW()-7))-1, "")</f>
        <v>2.0000009209230951E-2</v>
      </c>
      <c r="K53" s="8" cm="1">
        <f t="array" aca="1" ref="K53" ca="1">IF(ROW()-2&gt;7, (H53/INDIRECT("H"&amp;ROW()-7))-1, "")</f>
        <v>-0.13962220826808736</v>
      </c>
      <c r="L53" s="8">
        <f>IF(D53&gt;0, D53/C53, 0)</f>
        <v>0.24499998577986409</v>
      </c>
      <c r="M53" s="8">
        <f>IF(D53&gt;0, E53/D53, 0)</f>
        <v>0.38799995504096707</v>
      </c>
      <c r="N53" s="8">
        <f>IF(E53&gt;0, F53/E53, 0)</f>
        <v>0.7299997768004487</v>
      </c>
      <c r="O53" s="8">
        <f>IF(F53&gt;0, G53/F53, 0)</f>
        <v>0.79539991503972507</v>
      </c>
      <c r="P53" s="8" cm="1">
        <f t="array" aca="1" ref="P53" ca="1">IF(ROW()-2&gt;1, (L53/INDIRECT("L"&amp;ROW()-1))-1, "")</f>
        <v>-4.8543728119866181E-2</v>
      </c>
      <c r="Q53" s="8" cm="1">
        <f t="array" aca="1" ref="Q53" ca="1">IF(ROW()-2&gt;1, (M53/INDIRECT("M"&amp;ROW()-1))-1, "")</f>
        <v>1.3095235808533818</v>
      </c>
      <c r="R53" s="8" cm="1">
        <f t="array" aca="1" ref="R53" ca="1">IF(ROW()-2&gt;1, (N53/INDIRECT("N"&amp;ROW()-1))-1, "")</f>
        <v>-4.7618179306183395E-2</v>
      </c>
      <c r="S53" s="8" cm="1">
        <f t="array" aca="1" ref="S53" ca="1">IF(ROW()-2&gt;1, (O53/INDIRECT("O"&amp;ROW()-1))-1, "")</f>
        <v>-6.7308771149827695E-2</v>
      </c>
    </row>
    <row r="54" spans="2:19" x14ac:dyDescent="0.35">
      <c r="B54" s="3">
        <v>43517</v>
      </c>
      <c r="C54" s="4">
        <v>20848646</v>
      </c>
      <c r="D54" s="4">
        <v>5003675</v>
      </c>
      <c r="E54" s="4">
        <v>1921411</v>
      </c>
      <c r="F54" s="4">
        <v>1444709</v>
      </c>
      <c r="G54" s="4">
        <v>1149121</v>
      </c>
      <c r="H54" s="8">
        <f>IF(C54&gt;0, G54/C54, 0)</f>
        <v>5.5117296346247138E-2</v>
      </c>
      <c r="I54" s="8" cm="1">
        <f t="array" aca="1" ref="I54" ca="1">IF(ROW()-2&gt;7, (G54/INDIRECT("G"&amp;ROW()-7))-1, "")</f>
        <v>-3.019825251518482E-2</v>
      </c>
      <c r="J54" s="8" cm="1">
        <f t="array" aca="1" ref="J54" ca="1">IF(ROW()-2&gt;7, (C54/INDIRECT("C"&amp;ROW()-7))-1, "")</f>
        <v>-3.0303066948270674E-2</v>
      </c>
      <c r="K54" s="8" cm="1">
        <f t="array" aca="1" ref="K54" ca="1">IF(ROW()-2&gt;7, (H54/INDIRECT("H"&amp;ROW()-7))-1, "")</f>
        <v>1.0808988820465437E-4</v>
      </c>
      <c r="L54" s="8">
        <f>IF(D54&gt;0, D54/C54, 0)</f>
        <v>0.23999999808141018</v>
      </c>
      <c r="M54" s="8">
        <f>IF(D54&gt;0, E54/D54, 0)</f>
        <v>0.38399996002937842</v>
      </c>
      <c r="N54" s="8">
        <f>IF(E54&gt;0, F54/E54, 0)</f>
        <v>0.75190003596315413</v>
      </c>
      <c r="O54" s="8">
        <f>IF(F54&gt;0, G54/F54, 0)</f>
        <v>0.79539962719135826</v>
      </c>
      <c r="P54" s="8" cm="1">
        <f t="array" aca="1" ref="P54" ca="1">IF(ROW()-2&gt;1, (L54/INDIRECT("L"&amp;ROW()-1))-1, "")</f>
        <v>-2.0408114239428898E-2</v>
      </c>
      <c r="Q54" s="8" cm="1">
        <f t="array" aca="1" ref="Q54" ca="1">IF(ROW()-2&gt;1, (M54/INDIRECT("M"&amp;ROW()-1))-1, "")</f>
        <v>-1.0309266688359076E-2</v>
      </c>
      <c r="R54" s="8" cm="1">
        <f t="array" aca="1" ref="R54" ca="1">IF(ROW()-2&gt;1, (N54/INDIRECT("N"&amp;ROW()-1))-1, "")</f>
        <v>3.0000364190100326E-2</v>
      </c>
      <c r="S54" s="8" cm="1">
        <f t="array" aca="1" ref="S54" ca="1">IF(ROW()-2&gt;1, (O54/INDIRECT("O"&amp;ROW()-1))-1, "")</f>
        <v>-3.6189137231357194E-7</v>
      </c>
    </row>
    <row r="55" spans="2:19" x14ac:dyDescent="0.35">
      <c r="B55" s="3">
        <v>43518</v>
      </c>
      <c r="C55" s="4">
        <v>22151687</v>
      </c>
      <c r="D55" s="4">
        <v>5704059</v>
      </c>
      <c r="E55" s="4">
        <v>2304440</v>
      </c>
      <c r="F55" s="4">
        <v>1749530</v>
      </c>
      <c r="G55" s="4">
        <v>1377230</v>
      </c>
      <c r="H55" s="8">
        <f>IF(C55&gt;0, G55/C55, 0)</f>
        <v>6.2172691407205237E-2</v>
      </c>
      <c r="I55" s="8" cm="1">
        <f t="array" aca="1" ref="I55" ca="1">IF(ROW()-2&gt;7, (G55/INDIRECT("G"&amp;ROW()-7))-1, "")</f>
        <v>7.1306612443905903E-2</v>
      </c>
      <c r="J55" s="8" cm="1">
        <f t="array" aca="1" ref="J55" ca="1">IF(ROW()-2&gt;7, (C55/INDIRECT("C"&amp;ROW()-7))-1, "")</f>
        <v>3.0303020437004058E-2</v>
      </c>
      <c r="K55" s="8" cm="1">
        <f t="array" aca="1" ref="K55" ca="1">IF(ROW()-2&gt;7, (H55/INDIRECT("H"&amp;ROW()-7))-1, "")</f>
        <v>3.9797604387794561E-2</v>
      </c>
      <c r="L55" s="8">
        <f>IF(D55&gt;0, D55/C55, 0)</f>
        <v>0.25749998182982631</v>
      </c>
      <c r="M55" s="8">
        <f>IF(D55&gt;0, E55/D55, 0)</f>
        <v>0.40400002875145574</v>
      </c>
      <c r="N55" s="8">
        <f>IF(E55&gt;0, F55/E55, 0)</f>
        <v>0.75919963201471941</v>
      </c>
      <c r="O55" s="8">
        <f>IF(F55&gt;0, G55/F55, 0)</f>
        <v>0.78719999085468673</v>
      </c>
      <c r="P55" s="8" cm="1">
        <f t="array" aca="1" ref="P55" ca="1">IF(ROW()-2&gt;1, (L55/INDIRECT("L"&amp;ROW()-1))-1, "")</f>
        <v>7.2916599534638138E-2</v>
      </c>
      <c r="Q55" s="8" cm="1">
        <f t="array" aca="1" ref="Q55" ca="1">IF(ROW()-2&gt;1, (M55/INDIRECT("M"&amp;ROW()-1))-1, "")</f>
        <v>5.2083517718457983E-2</v>
      </c>
      <c r="R55" s="8" cm="1">
        <f t="array" aca="1" ref="R55" ca="1">IF(ROW()-2&gt;1, (N55/INDIRECT("N"&amp;ROW()-1))-1, "")</f>
        <v>9.7082001628245873E-3</v>
      </c>
      <c r="S55" s="8" cm="1">
        <f t="array" aca="1" ref="S55" ca="1">IF(ROW()-2&gt;1, (O55/INDIRECT("O"&amp;ROW()-1))-1, "")</f>
        <v>-1.0308825974215452E-2</v>
      </c>
    </row>
    <row r="56" spans="2:19" x14ac:dyDescent="0.35">
      <c r="B56" s="3">
        <v>43519</v>
      </c>
      <c r="C56" s="4">
        <v>43094160</v>
      </c>
      <c r="D56" s="4">
        <v>9049773</v>
      </c>
      <c r="E56" s="4">
        <v>2923076</v>
      </c>
      <c r="F56" s="4">
        <v>1908184</v>
      </c>
      <c r="G56" s="4">
        <v>1443732</v>
      </c>
      <c r="H56" s="8">
        <f>IF(C56&gt;0, G56/C56, 0)</f>
        <v>3.3501801636230989E-2</v>
      </c>
      <c r="I56" s="8" cm="1">
        <f t="array" aca="1" ref="I56" ca="1">IF(ROW()-2&gt;7, (G56/INDIRECT("G"&amp;ROW()-7))-1, "")</f>
        <v>-0.18364175802924843</v>
      </c>
      <c r="J56" s="8" cm="1">
        <f t="array" aca="1" ref="J56" ca="1">IF(ROW()-2&gt;7, (C56/INDIRECT("C"&amp;ROW()-7))-1, "")</f>
        <v>-5.8823529411764719E-2</v>
      </c>
      <c r="K56" s="8" cm="1">
        <f t="array" aca="1" ref="K56" ca="1">IF(ROW()-2&gt;7, (H56/INDIRECT("H"&amp;ROW()-7))-1, "")</f>
        <v>-0.13261936790607654</v>
      </c>
      <c r="L56" s="8">
        <f>IF(D56&gt;0, D56/C56, 0)</f>
        <v>0.20999998607699977</v>
      </c>
      <c r="M56" s="8">
        <f>IF(D56&gt;0, E56/D56, 0)</f>
        <v>0.32299992497049373</v>
      </c>
      <c r="N56" s="8">
        <f>IF(E56&gt;0, F56/E56, 0)</f>
        <v>0.65279999562105129</v>
      </c>
      <c r="O56" s="8">
        <f>IF(F56&gt;0, G56/F56, 0)</f>
        <v>0.75659999245355791</v>
      </c>
      <c r="P56" s="8" cm="1">
        <f t="array" aca="1" ref="P56" ca="1">IF(ROW()-2&gt;1, (L56/INDIRECT("L"&amp;ROW()-1))-1, "")</f>
        <v>-0.18446601594021783</v>
      </c>
      <c r="Q56" s="8" cm="1">
        <f t="array" aca="1" ref="Q56" ca="1">IF(ROW()-2&gt;1, (M56/INDIRECT("M"&amp;ROW()-1))-1, "")</f>
        <v>-0.20049529211987749</v>
      </c>
      <c r="R56" s="8" cm="1">
        <f t="array" aca="1" ref="R56" ca="1">IF(ROW()-2&gt;1, (N56/INDIRECT("N"&amp;ROW()-1))-1, "")</f>
        <v>-0.14014711270514058</v>
      </c>
      <c r="S56" s="8" cm="1">
        <f t="array" aca="1" ref="S56" ca="1">IF(ROW()-2&gt;1, (O56/INDIRECT("O"&amp;ROW()-1))-1, "")</f>
        <v>-3.8871949640021608E-2</v>
      </c>
    </row>
    <row r="57" spans="2:19" x14ac:dyDescent="0.35">
      <c r="B57" s="3">
        <v>43520</v>
      </c>
      <c r="C57" s="4">
        <v>44440853</v>
      </c>
      <c r="D57" s="4">
        <v>8959276</v>
      </c>
      <c r="E57" s="4">
        <v>3168000</v>
      </c>
      <c r="F57" s="4">
        <v>2046528</v>
      </c>
      <c r="G57" s="4">
        <v>1644180</v>
      </c>
      <c r="H57" s="8">
        <f>IF(C57&gt;0, G57/C57, 0)</f>
        <v>3.699703963828057E-2</v>
      </c>
      <c r="I57" s="8" cm="1">
        <f t="array" aca="1" ref="I57" ca="1">IF(ROW()-2&gt;7, (G57/INDIRECT("G"&amp;ROW()-7))-1, "")</f>
        <v>4.0829077732684294E-2</v>
      </c>
      <c r="J57" s="8" cm="1">
        <f t="array" aca="1" ref="J57" ca="1">IF(ROW()-2&gt;7, (C57/INDIRECT("C"&amp;ROW()-7))-1, "")</f>
        <v>-1.9801979979641171E-2</v>
      </c>
      <c r="K57" s="8" cm="1">
        <f t="array" aca="1" ref="K57" ca="1">IF(ROW()-2&gt;7, (H57/INDIRECT("H"&amp;ROW()-7))-1, "")</f>
        <v>6.1855927551318857E-2</v>
      </c>
      <c r="L57" s="8">
        <f>IF(D57&gt;0, D57/C57, 0)</f>
        <v>0.201600000792064</v>
      </c>
      <c r="M57" s="8">
        <f>IF(D57&gt;0, E57/D57, 0)</f>
        <v>0.35360000071434344</v>
      </c>
      <c r="N57" s="8">
        <f>IF(E57&gt;0, F57/E57, 0)</f>
        <v>0.64600000000000002</v>
      </c>
      <c r="O57" s="8">
        <f>IF(F57&gt;0, G57/F57, 0)</f>
        <v>0.80339970916596304</v>
      </c>
      <c r="P57" s="8" cm="1">
        <f t="array" aca="1" ref="P57" ca="1">IF(ROW()-2&gt;1, (L57/INDIRECT("L"&amp;ROW()-1))-1, "")</f>
        <v>-3.9999932580261133E-2</v>
      </c>
      <c r="Q57" s="8" cm="1">
        <f t="array" aca="1" ref="Q57" ca="1">IF(ROW()-2&gt;1, (M57/INDIRECT("M"&amp;ROW()-1))-1, "")</f>
        <v>9.4737098612778459E-2</v>
      </c>
      <c r="R57" s="8" cm="1">
        <f t="array" aca="1" ref="R57" ca="1">IF(ROW()-2&gt;1, (N57/INDIRECT("N"&amp;ROW()-1))-1, "")</f>
        <v>-1.041666002859265E-2</v>
      </c>
      <c r="S57" s="8" cm="1">
        <f t="array" aca="1" ref="S57" ca="1">IF(ROW()-2&gt;1, (O57/INDIRECT("O"&amp;ROW()-1))-1, "")</f>
        <v>6.1855296298166218E-2</v>
      </c>
    </row>
    <row r="58" spans="2:19" x14ac:dyDescent="0.35">
      <c r="B58" s="3">
        <v>43521</v>
      </c>
      <c r="C58" s="4">
        <v>21065820</v>
      </c>
      <c r="D58" s="4">
        <v>5055796</v>
      </c>
      <c r="E58" s="4">
        <v>2042541</v>
      </c>
      <c r="F58" s="4">
        <v>1505966</v>
      </c>
      <c r="G58" s="4">
        <v>1271939</v>
      </c>
      <c r="H58" s="8">
        <f>IF(C58&gt;0, G58/C58, 0)</f>
        <v>6.0379277901358691E-2</v>
      </c>
      <c r="I58" s="8" cm="1">
        <f t="array" aca="1" ref="I58" ca="1">IF(ROW()-2&gt;7, (G58/INDIRECT("G"&amp;ROW()-7))-1, "")</f>
        <v>-0.11174962987792958</v>
      </c>
      <c r="J58" s="8" cm="1">
        <f t="array" aca="1" ref="J58" ca="1">IF(ROW()-2&gt;7, (C58/INDIRECT("C"&amp;ROW()-7))-1, "")</f>
        <v>-2.9999990790768982E-2</v>
      </c>
      <c r="K58" s="8" cm="1">
        <f t="array" aca="1" ref="K58" ca="1">IF(ROW()-2&gt;7, (H58/INDIRECT("H"&amp;ROW()-7))-1, "")</f>
        <v>-8.427797764023226E-2</v>
      </c>
      <c r="L58" s="8">
        <f>IF(D58&gt;0, D58/C58, 0)</f>
        <v>0.2399999620237902</v>
      </c>
      <c r="M58" s="8">
        <f>IF(D58&gt;0, E58/D58, 0)</f>
        <v>0.40399988448901025</v>
      </c>
      <c r="N58" s="8">
        <f>IF(E58&gt;0, F58/E58, 0)</f>
        <v>0.73730025492756324</v>
      </c>
      <c r="O58" s="8">
        <f>IF(F58&gt;0, G58/F58, 0)</f>
        <v>0.84460007729258169</v>
      </c>
      <c r="P58" s="8" cm="1">
        <f t="array" aca="1" ref="P58" ca="1">IF(ROW()-2&gt;1, (L58/INDIRECT("L"&amp;ROW()-1))-1, "")</f>
        <v>0.19047599742488597</v>
      </c>
      <c r="Q58" s="8" cm="1">
        <f t="array" aca="1" ref="Q58" ca="1">IF(ROW()-2&gt;1, (M58/INDIRECT("M"&amp;ROW()-1))-1, "")</f>
        <v>0.14253360767208378</v>
      </c>
      <c r="R58" s="8" cm="1">
        <f t="array" aca="1" ref="R58" ca="1">IF(ROW()-2&gt;1, (N58/INDIRECT("N"&amp;ROW()-1))-1, "")</f>
        <v>0.1413316639745561</v>
      </c>
      <c r="S58" s="8" cm="1">
        <f t="array" aca="1" ref="S58" ca="1">IF(ROW()-2&gt;1, (O58/INDIRECT("O"&amp;ROW()-1))-1, "")</f>
        <v>5.1282528057410071E-2</v>
      </c>
    </row>
    <row r="59" spans="2:19" x14ac:dyDescent="0.35">
      <c r="B59" s="3">
        <v>43522</v>
      </c>
      <c r="C59" s="4">
        <v>22368860</v>
      </c>
      <c r="D59" s="4">
        <v>5480370</v>
      </c>
      <c r="E59" s="4">
        <v>2257912</v>
      </c>
      <c r="F59" s="4">
        <v>1681241</v>
      </c>
      <c r="G59" s="4">
        <v>1364832</v>
      </c>
      <c r="H59" s="8">
        <f>IF(C59&gt;0, G59/C59, 0)</f>
        <v>6.1014821497385206E-2</v>
      </c>
      <c r="I59" s="8" cm="1">
        <f t="array" aca="1" ref="I59" ca="1">IF(ROW()-2&gt;7, (G59/INDIRECT("G"&amp;ROW()-7))-1, "")</f>
        <v>1.2004191790539451</v>
      </c>
      <c r="J59" s="8" cm="1">
        <f t="array" aca="1" ref="J59" ca="1">IF(ROW()-2&gt;7, (C59/INDIRECT("C"&amp;ROW()-7))-1, "")</f>
        <v>1.9801989677181275E-2</v>
      </c>
      <c r="K59" s="8" cm="1">
        <f t="array" aca="1" ref="K59" ca="1">IF(ROW()-2&gt;7, (H59/INDIRECT("H"&amp;ROW()-7))-1, "")</f>
        <v>1.157692572996929</v>
      </c>
      <c r="L59" s="8">
        <f>IF(D59&gt;0, D59/C59, 0)</f>
        <v>0.24499996870649643</v>
      </c>
      <c r="M59" s="8">
        <f>IF(D59&gt;0, E59/D59, 0)</f>
        <v>0.41199991971345001</v>
      </c>
      <c r="N59" s="8">
        <f>IF(E59&gt;0, F59/E59, 0)</f>
        <v>0.74459987811748196</v>
      </c>
      <c r="O59" s="8">
        <f>IF(F59&gt;0, G59/F59, 0)</f>
        <v>0.81180033082704983</v>
      </c>
      <c r="P59" s="8" cm="1">
        <f t="array" aca="1" ref="P59" ca="1">IF(ROW()-2&gt;1, (L59/INDIRECT("L"&amp;ROW()-1))-1, "")</f>
        <v>2.0833364474493576E-2</v>
      </c>
      <c r="Q59" s="8" cm="1">
        <f t="array" aca="1" ref="Q59" ca="1">IF(ROW()-2&gt;1, (M59/INDIRECT("M"&amp;ROW()-1))-1, "")</f>
        <v>1.9802073049002056E-2</v>
      </c>
      <c r="R59" s="8" cm="1">
        <f t="array" aca="1" ref="R59" ca="1">IF(ROW()-2&gt;1, (N59/INDIRECT("N"&amp;ROW()-1))-1, "")</f>
        <v>9.9004756083203027E-3</v>
      </c>
      <c r="S59" s="8" cm="1">
        <f t="array" aca="1" ref="S59" ca="1">IF(ROW()-2&gt;1, (O59/INDIRECT("O"&amp;ROW()-1))-1, "")</f>
        <v>-3.883464771951417E-2</v>
      </c>
    </row>
    <row r="60" spans="2:19" x14ac:dyDescent="0.35">
      <c r="B60" s="3">
        <v>43523</v>
      </c>
      <c r="C60" s="4">
        <v>21500167</v>
      </c>
      <c r="D60" s="4">
        <v>5482542</v>
      </c>
      <c r="E60" s="4">
        <v>2105296</v>
      </c>
      <c r="F60" s="4">
        <v>1613709</v>
      </c>
      <c r="G60" s="4">
        <v>1323241</v>
      </c>
      <c r="H60" s="8">
        <f>IF(C60&gt;0, G60/C60, 0)</f>
        <v>6.1545614971269758E-2</v>
      </c>
      <c r="I60" s="8" cm="1">
        <f t="array" aca="1" ref="I60" ca="1">IF(ROW()-2&gt;7, (G60/INDIRECT("G"&amp;ROW()-7))-1, "")</f>
        <v>8.2246376811594191E-2</v>
      </c>
      <c r="J60" s="8" cm="1">
        <f t="array" aca="1" ref="J60" ca="1">IF(ROW()-2&gt;7, (C60/INDIRECT("C"&amp;ROW()-7))-1, "")</f>
        <v>-2.9411755411675844E-2</v>
      </c>
      <c r="K60" s="8" cm="1">
        <f t="array" aca="1" ref="K60" ca="1">IF(ROW()-2&gt;7, (H60/INDIRECT("H"&amp;ROW()-7))-1, "")</f>
        <v>0.11504171088598958</v>
      </c>
      <c r="L60" s="8">
        <f>IF(D60&gt;0, D60/C60, 0)</f>
        <v>0.25499997279090902</v>
      </c>
      <c r="M60" s="8">
        <f>IF(D60&gt;0, E60/D60, 0)</f>
        <v>0.38399997665316565</v>
      </c>
      <c r="N60" s="8">
        <f>IF(E60&gt;0, F60/E60, 0)</f>
        <v>0.76649981760284536</v>
      </c>
      <c r="O60" s="8">
        <f>IF(F60&gt;0, G60/F60, 0)</f>
        <v>0.81999976451764223</v>
      </c>
      <c r="P60" s="8" cm="1">
        <f t="array" aca="1" ref="P60" ca="1">IF(ROW()-2&gt;1, (L60/INDIRECT("L"&amp;ROW()-1))-1, "")</f>
        <v>4.0816348415098513E-2</v>
      </c>
      <c r="Q60" s="8" cm="1">
        <f t="array" aca="1" ref="Q60" ca="1">IF(ROW()-2&gt;1, (M60/INDIRECT("M"&amp;ROW()-1))-1, "")</f>
        <v>-6.7961040088936442E-2</v>
      </c>
      <c r="R60" s="8" cm="1">
        <f t="array" aca="1" ref="R60" ca="1">IF(ROW()-2&gt;1, (N60/INDIRECT("N"&amp;ROW()-1))-1, "")</f>
        <v>2.9411688248904166E-2</v>
      </c>
      <c r="S60" s="8" cm="1">
        <f t="array" aca="1" ref="S60" ca="1">IF(ROW()-2&gt;1, (O60/INDIRECT("O"&amp;ROW()-1))-1, "")</f>
        <v>1.0100308387702928E-2</v>
      </c>
    </row>
    <row r="61" spans="2:19" x14ac:dyDescent="0.35">
      <c r="B61" s="3">
        <v>43524</v>
      </c>
      <c r="C61" s="4">
        <v>22586034</v>
      </c>
      <c r="D61" s="4">
        <v>5759438</v>
      </c>
      <c r="E61" s="4">
        <v>2280737</v>
      </c>
      <c r="F61" s="4">
        <v>1648289</v>
      </c>
      <c r="G61" s="4">
        <v>1405660</v>
      </c>
      <c r="H61" s="8">
        <f>IF(C61&gt;0, G61/C61, 0)</f>
        <v>6.2235804656984049E-2</v>
      </c>
      <c r="I61" s="8" cm="1">
        <f t="array" aca="1" ref="I61" ca="1">IF(ROW()-2&gt;7, (G61/INDIRECT("G"&amp;ROW()-7))-1, "")</f>
        <v>0.22324803045110131</v>
      </c>
      <c r="J61" s="8" cm="1">
        <f t="array" aca="1" ref="J61" ca="1">IF(ROW()-2&gt;7, (C61/INDIRECT("C"&amp;ROW()-7))-1, "")</f>
        <v>8.3333373303954517E-2</v>
      </c>
      <c r="K61" s="8" cm="1">
        <f t="array" aca="1" ref="K61" ca="1">IF(ROW()-2&gt;7, (H61/INDIRECT("H"&amp;ROW()-7))-1, "")</f>
        <v>0.12915198644756454</v>
      </c>
      <c r="L61" s="8">
        <f>IF(D61&gt;0, D61/C61, 0)</f>
        <v>0.25499997033565081</v>
      </c>
      <c r="M61" s="8">
        <f>IF(D61&gt;0, E61/D61, 0)</f>
        <v>0.39599992221463276</v>
      </c>
      <c r="N61" s="8">
        <f>IF(E61&gt;0, F61/E61, 0)</f>
        <v>0.72270016227210765</v>
      </c>
      <c r="O61" s="8">
        <f>IF(F61&gt;0, G61/F61, 0)</f>
        <v>0.85279947873218831</v>
      </c>
      <c r="P61" s="8" cm="1">
        <f t="array" aca="1" ref="P61" ca="1">IF(ROW()-2&gt;1, (L61/INDIRECT("L"&amp;ROW()-1))-1, "")</f>
        <v>-9.6284645811905989E-9</v>
      </c>
      <c r="Q61" s="8" cm="1">
        <f t="array" aca="1" ref="Q61" ca="1">IF(ROW()-2&gt;1, (M61/INDIRECT("M"&amp;ROW()-1))-1, "")</f>
        <v>3.1249860132948948E-2</v>
      </c>
      <c r="R61" s="8" cm="1">
        <f t="array" aca="1" ref="R61" ca="1">IF(ROW()-2&gt;1, (N61/INDIRECT("N"&amp;ROW()-1))-1, "")</f>
        <v>-5.714242107417189E-2</v>
      </c>
      <c r="S61" s="8" cm="1">
        <f t="array" aca="1" ref="S61" ca="1">IF(ROW()-2&gt;1, (O61/INDIRECT("O"&amp;ROW()-1))-1, "")</f>
        <v>3.9999662968001282E-2</v>
      </c>
    </row>
    <row r="62" spans="2:19" x14ac:dyDescent="0.35">
      <c r="B62" s="3">
        <v>43525</v>
      </c>
      <c r="C62" s="4">
        <v>22368860</v>
      </c>
      <c r="D62" s="4">
        <v>5815903</v>
      </c>
      <c r="E62" s="4">
        <v>2442679</v>
      </c>
      <c r="F62" s="4">
        <v>1872313</v>
      </c>
      <c r="G62" s="4">
        <v>1458532</v>
      </c>
      <c r="H62" s="8">
        <f>IF(C62&gt;0, G62/C62, 0)</f>
        <v>6.5203680473658474E-2</v>
      </c>
      <c r="I62" s="8" cm="1">
        <f t="array" aca="1" ref="I62" ca="1">IF(ROW()-2&gt;7, (G62/INDIRECT("G"&amp;ROW()-7))-1, "")</f>
        <v>5.9032986501891482E-2</v>
      </c>
      <c r="J62" s="8" cm="1">
        <f t="array" aca="1" ref="J62" ca="1">IF(ROW()-2&gt;7, (C62/INDIRECT("C"&amp;ROW()-7))-1, "")</f>
        <v>9.80390342279569E-3</v>
      </c>
      <c r="K62" s="8" cm="1">
        <f t="array" aca="1" ref="K62" ca="1">IF(ROW()-2&gt;7, (H62/INDIRECT("H"&amp;ROW()-7))-1, "")</f>
        <v>4.8751131692233107E-2</v>
      </c>
      <c r="L62" s="8">
        <f>IF(D62&gt;0, D62/C62, 0)</f>
        <v>0.25999997317699697</v>
      </c>
      <c r="M62" s="8">
        <f>IF(D62&gt;0, E62/D62, 0)</f>
        <v>0.41999995529499029</v>
      </c>
      <c r="N62" s="8">
        <f>IF(E62&gt;0, F62/E62, 0)</f>
        <v>0.76649981434318626</v>
      </c>
      <c r="O62" s="8">
        <f>IF(F62&gt;0, G62/F62, 0)</f>
        <v>0.77900009239908075</v>
      </c>
      <c r="P62" s="8" cm="1">
        <f t="array" aca="1" ref="P62" ca="1">IF(ROW()-2&gt;1, (L62/INDIRECT("L"&amp;ROW()-1))-1, "")</f>
        <v>1.960785656078623E-2</v>
      </c>
      <c r="Q62" s="8" cm="1">
        <f t="array" aca="1" ref="Q62" ca="1">IF(ROW()-2&gt;1, (M62/INDIRECT("M"&amp;ROW()-1))-1, "")</f>
        <v>6.0606156047044557E-2</v>
      </c>
      <c r="R62" s="8" cm="1">
        <f t="array" aca="1" ref="R62" ca="1">IF(ROW()-2&gt;1, (N62/INDIRECT("N"&amp;ROW()-1))-1, "")</f>
        <v>6.0605565568681019E-2</v>
      </c>
      <c r="S62" s="8" cm="1">
        <f t="array" aca="1" ref="S62" ca="1">IF(ROW()-2&gt;1, (O62/INDIRECT("O"&amp;ROW()-1))-1, "")</f>
        <v>-8.6537794843426941E-2</v>
      </c>
    </row>
    <row r="63" spans="2:19" x14ac:dyDescent="0.35">
      <c r="B63" s="3">
        <v>43526</v>
      </c>
      <c r="C63" s="4">
        <v>46685340</v>
      </c>
      <c r="D63" s="4">
        <v>9803921</v>
      </c>
      <c r="E63" s="4">
        <v>3333333</v>
      </c>
      <c r="F63" s="4">
        <v>1110666</v>
      </c>
      <c r="G63" s="4">
        <v>900972</v>
      </c>
      <c r="H63" s="8">
        <f>IF(C63&gt;0, G63/C63, 0)</f>
        <v>1.9298820571939712E-2</v>
      </c>
      <c r="I63" s="8" cm="1">
        <f t="array" aca="1" ref="I63" ca="1">IF(ROW()-2&gt;7, (G63/INDIRECT("G"&amp;ROW()-7))-1, "")</f>
        <v>-0.37594234941110949</v>
      </c>
      <c r="J63" s="8" cm="1">
        <f t="array" aca="1" ref="J63" ca="1">IF(ROW()-2&gt;7, (C63/INDIRECT("C"&amp;ROW()-7))-1, "")</f>
        <v>8.3333333333333259E-2</v>
      </c>
      <c r="K63" s="8" cm="1">
        <f t="array" aca="1" ref="K63" ca="1">IF(ROW()-2&gt;7, (H63/INDIRECT("H"&amp;ROW()-7))-1, "")</f>
        <v>-0.42394678407179354</v>
      </c>
      <c r="L63" s="8">
        <f>IF(D63&gt;0, D63/C63, 0)</f>
        <v>0.20999999143199985</v>
      </c>
      <c r="M63" s="8">
        <f>IF(D63&gt;0, E63/D63, 0)</f>
        <v>0.33999998571999918</v>
      </c>
      <c r="N63" s="8">
        <f>IF(E63&gt;0, F63/E63, 0)</f>
        <v>0.33319983331998332</v>
      </c>
      <c r="O63" s="8">
        <f>IF(F63&gt;0, G63/F63, 0)</f>
        <v>0.81119976662651061</v>
      </c>
      <c r="P63" s="8" cm="1">
        <f t="array" aca="1" ref="P63" ca="1">IF(ROW()-2&gt;1, (L63/INDIRECT("L"&amp;ROW()-1))-1, "")</f>
        <v>-0.19230764193563687</v>
      </c>
      <c r="Q63" s="8" cm="1">
        <f t="array" aca="1" ref="Q63" ca="1">IF(ROW()-2&gt;1, (M63/INDIRECT("M"&amp;ROW()-1))-1, "")</f>
        <v>-0.19047613831006838</v>
      </c>
      <c r="R63" s="8" cm="1">
        <f t="array" aca="1" ref="R63" ca="1">IF(ROW()-2&gt;1, (N63/INDIRECT("N"&amp;ROW()-1))-1, "")</f>
        <v>-0.56529691581790886</v>
      </c>
      <c r="S63" s="8" cm="1">
        <f t="array" aca="1" ref="S63" ca="1">IF(ROW()-2&gt;1, (O63/INDIRECT("O"&amp;ROW()-1))-1, "")</f>
        <v>4.1334621833310381E-2</v>
      </c>
    </row>
    <row r="64" spans="2:19" x14ac:dyDescent="0.35">
      <c r="B64" s="3">
        <v>43527</v>
      </c>
      <c r="C64" s="4">
        <v>43991955</v>
      </c>
      <c r="D64" s="4">
        <v>8961161</v>
      </c>
      <c r="E64" s="4">
        <v>2924923</v>
      </c>
      <c r="F64" s="4">
        <v>2088395</v>
      </c>
      <c r="G64" s="4">
        <v>1694106</v>
      </c>
      <c r="H64" s="8">
        <f>IF(C64&gt;0, G64/C64, 0)</f>
        <v>3.8509450193791116E-2</v>
      </c>
      <c r="I64" s="8" cm="1">
        <f t="array" aca="1" ref="I64" ca="1">IF(ROW()-2&gt;7, (G64/INDIRECT("G"&amp;ROW()-7))-1, "")</f>
        <v>3.03652884720651E-2</v>
      </c>
      <c r="J64" s="8" cm="1">
        <f t="array" aca="1" ref="J64" ca="1">IF(ROW()-2&gt;7, (C64/INDIRECT("C"&amp;ROW()-7))-1, "")</f>
        <v>-1.0101021238273722E-2</v>
      </c>
      <c r="K64" s="8" cm="1">
        <f t="array" aca="1" ref="K64" ca="1">IF(ROW()-2&gt;7, (H64/INDIRECT("H"&amp;ROW()-7))-1, "")</f>
        <v>4.0879231697923846E-2</v>
      </c>
      <c r="L64" s="8">
        <f>IF(D64&gt;0, D64/C64, 0)</f>
        <v>0.20369999469221134</v>
      </c>
      <c r="M64" s="8">
        <f>IF(D64&gt;0, E64/D64, 0)</f>
        <v>0.3264000055349971</v>
      </c>
      <c r="N64" s="8">
        <f>IF(E64&gt;0, F64/E64, 0)</f>
        <v>0.71399999247843449</v>
      </c>
      <c r="O64" s="8">
        <f>IF(F64&gt;0, G64/F64, 0)</f>
        <v>0.81119998850792119</v>
      </c>
      <c r="P64" s="8" cm="1">
        <f t="array" aca="1" ref="P64" ca="1">IF(ROW()-2&gt;1, (L64/INDIRECT("L"&amp;ROW()-1))-1, "")</f>
        <v>-2.999998569918283E-2</v>
      </c>
      <c r="Q64" s="8" cm="1">
        <f t="array" aca="1" ref="Q64" ca="1">IF(ROW()-2&gt;1, (M64/INDIRECT("M"&amp;ROW()-1))-1, "")</f>
        <v>-3.9999943400592097E-2</v>
      </c>
      <c r="R64" s="8" cm="1">
        <f t="array" aca="1" ref="R64" ca="1">IF(ROW()-2&gt;1, (N64/INDIRECT("N"&amp;ROW()-1))-1, "")</f>
        <v>1.1428581922271119</v>
      </c>
      <c r="S64" s="8" cm="1">
        <f t="array" aca="1" ref="S64" ca="1">IF(ROW()-2&gt;1, (O64/INDIRECT("O"&amp;ROW()-1))-1, "")</f>
        <v>2.7352252751633443E-7</v>
      </c>
    </row>
    <row r="65" spans="2:19" x14ac:dyDescent="0.35">
      <c r="B65" s="3">
        <v>43528</v>
      </c>
      <c r="C65" s="4">
        <v>21717340</v>
      </c>
      <c r="D65" s="4">
        <v>5700801</v>
      </c>
      <c r="E65" s="4">
        <v>2371533</v>
      </c>
      <c r="F65" s="4">
        <v>1765843</v>
      </c>
      <c r="G65" s="4">
        <v>1375592</v>
      </c>
      <c r="H65" s="8">
        <f>IF(C65&gt;0, G65/C65, 0)</f>
        <v>6.3340722206310721E-2</v>
      </c>
      <c r="I65" s="8" cm="1">
        <f t="array" aca="1" ref="I65" ca="1">IF(ROW()-2&gt;7, (G65/INDIRECT("G"&amp;ROW()-7))-1, "")</f>
        <v>8.1492115581014435E-2</v>
      </c>
      <c r="J65" s="8" cm="1">
        <f t="array" aca="1" ref="J65" ca="1">IF(ROW()-2&gt;7, (C65/INDIRECT("C"&amp;ROW()-7))-1, "")</f>
        <v>3.0927825263863395E-2</v>
      </c>
      <c r="K65" s="8" cm="1">
        <f t="array" aca="1" ref="K65" ca="1">IF(ROW()-2&gt;7, (H65/INDIRECT("H"&amp;ROW()-7))-1, "")</f>
        <v>4.9047362073294742E-2</v>
      </c>
      <c r="L65" s="8">
        <f>IF(D65&gt;0, D65/C65, 0)</f>
        <v>0.2624999654653839</v>
      </c>
      <c r="M65" s="8">
        <f>IF(D65&gt;0, E65/D65, 0)</f>
        <v>0.4159999621105876</v>
      </c>
      <c r="N65" s="8">
        <f>IF(E65&gt;0, F65/E65, 0)</f>
        <v>0.74459980105695345</v>
      </c>
      <c r="O65" s="8">
        <f>IF(F65&gt;0, G65/F65, 0)</f>
        <v>0.77900017158943347</v>
      </c>
      <c r="P65" s="8" cm="1">
        <f t="array" aca="1" ref="P65" ca="1">IF(ROW()-2&gt;1, (L65/INDIRECT("L"&amp;ROW()-1))-1, "")</f>
        <v>0.28865965785624459</v>
      </c>
      <c r="Q65" s="8" cm="1">
        <f t="array" aca="1" ref="Q65" ca="1">IF(ROW()-2&gt;1, (M65/INDIRECT("M"&amp;ROW()-1))-1, "")</f>
        <v>0.27450966622604267</v>
      </c>
      <c r="R65" s="8" cm="1">
        <f t="array" aca="1" ref="R65" ca="1">IF(ROW()-2&gt;1, (N65/INDIRECT("N"&amp;ROW()-1))-1, "")</f>
        <v>4.2856875211302103E-2</v>
      </c>
      <c r="S65" s="8" cm="1">
        <f t="array" aca="1" ref="S65" ca="1">IF(ROW()-2&gt;1, (O65/INDIRECT("O"&amp;ROW()-1))-1, "")</f>
        <v>-3.969405494903222E-2</v>
      </c>
    </row>
    <row r="66" spans="2:19" x14ac:dyDescent="0.35">
      <c r="B66" s="3">
        <v>43529</v>
      </c>
      <c r="C66" s="4">
        <v>21717340</v>
      </c>
      <c r="D66" s="4">
        <v>5266455</v>
      </c>
      <c r="E66" s="4">
        <v>2001252</v>
      </c>
      <c r="F66" s="4">
        <v>1490132</v>
      </c>
      <c r="G66" s="4">
        <v>1258566</v>
      </c>
      <c r="H66" s="8">
        <f>IF(C66&gt;0, G66/C66, 0)</f>
        <v>5.7952124891906653E-2</v>
      </c>
      <c r="I66" s="8" cm="1">
        <f t="array" aca="1" ref="I66" ca="1">IF(ROW()-2&gt;7, (G66/INDIRECT("G"&amp;ROW()-7))-1, "")</f>
        <v>-7.7860132236055479E-2</v>
      </c>
      <c r="J66" s="8" cm="1">
        <f t="array" aca="1" ref="J66" ca="1">IF(ROW()-2&gt;7, (C66/INDIRECT("C"&amp;ROW()-7))-1, "")</f>
        <v>-2.9126204911649523E-2</v>
      </c>
      <c r="K66" s="8" cm="1">
        <f t="array" aca="1" ref="K66" ca="1">IF(ROW()-2&gt;7, (H66/INDIRECT("H"&amp;ROW()-7))-1, "")</f>
        <v>-5.019594469533617E-2</v>
      </c>
      <c r="L66" s="8">
        <f>IF(D66&gt;0, D66/C66, 0)</f>
        <v>0.24250000230230775</v>
      </c>
      <c r="M66" s="8">
        <f>IF(D66&gt;0, E66/D66, 0)</f>
        <v>0.37999982910705588</v>
      </c>
      <c r="N66" s="8">
        <f>IF(E66&gt;0, F66/E66, 0)</f>
        <v>0.74459988047482273</v>
      </c>
      <c r="O66" s="8">
        <f>IF(F66&gt;0, G66/F66, 0)</f>
        <v>0.84460034413058704</v>
      </c>
      <c r="P66" s="8" cm="1">
        <f t="array" aca="1" ref="P66" ca="1">IF(ROW()-2&gt;1, (L66/INDIRECT("L"&amp;ROW()-1))-1, "")</f>
        <v>-7.6190345882973354E-2</v>
      </c>
      <c r="Q66" s="8" cm="1">
        <f t="array" aca="1" ref="Q66" ca="1">IF(ROW()-2&gt;1, (M66/INDIRECT("M"&amp;ROW()-1))-1, "")</f>
        <v>-8.6538789140470196E-2</v>
      </c>
      <c r="R66" s="8" cm="1">
        <f t="array" aca="1" ref="R66" ca="1">IF(ROW()-2&gt;1, (N66/INDIRECT("N"&amp;ROW()-1))-1, "")</f>
        <v>1.0665846161828085E-7</v>
      </c>
      <c r="S66" s="8" cm="1">
        <f t="array" aca="1" ref="S66" ca="1">IF(ROW()-2&gt;1, (O66/INDIRECT("O"&amp;ROW()-1))-1, "")</f>
        <v>8.4210729257358397E-2</v>
      </c>
    </row>
    <row r="67" spans="2:19" x14ac:dyDescent="0.35">
      <c r="B67" s="3">
        <v>43530</v>
      </c>
      <c r="C67" s="4">
        <v>21065820</v>
      </c>
      <c r="D67" s="4">
        <v>5161125</v>
      </c>
      <c r="E67" s="4">
        <v>2002516</v>
      </c>
      <c r="F67" s="4">
        <v>1417982</v>
      </c>
      <c r="G67" s="4">
        <v>1104608</v>
      </c>
      <c r="H67" s="8">
        <f>IF(C67&gt;0, G67/C67, 0)</f>
        <v>5.2436031448099336E-2</v>
      </c>
      <c r="I67" s="8" cm="1">
        <f t="array" aca="1" ref="I67" ca="1">IF(ROW()-2&gt;7, (G67/INDIRECT("G"&amp;ROW()-7))-1, "")</f>
        <v>-0.16522538222440208</v>
      </c>
      <c r="J67" s="8" cm="1">
        <f t="array" aca="1" ref="J67" ca="1">IF(ROW()-2&gt;7, (C67/INDIRECT("C"&amp;ROW()-7))-1, "")</f>
        <v>-2.0202029128424948E-2</v>
      </c>
      <c r="K67" s="8" cm="1">
        <f t="array" aca="1" ref="K67" ca="1">IF(ROW()-2&gt;7, (H67/INDIRECT("H"&amp;ROW()-7))-1, "")</f>
        <v>-0.14801352667323064</v>
      </c>
      <c r="L67" s="8">
        <f>IF(D67&gt;0, D67/C67, 0)</f>
        <v>0.24499995727676396</v>
      </c>
      <c r="M67" s="8">
        <f>IF(D67&gt;0, E67/D67, 0)</f>
        <v>0.38799990312189686</v>
      </c>
      <c r="N67" s="8">
        <f>IF(E67&gt;0, F67/E67, 0)</f>
        <v>0.70810020993590062</v>
      </c>
      <c r="O67" s="8">
        <f>IF(F67&gt;0, G67/F67, 0)</f>
        <v>0.77900001551500653</v>
      </c>
      <c r="P67" s="8" cm="1">
        <f t="array" aca="1" ref="P67" ca="1">IF(ROW()-2&gt;1, (L67/INDIRECT("L"&amp;ROW()-1))-1, "")</f>
        <v>1.0309092580294887E-2</v>
      </c>
      <c r="Q67" s="8" cm="1">
        <f t="array" aca="1" ref="Q67" ca="1">IF(ROW()-2&gt;1, (M67/INDIRECT("M"&amp;ROW()-1))-1, "")</f>
        <v>2.1052835822689797E-2</v>
      </c>
      <c r="R67" s="8" cm="1">
        <f t="array" aca="1" ref="R67" ca="1">IF(ROW()-2&gt;1, (N67/INDIRECT("N"&amp;ROW()-1))-1, "")</f>
        <v>-4.901917324462457E-2</v>
      </c>
      <c r="S67" s="8" cm="1">
        <f t="array" aca="1" ref="S67" ca="1">IF(ROW()-2&gt;1, (O67/INDIRECT("O"&amp;ROW()-1))-1, "")</f>
        <v>-7.7670260344385733E-2</v>
      </c>
    </row>
    <row r="68" spans="2:19" x14ac:dyDescent="0.35">
      <c r="B68" s="3">
        <v>43531</v>
      </c>
      <c r="C68" s="4">
        <v>21717340</v>
      </c>
      <c r="D68" s="4">
        <v>5157868</v>
      </c>
      <c r="E68" s="4">
        <v>2042515</v>
      </c>
      <c r="F68" s="4">
        <v>1446305</v>
      </c>
      <c r="G68" s="4">
        <v>1221549</v>
      </c>
      <c r="H68" s="8">
        <f>IF(C68&gt;0, G68/C68, 0)</f>
        <v>5.624763437879593E-2</v>
      </c>
      <c r="I68" s="8" cm="1">
        <f t="array" aca="1" ref="I68" ca="1">IF(ROW()-2&gt;7, (G68/INDIRECT("G"&amp;ROW()-7))-1, "")</f>
        <v>-0.13097833046398133</v>
      </c>
      <c r="J68" s="8" cm="1">
        <f t="array" aca="1" ref="J68" ca="1">IF(ROW()-2&gt;7, (C68/INDIRECT("C"&amp;ROW()-7))-1, "")</f>
        <v>-3.8461555490441612E-2</v>
      </c>
      <c r="K68" s="8" cm="1">
        <f t="array" aca="1" ref="K68" ca="1">IF(ROW()-2&gt;7, (H68/INDIRECT("H"&amp;ROW()-7))-1, "")</f>
        <v>-9.6217447676498091E-2</v>
      </c>
      <c r="L68" s="8">
        <f>IF(D68&gt;0, D68/C68, 0)</f>
        <v>0.23749998848846129</v>
      </c>
      <c r="M68" s="8">
        <f>IF(D68&gt;0, E68/D68, 0)</f>
        <v>0.3959998588564112</v>
      </c>
      <c r="N68" s="8">
        <f>IF(E68&gt;0, F68/E68, 0)</f>
        <v>0.70810006291263472</v>
      </c>
      <c r="O68" s="8">
        <f>IF(F68&gt;0, G68/F68, 0)</f>
        <v>0.84459985964232998</v>
      </c>
      <c r="P68" s="8" cm="1">
        <f t="array" aca="1" ref="P68" ca="1">IF(ROW()-2&gt;1, (L68/INDIRECT("L"&amp;ROW()-1))-1, "")</f>
        <v>-3.0612122841435219E-2</v>
      </c>
      <c r="Q68" s="8" cm="1">
        <f t="array" aca="1" ref="Q68" ca="1">IF(ROW()-2&gt;1, (M68/INDIRECT("M"&amp;ROW()-1))-1, "")</f>
        <v>2.0618447762861924E-2</v>
      </c>
      <c r="R68" s="8" cm="1">
        <f t="array" aca="1" ref="R68" ca="1">IF(ROW()-2&gt;1, (N68/INDIRECT("N"&amp;ROW()-1))-1, "")</f>
        <v>-2.0763059216388768E-7</v>
      </c>
      <c r="S68" s="8" cm="1">
        <f t="array" aca="1" ref="S68" ca="1">IF(ROW()-2&gt;1, (O68/INDIRECT("O"&amp;ROW()-1))-1, "")</f>
        <v>8.4210324545314075E-2</v>
      </c>
    </row>
    <row r="69" spans="2:19" x14ac:dyDescent="0.35">
      <c r="B69" s="3">
        <v>43532</v>
      </c>
      <c r="C69" s="4">
        <v>21717340</v>
      </c>
      <c r="D69" s="4">
        <v>5700801</v>
      </c>
      <c r="E69" s="4">
        <v>2394336</v>
      </c>
      <c r="F69" s="4">
        <v>1730387</v>
      </c>
      <c r="G69" s="4">
        <v>1390539</v>
      </c>
      <c r="H69" s="8">
        <f>IF(C69&gt;0, G69/C69, 0)</f>
        <v>6.402897408246129E-2</v>
      </c>
      <c r="I69" s="8" cm="1">
        <f t="array" aca="1" ref="I69" ca="1">IF(ROW()-2&gt;7, (G69/INDIRECT("G"&amp;ROW()-7))-1, "")</f>
        <v>-4.6617420803931608E-2</v>
      </c>
      <c r="J69" s="8" cm="1">
        <f t="array" aca="1" ref="J69" ca="1">IF(ROW()-2&gt;7, (C69/INDIRECT("C"&amp;ROW()-7))-1, "")</f>
        <v>-2.9126204911649523E-2</v>
      </c>
      <c r="K69" s="8" cm="1">
        <f t="array" aca="1" ref="K69" ca="1">IF(ROW()-2&gt;7, (H69/INDIRECT("H"&amp;ROW()-7))-1, "")</f>
        <v>-1.8015952207970032E-2</v>
      </c>
      <c r="L69" s="8">
        <f>IF(D69&gt;0, D69/C69, 0)</f>
        <v>0.2624999654653839</v>
      </c>
      <c r="M69" s="8">
        <f>IF(D69&gt;0, E69/D69, 0)</f>
        <v>0.41999992632614258</v>
      </c>
      <c r="N69" s="8">
        <f>IF(E69&gt;0, F69/E69, 0)</f>
        <v>0.72270015570078716</v>
      </c>
      <c r="O69" s="8">
        <f>IF(F69&gt;0, G69/F69, 0)</f>
        <v>0.80360000392975672</v>
      </c>
      <c r="P69" s="8" cm="1">
        <f t="array" aca="1" ref="P69" ca="1">IF(ROW()-2&gt;1, (L69/INDIRECT("L"&amp;ROW()-1))-1, "")</f>
        <v>0.10526306605752622</v>
      </c>
      <c r="Q69" s="8" cm="1">
        <f t="array" aca="1" ref="Q69" ca="1">IF(ROW()-2&gt;1, (M69/INDIRECT("M"&amp;ROW()-1))-1, "")</f>
        <v>6.0606252585644782E-2</v>
      </c>
      <c r="R69" s="8" cm="1">
        <f t="array" aca="1" ref="R69" ca="1">IF(ROW()-2&gt;1, (N69/INDIRECT("N"&amp;ROW()-1))-1, "")</f>
        <v>2.0618685907324741E-2</v>
      </c>
      <c r="S69" s="8" cm="1">
        <f t="array" aca="1" ref="S69" ca="1">IF(ROW()-2&gt;1, (O69/INDIRECT("O"&amp;ROW()-1))-1, "")</f>
        <v>-4.8543526552249028E-2</v>
      </c>
    </row>
    <row r="70" spans="2:19" x14ac:dyDescent="0.35">
      <c r="B70" s="3">
        <v>43533</v>
      </c>
      <c r="C70" s="4">
        <v>46685340</v>
      </c>
      <c r="D70" s="4">
        <v>9705882</v>
      </c>
      <c r="E70" s="4">
        <v>3267000</v>
      </c>
      <c r="F70" s="4">
        <v>2310422</v>
      </c>
      <c r="G70" s="4">
        <v>1820150</v>
      </c>
      <c r="H70" s="8">
        <f>IF(C70&gt;0, G70/C70, 0)</f>
        <v>3.8987613670586958E-2</v>
      </c>
      <c r="I70" s="8" cm="1">
        <f t="array" aca="1" ref="I70" ca="1">IF(ROW()-2&gt;7, (G70/INDIRECT("G"&amp;ROW()-7))-1, "")</f>
        <v>1.0202070652584099</v>
      </c>
      <c r="J70" s="8" cm="1">
        <f t="array" aca="1" ref="J70" ca="1">IF(ROW()-2&gt;7, (C70/INDIRECT("C"&amp;ROW()-7))-1, "")</f>
        <v>0</v>
      </c>
      <c r="K70" s="8" cm="1">
        <f t="array" aca="1" ref="K70" ca="1">IF(ROW()-2&gt;7, (H70/INDIRECT("H"&amp;ROW()-7))-1, "")</f>
        <v>1.0202070652584103</v>
      </c>
      <c r="L70" s="8">
        <f>IF(D70&gt;0, D70/C70, 0)</f>
        <v>0.20789999601587994</v>
      </c>
      <c r="M70" s="8">
        <f>IF(D70&gt;0, E70/D70, 0)</f>
        <v>0.33660001224000047</v>
      </c>
      <c r="N70" s="8">
        <f>IF(E70&gt;0, F70/E70, 0)</f>
        <v>0.70719987756351388</v>
      </c>
      <c r="O70" s="8">
        <f>IF(F70&gt;0, G70/F70, 0)</f>
        <v>0.78779980453787235</v>
      </c>
      <c r="P70" s="8" cm="1">
        <f t="array" aca="1" ref="P70" ca="1">IF(ROW()-2&gt;1, (L70/INDIRECT("L"&amp;ROW()-1))-1, "")</f>
        <v>-0.20799991098171822</v>
      </c>
      <c r="Q70" s="8" cm="1">
        <f t="array" aca="1" ref="Q70" ca="1">IF(ROW()-2&gt;1, (M70/INDIRECT("M"&amp;ROW()-1))-1, "")</f>
        <v>-0.19857125884679216</v>
      </c>
      <c r="R70" s="8" cm="1">
        <f t="array" aca="1" ref="R70" ca="1">IF(ROW()-2&gt;1, (N70/INDIRECT("N"&amp;ROW()-1))-1, "")</f>
        <v>-2.144773045225512E-2</v>
      </c>
      <c r="S70" s="8" cm="1">
        <f t="array" aca="1" ref="S70" ca="1">IF(ROW()-2&gt;1, (O70/INDIRECT("O"&amp;ROW()-1))-1, "")</f>
        <v>-1.9661771172994502E-2</v>
      </c>
    </row>
    <row r="71" spans="2:19" x14ac:dyDescent="0.35">
      <c r="B71" s="3">
        <v>43534</v>
      </c>
      <c r="C71" s="4">
        <v>46236443</v>
      </c>
      <c r="D71" s="4">
        <v>10098039</v>
      </c>
      <c r="E71" s="4">
        <v>3502000</v>
      </c>
      <c r="F71" s="4">
        <v>2262292</v>
      </c>
      <c r="G71" s="4">
        <v>1711650</v>
      </c>
      <c r="H71" s="8">
        <f>IF(C71&gt;0, G71/C71, 0)</f>
        <v>3.7019499964562587E-2</v>
      </c>
      <c r="I71" s="8" cm="1">
        <f t="array" aca="1" ref="I71" ca="1">IF(ROW()-2&gt;7, (G71/INDIRECT("G"&amp;ROW()-7))-1, "")</f>
        <v>1.0355904530176874E-2</v>
      </c>
      <c r="J71" s="8" cm="1">
        <f t="array" aca="1" ref="J71" ca="1">IF(ROW()-2&gt;7, (C71/INDIRECT("C"&amp;ROW()-7))-1, "")</f>
        <v>5.1020419528979843E-2</v>
      </c>
      <c r="K71" s="8" cm="1">
        <f t="array" aca="1" ref="K71" ca="1">IF(ROW()-2&gt;7, (H71/INDIRECT("H"&amp;ROW()-7))-1, "")</f>
        <v>-3.8690508997938244E-2</v>
      </c>
      <c r="L71" s="8">
        <f>IF(D71&gt;0, D71/C71, 0)</f>
        <v>0.21839999672985225</v>
      </c>
      <c r="M71" s="8">
        <f>IF(D71&gt;0, E71/D71, 0)</f>
        <v>0.34680000740737882</v>
      </c>
      <c r="N71" s="8">
        <f>IF(E71&gt;0, F71/E71, 0)</f>
        <v>0.64600000000000002</v>
      </c>
      <c r="O71" s="8">
        <f>IF(F71&gt;0, G71/F71, 0)</f>
        <v>0.75659994377383644</v>
      </c>
      <c r="P71" s="8" cm="1">
        <f t="array" aca="1" ref="P71" ca="1">IF(ROW()-2&gt;1, (L71/INDIRECT("L"&amp;ROW()-1))-1, "")</f>
        <v>5.0505054907121316E-2</v>
      </c>
      <c r="Q71" s="8" cm="1">
        <f t="array" aca="1" ref="Q71" ca="1">IF(ROW()-2&gt;1, (M71/INDIRECT("M"&amp;ROW()-1))-1, "")</f>
        <v>3.0303014843937826E-2</v>
      </c>
      <c r="R71" s="8" cm="1">
        <f t="array" aca="1" ref="R71" ca="1">IF(ROW()-2&gt;1, (N71/INDIRECT("N"&amp;ROW()-1))-1, "")</f>
        <v>-8.6538303392194038E-2</v>
      </c>
      <c r="S71" s="8" cm="1">
        <f t="array" aca="1" ref="S71" ca="1">IF(ROW()-2&gt;1, (O71/INDIRECT("O"&amp;ROW()-1))-1, "")</f>
        <v>-3.9603793481946759E-2</v>
      </c>
    </row>
    <row r="72" spans="2:19" x14ac:dyDescent="0.35">
      <c r="B72" s="3">
        <v>43535</v>
      </c>
      <c r="C72" s="4">
        <v>21282993</v>
      </c>
      <c r="D72" s="4">
        <v>5107918</v>
      </c>
      <c r="E72" s="4">
        <v>2104462</v>
      </c>
      <c r="F72" s="4">
        <v>1459444</v>
      </c>
      <c r="G72" s="4">
        <v>1220679</v>
      </c>
      <c r="H72" s="8">
        <f>IF(C72&gt;0, G72/C72, 0)</f>
        <v>5.735466811458332E-2</v>
      </c>
      <c r="I72" s="8" cm="1">
        <f t="array" aca="1" ref="I72" ca="1">IF(ROW()-2&gt;7, (G72/INDIRECT("G"&amp;ROW()-7))-1, "")</f>
        <v>-0.11261551390237801</v>
      </c>
      <c r="J72" s="8" cm="1">
        <f t="array" aca="1" ref="J72" ca="1">IF(ROW()-2&gt;7, (C72/INDIRECT("C"&amp;ROW()-7))-1, "")</f>
        <v>-2.0000009209230951E-2</v>
      </c>
      <c r="K72" s="8" cm="1">
        <f t="array" aca="1" ref="K72" ca="1">IF(ROW()-2&gt;7, (H72/INDIRECT("H"&amp;ROW()-7))-1, "")</f>
        <v>-9.4505617921909368E-2</v>
      </c>
      <c r="L72" s="8">
        <f>IF(D72&gt;0, D72/C72, 0)</f>
        <v>0.23999998496452074</v>
      </c>
      <c r="M72" s="8">
        <f>IF(D72&gt;0, E72/D72, 0)</f>
        <v>0.41199995771271192</v>
      </c>
      <c r="N72" s="8">
        <f>IF(E72&gt;0, F72/E72, 0)</f>
        <v>0.69349981135321048</v>
      </c>
      <c r="O72" s="8">
        <f>IF(F72&gt;0, G72/F72, 0)</f>
        <v>0.83640002631138977</v>
      </c>
      <c r="P72" s="8" cm="1">
        <f t="array" aca="1" ref="P72" ca="1">IF(ROW()-2&gt;1, (L72/INDIRECT("L"&amp;ROW()-1))-1, "")</f>
        <v>9.890104651139886E-2</v>
      </c>
      <c r="Q72" s="8" cm="1">
        <f t="array" aca="1" ref="Q72" ca="1">IF(ROW()-2&gt;1, (M72/INDIRECT("M"&amp;ROW()-1))-1, "")</f>
        <v>0.18800446629963319</v>
      </c>
      <c r="R72" s="8" cm="1">
        <f t="array" aca="1" ref="R72" ca="1">IF(ROW()-2&gt;1, (N72/INDIRECT("N"&amp;ROW()-1))-1, "")</f>
        <v>7.3529119741811755E-2</v>
      </c>
      <c r="S72" s="8" cm="1">
        <f t="array" aca="1" ref="S72" ca="1">IF(ROW()-2&gt;1, (O72/INDIRECT("O"&amp;ROW()-1))-1, "")</f>
        <v>0.10547196466803754</v>
      </c>
    </row>
    <row r="73" spans="2:19" x14ac:dyDescent="0.35">
      <c r="B73" s="3">
        <v>43536</v>
      </c>
      <c r="C73" s="4">
        <v>21500167</v>
      </c>
      <c r="D73" s="4">
        <v>5428792</v>
      </c>
      <c r="E73" s="4">
        <v>2149801</v>
      </c>
      <c r="F73" s="4">
        <v>1600742</v>
      </c>
      <c r="G73" s="4">
        <v>1299482</v>
      </c>
      <c r="H73" s="8">
        <f>IF(C73&gt;0, G73/C73, 0)</f>
        <v>6.04405537873264E-2</v>
      </c>
      <c r="I73" s="8" cm="1">
        <f t="array" aca="1" ref="I73" ca="1">IF(ROW()-2&gt;7, (G73/INDIRECT("G"&amp;ROW()-7))-1, "")</f>
        <v>3.2510015366695066E-2</v>
      </c>
      <c r="J73" s="8" cm="1">
        <f t="array" aca="1" ref="J73" ca="1">IF(ROW()-2&gt;7, (C73/INDIRECT("C"&amp;ROW()-7))-1, "")</f>
        <v>-9.9999815815380311E-3</v>
      </c>
      <c r="K73" s="8" cm="1">
        <f t="array" aca="1" ref="K73" ca="1">IF(ROW()-2&gt;7, (H73/INDIRECT("H"&amp;ROW()-7))-1, "")</f>
        <v>4.2939390057935123E-2</v>
      </c>
      <c r="L73" s="8">
        <f>IF(D73&gt;0, D73/C73, 0)</f>
        <v>0.25249999220936281</v>
      </c>
      <c r="M73" s="8">
        <f>IF(D73&gt;0, E73/D73, 0)</f>
        <v>0.39599988358367755</v>
      </c>
      <c r="N73" s="8">
        <f>IF(E73&gt;0, F73/E73, 0)</f>
        <v>0.74460008158894708</v>
      </c>
      <c r="O73" s="8">
        <f>IF(F73&gt;0, G73/F73, 0)</f>
        <v>0.81179977785302071</v>
      </c>
      <c r="P73" s="8" cm="1">
        <f t="array" aca="1" ref="P73" ca="1">IF(ROW()-2&gt;1, (L73/INDIRECT("L"&amp;ROW()-1))-1, "")</f>
        <v>5.2083366783085117E-2</v>
      </c>
      <c r="Q73" s="8" cm="1">
        <f t="array" aca="1" ref="Q73" ca="1">IF(ROW()-2&gt;1, (M73/INDIRECT("M"&amp;ROW()-1))-1, "")</f>
        <v>-3.8835135367152773E-2</v>
      </c>
      <c r="R73" s="8" cm="1">
        <f t="array" aca="1" ref="R73" ca="1">IF(ROW()-2&gt;1, (N73/INDIRECT("N"&amp;ROW()-1))-1, "")</f>
        <v>7.3684620239514942E-2</v>
      </c>
      <c r="S73" s="8" cm="1">
        <f t="array" aca="1" ref="S73" ca="1">IF(ROW()-2&gt;1, (O73/INDIRECT("O"&amp;ROW()-1))-1, "")</f>
        <v>-2.9412060837514131E-2</v>
      </c>
    </row>
    <row r="74" spans="2:19" x14ac:dyDescent="0.35">
      <c r="B74" s="3">
        <v>43537</v>
      </c>
      <c r="C74" s="4">
        <v>21717340</v>
      </c>
      <c r="D74" s="4">
        <v>5700801</v>
      </c>
      <c r="E74" s="4">
        <v>2166304</v>
      </c>
      <c r="F74" s="4">
        <v>1533960</v>
      </c>
      <c r="G74" s="4">
        <v>1232690</v>
      </c>
      <c r="H74" s="8">
        <f>IF(C74&gt;0, G74/C74, 0)</f>
        <v>5.6760634589687317E-2</v>
      </c>
      <c r="I74" s="8" cm="1">
        <f t="array" aca="1" ref="I74" ca="1">IF(ROW()-2&gt;7, (G74/INDIRECT("G"&amp;ROW()-7))-1, "")</f>
        <v>0.11595244647875091</v>
      </c>
      <c r="J74" s="8" cm="1">
        <f t="array" aca="1" ref="J74" ca="1">IF(ROW()-2&gt;7, (C74/INDIRECT("C"&amp;ROW()-7))-1, "")</f>
        <v>3.0927825263863395E-2</v>
      </c>
      <c r="K74" s="8" cm="1">
        <f t="array" aca="1" ref="K74" ca="1">IF(ROW()-2&gt;7, (H74/INDIRECT("H"&amp;ROW()-7))-1, "")</f>
        <v>8.2473883361452227E-2</v>
      </c>
      <c r="L74" s="8">
        <f>IF(D74&gt;0, D74/C74, 0)</f>
        <v>0.2624999654653839</v>
      </c>
      <c r="M74" s="8">
        <f>IF(D74&gt;0, E74/D74, 0)</f>
        <v>0.37999993334270044</v>
      </c>
      <c r="N74" s="8">
        <f>IF(E74&gt;0, F74/E74, 0)</f>
        <v>0.70810006351832433</v>
      </c>
      <c r="O74" s="8">
        <f>IF(F74&gt;0, G74/F74, 0)</f>
        <v>0.80359983311168481</v>
      </c>
      <c r="P74" s="8" cm="1">
        <f t="array" aca="1" ref="P74" ca="1">IF(ROW()-2&gt;1, (L74/INDIRECT("L"&amp;ROW()-1))-1, "")</f>
        <v>3.960385570122904E-2</v>
      </c>
      <c r="Q74" s="8" cm="1">
        <f t="array" aca="1" ref="Q74" ca="1">IF(ROW()-2&gt;1, (M74/INDIRECT("M"&amp;ROW()-1))-1, "")</f>
        <v>-4.0403926627913256E-2</v>
      </c>
      <c r="R74" s="8" cm="1">
        <f t="array" aca="1" ref="R74" ca="1">IF(ROW()-2&gt;1, (N74/INDIRECT("N"&amp;ROW()-1))-1, "")</f>
        <v>-4.9019626740750777E-2</v>
      </c>
      <c r="S74" s="8" cm="1">
        <f t="array" aca="1" ref="S74" ca="1">IF(ROW()-2&gt;1, (O74/INDIRECT("O"&amp;ROW()-1))-1, "")</f>
        <v>-1.0100944795799816E-2</v>
      </c>
    </row>
    <row r="75" spans="2:19" x14ac:dyDescent="0.35">
      <c r="B75" s="3">
        <v>43538</v>
      </c>
      <c r="C75" s="4">
        <v>22803207</v>
      </c>
      <c r="D75" s="4">
        <v>5415761</v>
      </c>
      <c r="E75" s="4">
        <v>2144641</v>
      </c>
      <c r="F75" s="4">
        <v>1628211</v>
      </c>
      <c r="G75" s="4">
        <v>1268377</v>
      </c>
      <c r="H75" s="8">
        <f>IF(C75&gt;0, G75/C75, 0)</f>
        <v>5.5622746397030909E-2</v>
      </c>
      <c r="I75" s="8" cm="1">
        <f t="array" aca="1" ref="I75" ca="1">IF(ROW()-2&gt;7, (G75/INDIRECT("G"&amp;ROW()-7))-1, "")</f>
        <v>3.8334933760332257E-2</v>
      </c>
      <c r="J75" s="8" cm="1">
        <f t="array" aca="1" ref="J75" ca="1">IF(ROW()-2&gt;7, (C75/INDIRECT("C"&amp;ROW()-7))-1, "")</f>
        <v>5.0000000000000044E-2</v>
      </c>
      <c r="K75" s="8" cm="1">
        <f t="array" aca="1" ref="K75" ca="1">IF(ROW()-2&gt;7, (H75/INDIRECT("H"&amp;ROW()-7))-1, "")</f>
        <v>-1.1109586894921697E-2</v>
      </c>
      <c r="L75" s="8">
        <f>IF(D75&gt;0, D75/C75, 0)</f>
        <v>0.23749997094706898</v>
      </c>
      <c r="M75" s="8">
        <f>IF(D75&gt;0, E75/D75, 0)</f>
        <v>0.39599993426593233</v>
      </c>
      <c r="N75" s="8">
        <f>IF(E75&gt;0, F75/E75, 0)</f>
        <v>0.75919979148025241</v>
      </c>
      <c r="O75" s="8">
        <f>IF(F75&gt;0, G75/F75, 0)</f>
        <v>0.77900038754190948</v>
      </c>
      <c r="P75" s="8" cm="1">
        <f t="array" aca="1" ref="P75" ca="1">IF(ROW()-2&gt;1, (L75/INDIRECT("L"&amp;ROW()-1))-1, "")</f>
        <v>-9.5238086885050199E-2</v>
      </c>
      <c r="Q75" s="8" cm="1">
        <f t="array" aca="1" ref="Q75" ca="1">IF(ROW()-2&gt;1, (M75/INDIRECT("M"&amp;ROW()-1))-1, "")</f>
        <v>4.2105272973304464E-2</v>
      </c>
      <c r="R75" s="8" cm="1">
        <f t="array" aca="1" ref="R75" ca="1">IF(ROW()-2&gt;1, (N75/INDIRECT("N"&amp;ROW()-1))-1, "")</f>
        <v>7.2164557799966556E-2</v>
      </c>
      <c r="S75" s="8" cm="1">
        <f t="array" aca="1" ref="S75" ca="1">IF(ROW()-2&gt;1, (O75/INDIRECT("O"&amp;ROW()-1))-1, "")</f>
        <v>-3.0611561322159364E-2</v>
      </c>
    </row>
    <row r="76" spans="2:19" x14ac:dyDescent="0.35">
      <c r="B76" s="3">
        <v>43539</v>
      </c>
      <c r="C76" s="4">
        <v>21500167</v>
      </c>
      <c r="D76" s="4">
        <v>5106289</v>
      </c>
      <c r="E76" s="4">
        <v>2124216</v>
      </c>
      <c r="F76" s="4">
        <v>1519664</v>
      </c>
      <c r="G76" s="4">
        <v>1183818</v>
      </c>
      <c r="H76" s="8">
        <f>IF(C76&gt;0, G76/C76, 0)</f>
        <v>5.5060874643438819E-2</v>
      </c>
      <c r="I76" s="8" cm="1">
        <f t="array" aca="1" ref="I76" ca="1">IF(ROW()-2&gt;7, (G76/INDIRECT("G"&amp;ROW()-7))-1, "")</f>
        <v>-0.14866249706049239</v>
      </c>
      <c r="J76" s="8" cm="1">
        <f t="array" aca="1" ref="J76" ca="1">IF(ROW()-2&gt;7, (C76/INDIRECT("C"&amp;ROW()-7))-1, "")</f>
        <v>-9.9999815815380311E-3</v>
      </c>
      <c r="K76" s="8" cm="1">
        <f t="array" aca="1" ref="K76" ca="1">IF(ROW()-2&gt;7, (H76/INDIRECT("H"&amp;ROW()-7))-1, "")</f>
        <v>-0.14006314434263278</v>
      </c>
      <c r="L76" s="8">
        <f>IF(D76&gt;0, D76/C76, 0)</f>
        <v>0.23749996918628585</v>
      </c>
      <c r="M76" s="8">
        <f>IF(D76&gt;0, E76/D76, 0)</f>
        <v>0.41599995613252599</v>
      </c>
      <c r="N76" s="8">
        <f>IF(E76&gt;0, F76/E76, 0)</f>
        <v>0.71539994049569344</v>
      </c>
      <c r="O76" s="8">
        <f>IF(F76&gt;0, G76/F76, 0)</f>
        <v>0.77899983154170926</v>
      </c>
      <c r="P76" s="8" cm="1">
        <f t="array" aca="1" ref="P76" ca="1">IF(ROW()-2&gt;1, (L76/INDIRECT("L"&amp;ROW()-1))-1, "")</f>
        <v>-7.413824665292168E-9</v>
      </c>
      <c r="Q76" s="8" cm="1">
        <f t="array" aca="1" ref="Q76" ca="1">IF(ROW()-2&gt;1, (M76/INDIRECT("M"&amp;ROW()-1))-1, "")</f>
        <v>5.0505114107323834E-2</v>
      </c>
      <c r="R76" s="8" cm="1">
        <f t="array" aca="1" ref="R76" ca="1">IF(ROW()-2&gt;1, (N76/INDIRECT("N"&amp;ROW()-1))-1, "")</f>
        <v>-5.7692127258307191E-2</v>
      </c>
      <c r="S76" s="8" cm="1">
        <f t="array" aca="1" ref="S76" ca="1">IF(ROW()-2&gt;1, (O76/INDIRECT("O"&amp;ROW()-1))-1, "")</f>
        <v>-7.137354604003221E-7</v>
      </c>
    </row>
    <row r="77" spans="2:19" x14ac:dyDescent="0.35">
      <c r="B77" s="3">
        <v>43540</v>
      </c>
      <c r="C77" s="4">
        <v>42645263</v>
      </c>
      <c r="D77" s="4">
        <v>9313725</v>
      </c>
      <c r="E77" s="4">
        <v>3293333</v>
      </c>
      <c r="F77" s="4">
        <v>2217072</v>
      </c>
      <c r="G77" s="4">
        <v>1815781</v>
      </c>
      <c r="H77" s="8">
        <f>IF(C77&gt;0, G77/C77, 0)</f>
        <v>4.2578726739239479E-2</v>
      </c>
      <c r="I77" s="8" cm="1">
        <f t="array" aca="1" ref="I77" ca="1">IF(ROW()-2&gt;7, (G77/INDIRECT("G"&amp;ROW()-7))-1, "")</f>
        <v>-2.4003516193720209E-3</v>
      </c>
      <c r="J77" s="8" cm="1">
        <f t="array" aca="1" ref="J77" ca="1">IF(ROW()-2&gt;7, (C77/INDIRECT("C"&amp;ROW()-7))-1, "")</f>
        <v>-8.6538450828461344E-2</v>
      </c>
      <c r="K77" s="8" cm="1">
        <f t="array" aca="1" ref="K77" ca="1">IF(ROW()-2&gt;7, (H77/INDIRECT("H"&amp;ROW()-7))-1, "")</f>
        <v>9.2109075948952679E-2</v>
      </c>
      <c r="L77" s="8">
        <f>IF(D77&gt;0, D77/C77, 0)</f>
        <v>0.21839998970108357</v>
      </c>
      <c r="M77" s="8">
        <f>IF(D77&gt;0, E77/D77, 0)</f>
        <v>0.35359998282105171</v>
      </c>
      <c r="N77" s="8">
        <f>IF(E77&gt;0, F77/E77, 0)</f>
        <v>0.67320006813765876</v>
      </c>
      <c r="O77" s="8">
        <f>IF(F77&gt;0, G77/F77, 0)</f>
        <v>0.81899956338810831</v>
      </c>
      <c r="P77" s="8" cm="1">
        <f t="array" aca="1" ref="P77" ca="1">IF(ROW()-2&gt;1, (L77/INDIRECT("L"&amp;ROW()-1))-1, "")</f>
        <v>-8.0420976687457957E-2</v>
      </c>
      <c r="Q77" s="8" cm="1">
        <f t="array" aca="1" ref="Q77" ca="1">IF(ROW()-2&gt;1, (M77/INDIRECT("M"&amp;ROW()-1))-1, "")</f>
        <v>-0.14999995166248381</v>
      </c>
      <c r="R77" s="8" cm="1">
        <f t="array" aca="1" ref="R77" ca="1">IF(ROW()-2&gt;1, (N77/INDIRECT("N"&amp;ROW()-1))-1, "")</f>
        <v>-5.8987805239115398E-2</v>
      </c>
      <c r="S77" s="8" cm="1">
        <f t="array" aca="1" ref="S77" ca="1">IF(ROW()-2&gt;1, (O77/INDIRECT("O"&amp;ROW()-1))-1, "")</f>
        <v>5.1347548775762863E-2</v>
      </c>
    </row>
    <row r="78" spans="2:19" x14ac:dyDescent="0.35">
      <c r="B78" s="3">
        <v>43541</v>
      </c>
      <c r="C78" s="4">
        <v>42645263</v>
      </c>
      <c r="D78" s="4">
        <v>8686840</v>
      </c>
      <c r="E78" s="4">
        <v>2894455</v>
      </c>
      <c r="F78" s="4">
        <v>1968229</v>
      </c>
      <c r="G78" s="4">
        <v>1504514</v>
      </c>
      <c r="H78" s="8">
        <f>IF(C78&gt;0, G78/C78, 0)</f>
        <v>3.5279744903906445E-2</v>
      </c>
      <c r="I78" s="8" cm="1">
        <f t="array" aca="1" ref="I78" ca="1">IF(ROW()-2&gt;7, (G78/INDIRECT("G"&amp;ROW()-7))-1, "")</f>
        <v>-0.12101539450238075</v>
      </c>
      <c r="J78" s="8" cm="1">
        <f t="array" aca="1" ref="J78" ca="1">IF(ROW()-2&gt;7, (C78/INDIRECT("C"&amp;ROW()-7))-1, "")</f>
        <v>-7.7669902072700525E-2</v>
      </c>
      <c r="K78" s="8" cm="1">
        <f t="array" aca="1" ref="K78" ca="1">IF(ROW()-2&gt;7, (H78/INDIRECT("H"&amp;ROW()-7))-1, "")</f>
        <v>-4.6995639117804022E-2</v>
      </c>
      <c r="L78" s="8">
        <f>IF(D78&gt;0, D78/C78, 0)</f>
        <v>0.20369999828585886</v>
      </c>
      <c r="M78" s="8">
        <f>IF(D78&gt;0, E78/D78, 0)</f>
        <v>0.33319998986973398</v>
      </c>
      <c r="N78" s="8">
        <f>IF(E78&gt;0, F78/E78, 0)</f>
        <v>0.6799998618047266</v>
      </c>
      <c r="O78" s="8">
        <f>IF(F78&gt;0, G78/F78, 0)</f>
        <v>0.76439987420163003</v>
      </c>
      <c r="P78" s="8" cm="1">
        <f t="array" aca="1" ref="P78" ca="1">IF(ROW()-2&gt;1, (L78/INDIRECT("L"&amp;ROW()-1))-1, "")</f>
        <v>-6.7307656174087183E-2</v>
      </c>
      <c r="Q78" s="8" cm="1">
        <f t="array" aca="1" ref="Q78" ca="1">IF(ROW()-2&gt;1, (M78/INDIRECT("M"&amp;ROW()-1))-1, "")</f>
        <v>-5.7692290561115911E-2</v>
      </c>
      <c r="R78" s="8" cm="1">
        <f t="array" aca="1" ref="R78" ca="1">IF(ROW()-2&gt;1, (N78/INDIRECT("N"&amp;ROW()-1))-1, "")</f>
        <v>1.0100702582931609E-2</v>
      </c>
      <c r="S78" s="8" cm="1">
        <f t="array" aca="1" ref="S78" ca="1">IF(ROW()-2&gt;1, (O78/INDIRECT("O"&amp;ROW()-1))-1, "")</f>
        <v>-6.6666322703037295E-2</v>
      </c>
    </row>
    <row r="79" spans="2:19" x14ac:dyDescent="0.35">
      <c r="B79" s="3">
        <v>43542</v>
      </c>
      <c r="C79" s="4">
        <v>22368860</v>
      </c>
      <c r="D79" s="4">
        <v>5368526</v>
      </c>
      <c r="E79" s="4">
        <v>2233307</v>
      </c>
      <c r="F79" s="4">
        <v>1614011</v>
      </c>
      <c r="G79" s="4">
        <v>1310254</v>
      </c>
      <c r="H79" s="8">
        <f>IF(C79&gt;0, G79/C79, 0)</f>
        <v>5.8574911729967462E-2</v>
      </c>
      <c r="I79" s="8" cm="1">
        <f t="array" aca="1" ref="I79" ca="1">IF(ROW()-2&gt;7, (G79/INDIRECT("G"&amp;ROW()-7))-1, "")</f>
        <v>7.3381290249115549E-2</v>
      </c>
      <c r="J79" s="8" cm="1">
        <f t="array" aca="1" ref="J79" ca="1">IF(ROW()-2&gt;7, (C79/INDIRECT("C"&amp;ROW()-7))-1, "")</f>
        <v>5.1020408642713067E-2</v>
      </c>
      <c r="K79" s="8" cm="1">
        <f t="array" aca="1" ref="K79" ca="1">IF(ROW()-2&gt;7, (H79/INDIRECT("H"&amp;ROW()-7))-1, "")</f>
        <v>2.1275401907066005E-2</v>
      </c>
      <c r="L79" s="8">
        <f>IF(D79&gt;0, D79/C79, 0)</f>
        <v>0.23999998211799797</v>
      </c>
      <c r="M79" s="8">
        <f>IF(D79&gt;0, E79/D79, 0)</f>
        <v>0.4160000342738398</v>
      </c>
      <c r="N79" s="8">
        <f>IF(E79&gt;0, F79/E79, 0)</f>
        <v>0.72270001392553729</v>
      </c>
      <c r="O79" s="8">
        <f>IF(F79&gt;0, G79/F79, 0)</f>
        <v>0.81179991957923459</v>
      </c>
      <c r="P79" s="8" cm="1">
        <f t="array" aca="1" ref="P79" ca="1">IF(ROW()-2&gt;1, (L79/INDIRECT("L"&amp;ROW()-1))-1, "")</f>
        <v>0.17820316218755261</v>
      </c>
      <c r="Q79" s="8" cm="1">
        <f t="array" aca="1" ref="Q79" ca="1">IF(ROW()-2&gt;1, (M79/INDIRECT("M"&amp;ROW()-1))-1, "")</f>
        <v>0.24849954058064916</v>
      </c>
      <c r="R79" s="8" cm="1">
        <f t="array" aca="1" ref="R79" ca="1">IF(ROW()-2&gt;1, (N79/INDIRECT("N"&amp;ROW()-1))-1, "")</f>
        <v>6.279435411572587E-2</v>
      </c>
      <c r="S79" s="8" cm="1">
        <f t="array" aca="1" ref="S79" ca="1">IF(ROW()-2&gt;1, (O79/INDIRECT("O"&amp;ROW()-1))-1, "")</f>
        <v>6.2009488720953909E-2</v>
      </c>
    </row>
    <row r="80" spans="2:19" x14ac:dyDescent="0.35">
      <c r="B80" s="3">
        <v>43543</v>
      </c>
      <c r="C80" s="4">
        <v>21934513</v>
      </c>
      <c r="D80" s="4">
        <v>5757809</v>
      </c>
      <c r="E80" s="4">
        <v>2418280</v>
      </c>
      <c r="F80" s="4">
        <v>1835958</v>
      </c>
      <c r="G80" s="4">
        <v>707578</v>
      </c>
      <c r="H80" s="8">
        <f>IF(C80&gt;0, G80/C80, 0)</f>
        <v>3.2258660130726403E-2</v>
      </c>
      <c r="I80" s="8" cm="1">
        <f t="array" aca="1" ref="I80" ca="1">IF(ROW()-2&gt;7, (G80/INDIRECT("G"&amp;ROW()-7))-1, "")</f>
        <v>-0.45549226537958976</v>
      </c>
      <c r="J80" s="8" cm="1">
        <f t="array" aca="1" ref="J80" ca="1">IF(ROW()-2&gt;7, (C80/INDIRECT("C"&amp;ROW()-7))-1, "")</f>
        <v>2.0201982617158221E-2</v>
      </c>
      <c r="K80" s="8" cm="1">
        <f t="array" aca="1" ref="K80" ca="1">IF(ROW()-2&gt;7, (H80/INDIRECT("H"&amp;ROW()-7))-1, "")</f>
        <v>-0.46627457709544307</v>
      </c>
      <c r="L80" s="8">
        <f>IF(D80&gt;0, D80/C80, 0)</f>
        <v>0.26249996979645729</v>
      </c>
      <c r="M80" s="8">
        <f>IF(D80&gt;0, E80/D80, 0)</f>
        <v>0.42000003820897847</v>
      </c>
      <c r="N80" s="8">
        <f>IF(E80&gt;0, F80/E80, 0)</f>
        <v>0.75919992722100005</v>
      </c>
      <c r="O80" s="8">
        <f>IF(F80&gt;0, G80/F80, 0)</f>
        <v>0.38539988387533919</v>
      </c>
      <c r="P80" s="8" cm="1">
        <f t="array" aca="1" ref="P80" ca="1">IF(ROW()-2&gt;1, (L80/INDIRECT("L"&amp;ROW()-1))-1, "")</f>
        <v>9.3749955645400895E-2</v>
      </c>
      <c r="Q80" s="8" cm="1">
        <f t="array" aca="1" ref="Q80" ca="1">IF(ROW()-2&gt;1, (M80/INDIRECT("M"&amp;ROW()-1))-1, "")</f>
        <v>9.615393282649487E-3</v>
      </c>
      <c r="R80" s="8" cm="1">
        <f t="array" aca="1" ref="R80" ca="1">IF(ROW()-2&gt;1, (N80/INDIRECT("N"&amp;ROW()-1))-1, "")</f>
        <v>5.0504929558813361E-2</v>
      </c>
      <c r="S80" s="8" cm="1">
        <f t="array" aca="1" ref="S80" ca="1">IF(ROW()-2&gt;1, (O80/INDIRECT("O"&amp;ROW()-1))-1, "")</f>
        <v>-0.52525262126769312</v>
      </c>
    </row>
    <row r="81" spans="2:19" x14ac:dyDescent="0.35">
      <c r="B81" s="3">
        <v>43544</v>
      </c>
      <c r="C81" s="4">
        <v>21282993</v>
      </c>
      <c r="D81" s="4">
        <v>5427163</v>
      </c>
      <c r="E81" s="4">
        <v>2149156</v>
      </c>
      <c r="F81" s="4">
        <v>1600262</v>
      </c>
      <c r="G81" s="4">
        <v>1377825</v>
      </c>
      <c r="H81" s="8">
        <f>IF(C81&gt;0, G81/C81, 0)</f>
        <v>6.4738310067573676E-2</v>
      </c>
      <c r="I81" s="8" cm="1">
        <f t="array" aca="1" ref="I81" ca="1">IF(ROW()-2&gt;7, (G81/INDIRECT("G"&amp;ROW()-7))-1, "")</f>
        <v>0.11773844194404104</v>
      </c>
      <c r="J81" s="8" cm="1">
        <f t="array" aca="1" ref="J81" ca="1">IF(ROW()-2&gt;7, (C81/INDIRECT("C"&amp;ROW()-7))-1, "")</f>
        <v>-2.0000009209230951E-2</v>
      </c>
      <c r="K81" s="8" cm="1">
        <f t="array" aca="1" ref="K81" ca="1">IF(ROW()-2&gt;7, (H81/INDIRECT("H"&amp;ROW()-7))-1, "")</f>
        <v>0.14054944127308611</v>
      </c>
      <c r="L81" s="8">
        <f>IF(D81&gt;0, D81/C81, 0)</f>
        <v>0.25499998989803735</v>
      </c>
      <c r="M81" s="8">
        <f>IF(D81&gt;0, E81/D81, 0)</f>
        <v>0.39599989902643423</v>
      </c>
      <c r="N81" s="8">
        <f>IF(E81&gt;0, F81/E81, 0)</f>
        <v>0.74460020584824926</v>
      </c>
      <c r="O81" s="8">
        <f>IF(F81&gt;0, G81/F81, 0)</f>
        <v>0.86099963630955434</v>
      </c>
      <c r="P81" s="8" cm="1">
        <f t="array" aca="1" ref="P81" ca="1">IF(ROW()-2&gt;1, (L81/INDIRECT("L"&amp;ROW()-1))-1, "")</f>
        <v>-2.8571355281432731E-2</v>
      </c>
      <c r="Q81" s="8" cm="1">
        <f t="array" aca="1" ref="Q81" ca="1">IF(ROW()-2&gt;1, (M81/INDIRECT("M"&amp;ROW()-1))-1, "")</f>
        <v>-5.7143183331337055E-2</v>
      </c>
      <c r="R81" s="8" cm="1">
        <f t="array" aca="1" ref="R81" ca="1">IF(ROW()-2&gt;1, (N81/INDIRECT("N"&amp;ROW()-1))-1, "")</f>
        <v>-1.9230404073130036E-2</v>
      </c>
      <c r="S81" s="8" cm="1">
        <f t="array" aca="1" ref="S81" ca="1">IF(ROW()-2&gt;1, (O81/INDIRECT("O"&amp;ROW()-1))-1, "")</f>
        <v>1.2340422826594621</v>
      </c>
    </row>
    <row r="82" spans="2:19" x14ac:dyDescent="0.35">
      <c r="B82" s="3">
        <v>43545</v>
      </c>
      <c r="C82" s="4">
        <v>21717340</v>
      </c>
      <c r="D82" s="4">
        <v>5429335</v>
      </c>
      <c r="E82" s="4">
        <v>2128299</v>
      </c>
      <c r="F82" s="4">
        <v>1475975</v>
      </c>
      <c r="G82" s="4">
        <v>1234506</v>
      </c>
      <c r="H82" s="8">
        <f>IF(C82&gt;0, G82/C82, 0)</f>
        <v>5.6844254406847247E-2</v>
      </c>
      <c r="I82" s="8" cm="1">
        <f t="array" aca="1" ref="I82" ca="1">IF(ROW()-2&gt;7, (G82/INDIRECT("G"&amp;ROW()-7))-1, "")</f>
        <v>-2.6704205453110585E-2</v>
      </c>
      <c r="J82" s="8" cm="1">
        <f t="array" aca="1" ref="J82" ca="1">IF(ROW()-2&gt;7, (C82/INDIRECT("C"&amp;ROW()-7))-1, "")</f>
        <v>-4.7619047619047672E-2</v>
      </c>
      <c r="K82" s="8" cm="1">
        <f t="array" aca="1" ref="K82" ca="1">IF(ROW()-2&gt;7, (H82/INDIRECT("H"&amp;ROW()-7))-1, "")</f>
        <v>2.1960584274233863E-2</v>
      </c>
      <c r="L82" s="8">
        <f>IF(D82&gt;0, D82/C82, 0)</f>
        <v>0.25</v>
      </c>
      <c r="M82" s="8">
        <f>IF(D82&gt;0, E82/D82, 0)</f>
        <v>0.39199994106092184</v>
      </c>
      <c r="N82" s="8">
        <f>IF(E82&gt;0, F82/E82, 0)</f>
        <v>0.6934998324953402</v>
      </c>
      <c r="O82" s="8">
        <f>IF(F82&gt;0, G82/F82, 0)</f>
        <v>0.83640034553430787</v>
      </c>
      <c r="P82" s="8" cm="1">
        <f t="array" aca="1" ref="P82" ca="1">IF(ROW()-2&gt;1, (L82/INDIRECT("L"&amp;ROW()-1))-1, "")</f>
        <v>-1.9607804298488851E-2</v>
      </c>
      <c r="Q82" s="8" cm="1">
        <f t="array" aca="1" ref="Q82" ca="1">IF(ROW()-2&gt;1, (M82/INDIRECT("M"&amp;ROW()-1))-1, "")</f>
        <v>-1.0100906528881182E-2</v>
      </c>
      <c r="R82" s="8" cm="1">
        <f t="array" aca="1" ref="R82" ca="1">IF(ROW()-2&gt;1, (N82/INDIRECT("N"&amp;ROW()-1))-1, "")</f>
        <v>-6.8627933421930076E-2</v>
      </c>
      <c r="S82" s="8" cm="1">
        <f t="array" aca="1" ref="S82" ca="1">IF(ROW()-2&gt;1, (O82/INDIRECT("O"&amp;ROW()-1))-1, "")</f>
        <v>-2.8570616917661829E-2</v>
      </c>
    </row>
    <row r="83" spans="2:19" x14ac:dyDescent="0.35">
      <c r="B83" s="3">
        <v>43546</v>
      </c>
      <c r="C83" s="4">
        <v>21065820</v>
      </c>
      <c r="D83" s="4">
        <v>5529777</v>
      </c>
      <c r="E83" s="4">
        <v>2123434</v>
      </c>
      <c r="F83" s="4">
        <v>1612111</v>
      </c>
      <c r="G83" s="4">
        <v>1361589</v>
      </c>
      <c r="H83" s="8">
        <f>IF(C83&gt;0, G83/C83, 0)</f>
        <v>6.4634986912448691E-2</v>
      </c>
      <c r="I83" s="8" cm="1">
        <f t="array" aca="1" ref="I83" ca="1">IF(ROW()-2&gt;7, (G83/INDIRECT("G"&amp;ROW()-7))-1, "")</f>
        <v>0.15016750885693586</v>
      </c>
      <c r="J83" s="8" cm="1">
        <f t="array" aca="1" ref="J83" ca="1">IF(ROW()-2&gt;7, (C83/INDIRECT("C"&amp;ROW()-7))-1, "")</f>
        <v>-2.0202029128424948E-2</v>
      </c>
      <c r="K83" s="8" cm="1">
        <f t="array" aca="1" ref="K83" ca="1">IF(ROW()-2&gt;7, (H83/INDIRECT("H"&amp;ROW()-7))-1, "")</f>
        <v>0.17388231354858696</v>
      </c>
      <c r="L83" s="8">
        <f>IF(D83&gt;0, D83/C83, 0)</f>
        <v>0.26249996439730333</v>
      </c>
      <c r="M83" s="8">
        <f>IF(D83&gt;0, E83/D83, 0)</f>
        <v>0.38399993345120426</v>
      </c>
      <c r="N83" s="8">
        <f>IF(E83&gt;0, F83/E83, 0)</f>
        <v>0.75919995629720538</v>
      </c>
      <c r="O83" s="8">
        <f>IF(F83&gt;0, G83/F83, 0)</f>
        <v>0.84460003064305122</v>
      </c>
      <c r="P83" s="8" cm="1">
        <f t="array" aca="1" ref="P83" ca="1">IF(ROW()-2&gt;1, (L83/INDIRECT("L"&amp;ROW()-1))-1, "")</f>
        <v>4.9999857589213326E-2</v>
      </c>
      <c r="Q83" s="8" cm="1">
        <f t="array" aca="1" ref="Q83" ca="1">IF(ROW()-2&gt;1, (M83/INDIRECT("M"&amp;ROW()-1))-1, "")</f>
        <v>-2.0408185746319529E-2</v>
      </c>
      <c r="R83" s="8" cm="1">
        <f t="array" aca="1" ref="R83" ca="1">IF(ROW()-2&gt;1, (N83/INDIRECT("N"&amp;ROW()-1))-1, "")</f>
        <v>9.4737043505063401E-2</v>
      </c>
      <c r="S83" s="8" cm="1">
        <f t="array" aca="1" ref="S83" ca="1">IF(ROW()-2&gt;1, (O83/INDIRECT("O"&amp;ROW()-1))-1, "")</f>
        <v>9.8035410345331808E-3</v>
      </c>
    </row>
    <row r="84" spans="2:19" x14ac:dyDescent="0.35">
      <c r="B84" s="3">
        <v>43547</v>
      </c>
      <c r="C84" s="4">
        <v>44440853</v>
      </c>
      <c r="D84" s="4">
        <v>9612556</v>
      </c>
      <c r="E84" s="4">
        <v>3268269</v>
      </c>
      <c r="F84" s="4">
        <v>2289095</v>
      </c>
      <c r="G84" s="4">
        <v>1874769</v>
      </c>
      <c r="H84" s="8">
        <f>IF(C84&gt;0, G84/C84, 0)</f>
        <v>4.2185711421875723E-2</v>
      </c>
      <c r="I84" s="8" cm="1">
        <f t="array" aca="1" ref="I84" ca="1">IF(ROW()-2&gt;7, (G84/INDIRECT("G"&amp;ROW()-7))-1, "")</f>
        <v>3.2486296530253478E-2</v>
      </c>
      <c r="J84" s="8" cm="1">
        <f t="array" aca="1" ref="J84" ca="1">IF(ROW()-2&gt;7, (C84/INDIRECT("C"&amp;ROW()-7))-1, "")</f>
        <v>4.2105262664225984E-2</v>
      </c>
      <c r="K84" s="8" cm="1">
        <f t="array" aca="1" ref="K84" ca="1">IF(ROW()-2&gt;7, (H84/INDIRECT("H"&amp;ROW()-7))-1, "")</f>
        <v>-9.2303210420231485E-3</v>
      </c>
      <c r="L84" s="8">
        <f>IF(D84&gt;0, D84/C84, 0)</f>
        <v>0.21629998866133376</v>
      </c>
      <c r="M84" s="8">
        <f>IF(D84&gt;0, E84/D84, 0)</f>
        <v>0.33999999583877588</v>
      </c>
      <c r="N84" s="8">
        <f>IF(E84&gt;0, F84/E84, 0)</f>
        <v>0.70039981409119012</v>
      </c>
      <c r="O84" s="8">
        <f>IF(F84&gt;0, G84/F84, 0)</f>
        <v>0.8190000851865038</v>
      </c>
      <c r="P84" s="8" cm="1">
        <f t="array" aca="1" ref="P84" ca="1">IF(ROW()-2&gt;1, (L84/INDIRECT("L"&amp;ROW()-1))-1, "")</f>
        <v>-0.17599993143634951</v>
      </c>
      <c r="Q84" s="8" cm="1">
        <f t="array" aca="1" ref="Q84" ca="1">IF(ROW()-2&gt;1, (M84/INDIRECT("M"&amp;ROW()-1))-1, "")</f>
        <v>-0.11458319072344203</v>
      </c>
      <c r="R84" s="8" cm="1">
        <f t="array" aca="1" ref="R84" ca="1">IF(ROW()-2&gt;1, (N84/INDIRECT("N"&amp;ROW()-1))-1, "")</f>
        <v>-7.7450139081668534E-2</v>
      </c>
      <c r="S84" s="8" cm="1">
        <f t="array" aca="1" ref="S84" ca="1">IF(ROW()-2&gt;1, (O84/INDIRECT("O"&amp;ROW()-1))-1, "")</f>
        <v>-3.0310140335960467E-2</v>
      </c>
    </row>
    <row r="85" spans="2:19" x14ac:dyDescent="0.35">
      <c r="B85" s="3">
        <v>43548</v>
      </c>
      <c r="C85" s="4">
        <v>45338648</v>
      </c>
      <c r="D85" s="4">
        <v>9425904</v>
      </c>
      <c r="E85" s="4">
        <v>3300951</v>
      </c>
      <c r="F85" s="4">
        <v>2289540</v>
      </c>
      <c r="G85" s="4">
        <v>1839416</v>
      </c>
      <c r="H85" s="8">
        <f>IF(C85&gt;0, G85/C85, 0)</f>
        <v>4.05705966353474E-2</v>
      </c>
      <c r="I85" s="8" cm="1">
        <f t="array" aca="1" ref="I85" ca="1">IF(ROW()-2&gt;7, (G85/INDIRECT("G"&amp;ROW()-7))-1, "")</f>
        <v>0.22259812803337153</v>
      </c>
      <c r="J85" s="8" cm="1">
        <f t="array" aca="1" ref="J85" ca="1">IF(ROW()-2&gt;7, (C85/INDIRECT("C"&amp;ROW()-7))-1, "")</f>
        <v>6.3157893996339087E-2</v>
      </c>
      <c r="K85" s="8" cm="1">
        <f t="array" aca="1" ref="K85" ca="1">IF(ROW()-2&gt;7, (H85/INDIRECT("H"&amp;ROW()-7))-1, "")</f>
        <v>0.14996853706998059</v>
      </c>
      <c r="L85" s="8">
        <f>IF(D85&gt;0, D85/C85, 0)</f>
        <v>0.20789997972590626</v>
      </c>
      <c r="M85" s="8">
        <f>IF(D85&gt;0, E85/D85, 0)</f>
        <v>0.35019993838256785</v>
      </c>
      <c r="N85" s="8">
        <f>IF(E85&gt;0, F85/E85, 0)</f>
        <v>0.69360011705717539</v>
      </c>
      <c r="O85" s="8">
        <f>IF(F85&gt;0, G85/F85, 0)</f>
        <v>0.80339980956873436</v>
      </c>
      <c r="P85" s="8" cm="1">
        <f t="array" aca="1" ref="P85" ca="1">IF(ROW()-2&gt;1, (L85/INDIRECT("L"&amp;ROW()-1))-1, "")</f>
        <v>-3.8834994802425027E-2</v>
      </c>
      <c r="Q85" s="8" cm="1">
        <f t="array" aca="1" ref="Q85" ca="1">IF(ROW()-2&gt;1, (M85/INDIRECT("M"&amp;ROW()-1))-1, "")</f>
        <v>2.9999831378317632E-2</v>
      </c>
      <c r="R85" s="8" cm="1">
        <f t="array" aca="1" ref="R85" ca="1">IF(ROW()-2&gt;1, (N85/INDIRECT("N"&amp;ROW()-1))-1, "")</f>
        <v>-9.7083078796040834E-3</v>
      </c>
      <c r="S85" s="8" cm="1">
        <f t="array" aca="1" ref="S85" ca="1">IF(ROW()-2&gt;1, (O85/INDIRECT("O"&amp;ROW()-1))-1, "")</f>
        <v>-1.9047953596020628E-2</v>
      </c>
    </row>
    <row r="86" spans="2:19" x14ac:dyDescent="0.35">
      <c r="B86" s="3">
        <v>43549</v>
      </c>
      <c r="C86" s="4">
        <v>22368860</v>
      </c>
      <c r="D86" s="4">
        <v>5536293</v>
      </c>
      <c r="E86" s="4">
        <v>2258807</v>
      </c>
      <c r="F86" s="4">
        <v>1632440</v>
      </c>
      <c r="G86" s="4">
        <v>1351986</v>
      </c>
      <c r="H86" s="8">
        <f>IF(C86&gt;0, G86/C86, 0)</f>
        <v>6.044054100208951E-2</v>
      </c>
      <c r="I86" s="8" cm="1">
        <f t="array" aca="1" ref="I86" ca="1">IF(ROW()-2&gt;7, (G86/INDIRECT("G"&amp;ROW()-7))-1, "")</f>
        <v>3.1850312992747876E-2</v>
      </c>
      <c r="J86" s="8" cm="1">
        <f t="array" aca="1" ref="J86" ca="1">IF(ROW()-2&gt;7, (C86/INDIRECT("C"&amp;ROW()-7))-1, "")</f>
        <v>0</v>
      </c>
      <c r="K86" s="8" cm="1">
        <f t="array" aca="1" ref="K86" ca="1">IF(ROW()-2&gt;7, (H86/INDIRECT("H"&amp;ROW()-7))-1, "")</f>
        <v>3.1850312992747876E-2</v>
      </c>
      <c r="L86" s="8">
        <f>IF(D86&gt;0, D86/C86, 0)</f>
        <v>0.24750000670575076</v>
      </c>
      <c r="M86" s="8">
        <f>IF(D86&gt;0, E86/D86, 0)</f>
        <v>0.40799990173930462</v>
      </c>
      <c r="N86" s="8">
        <f>IF(E86&gt;0, F86/E86, 0)</f>
        <v>0.72270008017506582</v>
      </c>
      <c r="O86" s="8">
        <f>IF(F86&gt;0, G86/F86, 0)</f>
        <v>0.82819950503540707</v>
      </c>
      <c r="P86" s="8" cm="1">
        <f t="array" aca="1" ref="P86" ca="1">IF(ROW()-2&gt;1, (L86/INDIRECT("L"&amp;ROW()-1))-1, "")</f>
        <v>0.1904763388243369</v>
      </c>
      <c r="Q86" s="8" cm="1">
        <f t="array" aca="1" ref="Q86" ca="1">IF(ROW()-2&gt;1, (M86/INDIRECT("M"&amp;ROW()-1))-1, "")</f>
        <v>0.16504846809423057</v>
      </c>
      <c r="R86" s="8" cm="1">
        <f t="array" aca="1" ref="R86" ca="1">IF(ROW()-2&gt;1, (N86/INDIRECT("N"&amp;ROW()-1))-1, "")</f>
        <v>4.1954957045504226E-2</v>
      </c>
      <c r="S86" s="8" cm="1">
        <f t="array" aca="1" ref="S86" ca="1">IF(ROW()-2&gt;1, (O86/INDIRECT("O"&amp;ROW()-1))-1, "")</f>
        <v>3.0868435828961927E-2</v>
      </c>
    </row>
    <row r="87" spans="2:19" x14ac:dyDescent="0.35">
      <c r="B87" s="3">
        <v>43550</v>
      </c>
      <c r="C87" s="4">
        <v>20848646</v>
      </c>
      <c r="D87" s="4">
        <v>5107918</v>
      </c>
      <c r="E87" s="4">
        <v>2043167</v>
      </c>
      <c r="F87" s="4">
        <v>1476597</v>
      </c>
      <c r="G87" s="4">
        <v>1259241</v>
      </c>
      <c r="H87" s="8">
        <f>IF(C87&gt;0, G87/C87, 0)</f>
        <v>6.0399174123825596E-2</v>
      </c>
      <c r="I87" s="8" cm="1">
        <f t="array" aca="1" ref="I87" ca="1">IF(ROW()-2&gt;7, (G87/INDIRECT("G"&amp;ROW()-7))-1, "")</f>
        <v>0.77964973472889199</v>
      </c>
      <c r="J87" s="8" cm="1">
        <f t="array" aca="1" ref="J87" ca="1">IF(ROW()-2&gt;7, (C87/INDIRECT("C"&amp;ROW()-7))-1, "")</f>
        <v>-4.9504951397826846E-2</v>
      </c>
      <c r="K87" s="8" cm="1">
        <f t="array" aca="1" ref="K87" ca="1">IF(ROW()-2&gt;7, (H87/INDIRECT("H"&amp;ROW()-7))-1, "")</f>
        <v>0.87233982685769784</v>
      </c>
      <c r="L87" s="8">
        <f>IF(D87&gt;0, D87/C87, 0)</f>
        <v>0.2449999870495187</v>
      </c>
      <c r="M87" s="8">
        <f>IF(D87&gt;0, E87/D87, 0)</f>
        <v>0.39999996084510364</v>
      </c>
      <c r="N87" s="8">
        <f>IF(E87&gt;0, F87/E87, 0)</f>
        <v>0.72270010234112048</v>
      </c>
      <c r="O87" s="8">
        <f>IF(F87&gt;0, G87/F87, 0)</f>
        <v>0.85279937586220211</v>
      </c>
      <c r="P87" s="8" cm="1">
        <f t="array" aca="1" ref="P87" ca="1">IF(ROW()-2&gt;1, (L87/INDIRECT("L"&amp;ROW()-1))-1, "")</f>
        <v>-1.0101089246451256E-2</v>
      </c>
      <c r="Q87" s="8" cm="1">
        <f t="array" aca="1" ref="Q87" ca="1">IF(ROW()-2&gt;1, (M87/INDIRECT("M"&amp;ROW()-1))-1, "")</f>
        <v>-1.9607702992322285E-2</v>
      </c>
      <c r="R87" s="8" cm="1">
        <f t="array" aca="1" ref="R87" ca="1">IF(ROW()-2&gt;1, (N87/INDIRECT("N"&amp;ROW()-1))-1, "")</f>
        <v>3.06711667175108E-8</v>
      </c>
      <c r="S87" s="8" cm="1">
        <f t="array" aca="1" ref="S87" ca="1">IF(ROW()-2&gt;1, (O87/INDIRECT("O"&amp;ROW()-1))-1, "")</f>
        <v>2.9702832079987029E-2</v>
      </c>
    </row>
    <row r="88" spans="2:19" x14ac:dyDescent="0.35">
      <c r="B88" s="3">
        <v>43551</v>
      </c>
      <c r="C88" s="4">
        <v>20848646</v>
      </c>
      <c r="D88" s="4">
        <v>5212161</v>
      </c>
      <c r="E88" s="4">
        <v>2084864</v>
      </c>
      <c r="F88" s="4">
        <v>1476292</v>
      </c>
      <c r="G88" s="4">
        <v>1150032</v>
      </c>
      <c r="H88" s="8">
        <f>IF(C88&gt;0, G88/C88, 0)</f>
        <v>5.5160992229423438E-2</v>
      </c>
      <c r="I88" s="8" cm="1">
        <f t="array" aca="1" ref="I88" ca="1">IF(ROW()-2&gt;7, (G88/INDIRECT("G"&amp;ROW()-7))-1, "")</f>
        <v>-0.16532796254967064</v>
      </c>
      <c r="J88" s="8" cm="1">
        <f t="array" aca="1" ref="J88" ca="1">IF(ROW()-2&gt;7, (C88/INDIRECT("C"&amp;ROW()-7))-1, "")</f>
        <v>-2.0408172854259776E-2</v>
      </c>
      <c r="K88" s="8" cm="1">
        <f t="array" aca="1" ref="K88" ca="1">IF(ROW()-2&gt;7, (H88/INDIRECT("H"&amp;ROW()-7))-1, "")</f>
        <v>-0.14793895342886554</v>
      </c>
      <c r="L88" s="8">
        <f>IF(D88&gt;0, D88/C88, 0)</f>
        <v>0.24999997601762725</v>
      </c>
      <c r="M88" s="8">
        <f>IF(D88&gt;0, E88/D88, 0)</f>
        <v>0.39999992325639977</v>
      </c>
      <c r="N88" s="8">
        <f>IF(E88&gt;0, F88/E88, 0)</f>
        <v>0.70809990483791752</v>
      </c>
      <c r="O88" s="8">
        <f>IF(F88&gt;0, G88/F88, 0)</f>
        <v>0.77900036036231313</v>
      </c>
      <c r="P88" s="8" cm="1">
        <f t="array" aca="1" ref="P88" ca="1">IF(ROW()-2&gt;1, (L88/INDIRECT("L"&amp;ROW()-1))-1, "")</f>
        <v>2.0408119315932671E-2</v>
      </c>
      <c r="Q88" s="8" cm="1">
        <f t="array" aca="1" ref="Q88" ca="1">IF(ROW()-2&gt;1, (M88/INDIRECT("M"&amp;ROW()-1))-1, "")</f>
        <v>-9.3971768921896626E-8</v>
      </c>
      <c r="R88" s="8" cm="1">
        <f t="array" aca="1" ref="R88" ca="1">IF(ROW()-2&gt;1, (N88/INDIRECT("N"&amp;ROW()-1))-1, "")</f>
        <v>-2.0202290626370467E-2</v>
      </c>
      <c r="S88" s="8" cm="1">
        <f t="array" aca="1" ref="S88" ca="1">IF(ROW()-2&gt;1, (O88/INDIRECT("O"&amp;ROW()-1))-1, "")</f>
        <v>-8.6537370439883632E-2</v>
      </c>
    </row>
    <row r="89" spans="2:19" x14ac:dyDescent="0.35">
      <c r="B89" s="3">
        <v>43552</v>
      </c>
      <c r="C89" s="4">
        <v>21500167</v>
      </c>
      <c r="D89" s="4">
        <v>5267540</v>
      </c>
      <c r="E89" s="4">
        <v>2064876</v>
      </c>
      <c r="F89" s="4">
        <v>1552580</v>
      </c>
      <c r="G89" s="4">
        <v>1311309</v>
      </c>
      <c r="H89" s="8">
        <f>IF(C89&gt;0, G89/C89, 0)</f>
        <v>6.0990642537799823E-2</v>
      </c>
      <c r="I89" s="8" cm="1">
        <f t="array" aca="1" ref="I89" ca="1">IF(ROW()-2&gt;7, (G89/INDIRECT("G"&amp;ROW()-7))-1, "")</f>
        <v>6.221354938736634E-2</v>
      </c>
      <c r="J89" s="8" cm="1">
        <f t="array" aca="1" ref="J89" ca="1">IF(ROW()-2&gt;7, (C89/INDIRECT("C"&amp;ROW()-7))-1, "")</f>
        <v>-9.9999815815380311E-3</v>
      </c>
      <c r="K89" s="8" cm="1">
        <f t="array" aca="1" ref="K89" ca="1">IF(ROW()-2&gt;7, (H89/INDIRECT("H"&amp;ROW()-7))-1, "")</f>
        <v>7.2942959217582981E-2</v>
      </c>
      <c r="L89" s="8">
        <f>IF(D89&gt;0, D89/C89, 0)</f>
        <v>0.24499995744219102</v>
      </c>
      <c r="M89" s="8">
        <f>IF(D89&gt;0, E89/D89, 0)</f>
        <v>0.39200006074942001</v>
      </c>
      <c r="N89" s="8">
        <f>IF(E89&gt;0, F89/E89, 0)</f>
        <v>0.75189987195357011</v>
      </c>
      <c r="O89" s="8">
        <f>IF(F89&gt;0, G89/F89, 0)</f>
        <v>0.84459995620193484</v>
      </c>
      <c r="P89" s="8" cm="1">
        <f t="array" aca="1" ref="P89" ca="1">IF(ROW()-2&gt;1, (L89/INDIRECT("L"&amp;ROW()-1))-1, "")</f>
        <v>-2.0000076220342056E-2</v>
      </c>
      <c r="Q89" s="8" cm="1">
        <f t="array" aca="1" ref="Q89" ca="1">IF(ROW()-2&gt;1, (M89/INDIRECT("M"&amp;ROW()-1))-1, "")</f>
        <v>-1.9999660104564221E-2</v>
      </c>
      <c r="R89" s="8" cm="1">
        <f t="array" aca="1" ref="R89" ca="1">IF(ROW()-2&gt;1, (N89/INDIRECT("N"&amp;ROW()-1))-1, "")</f>
        <v>6.1855631975657799E-2</v>
      </c>
      <c r="S89" s="8" cm="1">
        <f t="array" aca="1" ref="S89" ca="1">IF(ROW()-2&gt;1, (O89/INDIRECT("O"&amp;ROW()-1))-1, "")</f>
        <v>8.4209968541107294E-2</v>
      </c>
    </row>
    <row r="90" spans="2:19" x14ac:dyDescent="0.35">
      <c r="B90" s="3">
        <v>43553</v>
      </c>
      <c r="C90" s="4">
        <v>22803207</v>
      </c>
      <c r="D90" s="4">
        <v>5757809</v>
      </c>
      <c r="E90" s="4">
        <v>2234030</v>
      </c>
      <c r="F90" s="4">
        <v>1712384</v>
      </c>
      <c r="G90" s="4">
        <v>1390113</v>
      </c>
      <c r="H90" s="8">
        <f>IF(C90&gt;0, G90/C90, 0)</f>
        <v>6.0961293733815598E-2</v>
      </c>
      <c r="I90" s="8" cm="1">
        <f t="array" aca="1" ref="I90" ca="1">IF(ROW()-2&gt;7, (G90/INDIRECT("G"&amp;ROW()-7))-1, "")</f>
        <v>2.0949052908036059E-2</v>
      </c>
      <c r="J90" s="8" cm="1">
        <f t="array" aca="1" ref="J90" ca="1">IF(ROW()-2&gt;7, (C90/INDIRECT("C"&amp;ROW()-7))-1, "")</f>
        <v>8.2474216527056665E-2</v>
      </c>
      <c r="K90" s="8" cm="1">
        <f t="array" aca="1" ref="K90" ca="1">IF(ROW()-2&gt;7, (H90/INDIRECT("H"&amp;ROW()-7))-1, "")</f>
        <v>-5.6837532644808841E-2</v>
      </c>
      <c r="L90" s="8">
        <f>IF(D90&gt;0, D90/C90, 0)</f>
        <v>0.25249996634245347</v>
      </c>
      <c r="M90" s="8">
        <f>IF(D90&gt;0, E90/D90, 0)</f>
        <v>0.38800001875713486</v>
      </c>
      <c r="N90" s="8">
        <f>IF(E90&gt;0, F90/E90, 0)</f>
        <v>0.76650000223810777</v>
      </c>
      <c r="O90" s="8">
        <f>IF(F90&gt;0, G90/F90, 0)</f>
        <v>0.81179980658543882</v>
      </c>
      <c r="P90" s="8" cm="1">
        <f t="array" aca="1" ref="P90" ca="1">IF(ROW()-2&gt;1, (L90/INDIRECT("L"&amp;ROW()-1))-1, "")</f>
        <v>3.0612286543078682E-2</v>
      </c>
      <c r="Q90" s="8" cm="1">
        <f t="array" aca="1" ref="Q90" ca="1">IF(ROW()-2&gt;1, (M90/INDIRECT("M"&amp;ROW()-1))-1, "")</f>
        <v>-1.0204187174455814E-2</v>
      </c>
      <c r="R90" s="8" cm="1">
        <f t="array" aca="1" ref="R90" ca="1">IF(ROW()-2&gt;1, (N90/INDIRECT("N"&amp;ROW()-1))-1, "")</f>
        <v>1.9417652308682865E-2</v>
      </c>
      <c r="S90" s="8" cm="1">
        <f t="array" aca="1" ref="S90" ca="1">IF(ROW()-2&gt;1, (O90/INDIRECT("O"&amp;ROW()-1))-1, "")</f>
        <v>-3.8835130614965241E-2</v>
      </c>
    </row>
    <row r="91" spans="2:19" x14ac:dyDescent="0.35">
      <c r="B91" s="3">
        <v>43554</v>
      </c>
      <c r="C91" s="4">
        <v>44889750</v>
      </c>
      <c r="D91" s="4">
        <v>9898190</v>
      </c>
      <c r="E91" s="4">
        <v>3399038</v>
      </c>
      <c r="F91" s="4">
        <v>2311346</v>
      </c>
      <c r="G91" s="4">
        <v>1748764</v>
      </c>
      <c r="H91" s="8">
        <f>IF(C91&gt;0, G91/C91, 0)</f>
        <v>3.8956866545258102E-2</v>
      </c>
      <c r="I91" s="8" cm="1">
        <f t="array" aca="1" ref="I91" ca="1">IF(ROW()-2&gt;7, (G91/INDIRECT("G"&amp;ROW()-7))-1, "")</f>
        <v>-6.7210947055343917E-2</v>
      </c>
      <c r="J91" s="8" cm="1">
        <f t="array" aca="1" ref="J91" ca="1">IF(ROW()-2&gt;7, (C91/INDIRECT("C"&amp;ROW()-7))-1, "")</f>
        <v>1.0100998736455313E-2</v>
      </c>
      <c r="K91" s="8" cm="1">
        <f t="array" aca="1" ref="K91" ca="1">IF(ROW()-2&gt;7, (H91/INDIRECT("H"&amp;ROW()-7))-1, "")</f>
        <v>-7.6538827195012704E-2</v>
      </c>
      <c r="L91" s="8">
        <f>IF(D91&gt;0, D91/C91, 0)</f>
        <v>0.22050000278460005</v>
      </c>
      <c r="M91" s="8">
        <f>IF(D91&gt;0, E91/D91, 0)</f>
        <v>0.34339995494125691</v>
      </c>
      <c r="N91" s="8">
        <f>IF(E91&gt;0, F91/E91, 0)</f>
        <v>0.68000004707214212</v>
      </c>
      <c r="O91" s="8">
        <f>IF(F91&gt;0, G91/F91, 0)</f>
        <v>0.75659983403609843</v>
      </c>
      <c r="P91" s="8" cm="1">
        <f t="array" aca="1" ref="P91" ca="1">IF(ROW()-2&gt;1, (L91/INDIRECT("L"&amp;ROW()-1))-1, "")</f>
        <v>-0.12673254583508908</v>
      </c>
      <c r="Q91" s="8" cm="1">
        <f t="array" aca="1" ref="Q91" ca="1">IF(ROW()-2&gt;1, (M91/INDIRECT("M"&amp;ROW()-1))-1, "")</f>
        <v>-0.11494861252518385</v>
      </c>
      <c r="R91" s="8" cm="1">
        <f t="array" aca="1" ref="R91" ca="1">IF(ROW()-2&gt;1, (N91/INDIRECT("N"&amp;ROW()-1))-1, "")</f>
        <v>-0.11285056087853085</v>
      </c>
      <c r="S91" s="8" cm="1">
        <f t="array" aca="1" ref="S91" ca="1">IF(ROW()-2&gt;1, (O91/INDIRECT("O"&amp;ROW()-1))-1, "")</f>
        <v>-6.7997025992800331E-2</v>
      </c>
    </row>
    <row r="92" spans="2:19" x14ac:dyDescent="0.35">
      <c r="B92" s="3">
        <v>43555</v>
      </c>
      <c r="C92" s="4">
        <v>42645263</v>
      </c>
      <c r="D92" s="4">
        <v>8597285</v>
      </c>
      <c r="E92" s="4">
        <v>2806153</v>
      </c>
      <c r="F92" s="4">
        <v>2003593</v>
      </c>
      <c r="G92" s="4">
        <v>1640943</v>
      </c>
      <c r="H92" s="8">
        <f>IF(C92&gt;0, G92/C92, 0)</f>
        <v>3.8478904444791441E-2</v>
      </c>
      <c r="I92" s="8" cm="1">
        <f t="array" aca="1" ref="I92" ca="1">IF(ROW()-2&gt;7, (G92/INDIRECT("G"&amp;ROW()-7))-1, "")</f>
        <v>-0.10790000739365102</v>
      </c>
      <c r="J92" s="8" cm="1">
        <f t="array" aca="1" ref="J92" ca="1">IF(ROW()-2&gt;7, (C92/INDIRECT("C"&amp;ROW()-7))-1, "")</f>
        <v>-5.9405939938923624E-2</v>
      </c>
      <c r="K92" s="8" cm="1">
        <f t="array" aca="1" ref="K92" ca="1">IF(ROW()-2&gt;7, (H92/INDIRECT("H"&amp;ROW()-7))-1, "")</f>
        <v>-5.1556850626484518E-2</v>
      </c>
      <c r="L92" s="8">
        <f>IF(D92&gt;0, D92/C92, 0)</f>
        <v>0.20159999951225532</v>
      </c>
      <c r="M92" s="8">
        <f>IF(D92&gt;0, E92/D92, 0)</f>
        <v>0.32639990415578873</v>
      </c>
      <c r="N92" s="8">
        <f>IF(E92&gt;0, F92/E92, 0)</f>
        <v>0.71399991376093885</v>
      </c>
      <c r="O92" s="8">
        <f>IF(F92&gt;0, G92/F92, 0)</f>
        <v>0.81900016620141913</v>
      </c>
      <c r="P92" s="8" cm="1">
        <f t="array" aca="1" ref="P92" ca="1">IF(ROW()-2&gt;1, (L92/INDIRECT("L"&amp;ROW()-1))-1, "")</f>
        <v>-8.5714299472402167E-2</v>
      </c>
      <c r="Q92" s="8" cm="1">
        <f t="array" aca="1" ref="Q92" ca="1">IF(ROW()-2&gt;1, (M92/INDIRECT("M"&amp;ROW()-1))-1, "")</f>
        <v>-4.9505104880914308E-2</v>
      </c>
      <c r="R92" s="8" cm="1">
        <f t="array" aca="1" ref="R92" ca="1">IF(ROW()-2&gt;1, (N92/INDIRECT("N"&amp;ROW()-1))-1, "")</f>
        <v>4.9999800492939839E-2</v>
      </c>
      <c r="S92" s="8" cm="1">
        <f t="array" aca="1" ref="S92" ca="1">IF(ROW()-2&gt;1, (O92/INDIRECT("O"&amp;ROW()-1))-1, "")</f>
        <v>8.2474683919033787E-2</v>
      </c>
    </row>
    <row r="93" spans="2:19" x14ac:dyDescent="0.35">
      <c r="B93" s="3">
        <v>43556</v>
      </c>
      <c r="C93" s="4">
        <v>21065820</v>
      </c>
      <c r="D93" s="4">
        <v>5424448</v>
      </c>
      <c r="E93" s="4">
        <v>2278268</v>
      </c>
      <c r="F93" s="4">
        <v>1629873</v>
      </c>
      <c r="G93" s="4">
        <v>1363225</v>
      </c>
      <c r="H93" s="8">
        <f>IF(C93&gt;0, G93/C93, 0)</f>
        <v>6.4712648261496586E-2</v>
      </c>
      <c r="I93" s="8" cm="1">
        <f t="array" aca="1" ref="I93" ca="1">IF(ROW()-2&gt;7, (G93/INDIRECT("G"&amp;ROW()-7))-1, "")</f>
        <v>8.3129559033894296E-3</v>
      </c>
      <c r="J93" s="8" cm="1">
        <f t="array" aca="1" ref="J93" ca="1">IF(ROW()-2&gt;7, (C93/INDIRECT("C"&amp;ROW()-7))-1, "")</f>
        <v>-5.8252409823299045E-2</v>
      </c>
      <c r="K93" s="8" cm="1">
        <f t="array" aca="1" ref="K93" ca="1">IF(ROW()-2&gt;7, (H93/INDIRECT("H"&amp;ROW()-7))-1, "")</f>
        <v>7.068280972632901E-2</v>
      </c>
      <c r="L93" s="8">
        <f>IF(D93&gt;0, D93/C93, 0)</f>
        <v>0.25749996914432954</v>
      </c>
      <c r="M93" s="8">
        <f>IF(D93&gt;0, E93/D93, 0)</f>
        <v>0.41999997050391119</v>
      </c>
      <c r="N93" s="8">
        <f>IF(E93&gt;0, F93/E93, 0)</f>
        <v>0.71540003195409851</v>
      </c>
      <c r="O93" s="8">
        <f>IF(F93&gt;0, G93/F93, 0)</f>
        <v>0.8363995231530309</v>
      </c>
      <c r="P93" s="8" cm="1">
        <f t="array" aca="1" ref="P93" ca="1">IF(ROW()-2&gt;1, (L93/INDIRECT("L"&amp;ROW()-1))-1, "")</f>
        <v>0.27728159606803993</v>
      </c>
      <c r="Q93" s="8" cm="1">
        <f t="array" aca="1" ref="Q93" ca="1">IF(ROW()-2&gt;1, (M93/INDIRECT("M"&amp;ROW()-1))-1, "")</f>
        <v>0.28676499336056094</v>
      </c>
      <c r="R93" s="8" cm="1">
        <f t="array" aca="1" ref="R93" ca="1">IF(ROW()-2&gt;1, (N93/INDIRECT("N"&amp;ROW()-1))-1, "")</f>
        <v>1.9609500872130869E-3</v>
      </c>
      <c r="S93" s="8" cm="1">
        <f t="array" aca="1" ref="S93" ca="1">IF(ROW()-2&gt;1, (O93/INDIRECT("O"&amp;ROW()-1))-1, "")</f>
        <v>2.1244631771335509E-2</v>
      </c>
    </row>
    <row r="94" spans="2:19" x14ac:dyDescent="0.35">
      <c r="B94" s="3">
        <v>43557</v>
      </c>
      <c r="C94" s="4">
        <v>22803207</v>
      </c>
      <c r="D94" s="4">
        <v>5700801</v>
      </c>
      <c r="E94" s="4">
        <v>2257517</v>
      </c>
      <c r="F94" s="4">
        <v>1565588</v>
      </c>
      <c r="G94" s="4">
        <v>1309458</v>
      </c>
      <c r="H94" s="8">
        <f>IF(C94&gt;0, G94/C94, 0)</f>
        <v>5.7424291241139895E-2</v>
      </c>
      <c r="I94" s="8" cm="1">
        <f t="array" aca="1" ref="I94" ca="1">IF(ROW()-2&gt;7, (G94/INDIRECT("G"&amp;ROW()-7))-1, "")</f>
        <v>3.9878784124722788E-2</v>
      </c>
      <c r="J94" s="8" cm="1">
        <f t="array" aca="1" ref="J94" ca="1">IF(ROW()-2&gt;7, (C94/INDIRECT("C"&amp;ROW()-7))-1, "")</f>
        <v>9.3750020984576077E-2</v>
      </c>
      <c r="K94" s="8" cm="1">
        <f t="array" aca="1" ref="K94" ca="1">IF(ROW()-2&gt;7, (H94/INDIRECT("H"&amp;ROW()-7))-1, "")</f>
        <v>-4.9253701326889554E-2</v>
      </c>
      <c r="L94" s="8">
        <f>IF(D94&gt;0, D94/C94, 0)</f>
        <v>0.24999996710988942</v>
      </c>
      <c r="M94" s="8">
        <f>IF(D94&gt;0, E94/D94, 0)</f>
        <v>0.39599996561886652</v>
      </c>
      <c r="N94" s="8">
        <f>IF(E94&gt;0, F94/E94, 0)</f>
        <v>0.69349998250290035</v>
      </c>
      <c r="O94" s="8">
        <f>IF(F94&gt;0, G94/F94, 0)</f>
        <v>0.83640012570356947</v>
      </c>
      <c r="P94" s="8" cm="1">
        <f t="array" aca="1" ref="P94" ca="1">IF(ROW()-2&gt;1, (L94/INDIRECT("L"&amp;ROW()-1))-1, "")</f>
        <v>-2.9126224983104132E-2</v>
      </c>
      <c r="Q94" s="8" cm="1">
        <f t="array" aca="1" ref="Q94" ca="1">IF(ROW()-2&gt;1, (M94/INDIRECT("M"&amp;ROW()-1))-1, "")</f>
        <v>-5.7142872786990262E-2</v>
      </c>
      <c r="R94" s="8" cm="1">
        <f t="array" aca="1" ref="R94" ca="1">IF(ROW()-2&gt;1, (N94/INDIRECT("N"&amp;ROW()-1))-1, "")</f>
        <v>-3.0612312654472063E-2</v>
      </c>
      <c r="S94" s="8" cm="1">
        <f t="array" aca="1" ref="S94" ca="1">IF(ROW()-2&gt;1, (O94/INDIRECT("O"&amp;ROW()-1))-1, "")</f>
        <v>7.2040994991695584E-7</v>
      </c>
    </row>
    <row r="95" spans="2:19" x14ac:dyDescent="0.35">
      <c r="B95" s="3">
        <v>43558</v>
      </c>
      <c r="C95" s="4">
        <v>22368860</v>
      </c>
      <c r="D95" s="4">
        <v>5536293</v>
      </c>
      <c r="E95" s="4">
        <v>2303097</v>
      </c>
      <c r="F95" s="4">
        <v>1597198</v>
      </c>
      <c r="G95" s="4">
        <v>1335896</v>
      </c>
      <c r="H95" s="8">
        <f>IF(C95&gt;0, G95/C95, 0)</f>
        <v>5.9721237470304701E-2</v>
      </c>
      <c r="I95" s="8" cm="1">
        <f t="array" aca="1" ref="I95" ca="1">IF(ROW()-2&gt;7, (G95/INDIRECT("G"&amp;ROW()-7))-1, "")</f>
        <v>0.16161637241398497</v>
      </c>
      <c r="J95" s="8" cm="1">
        <f t="array" aca="1" ref="J95" ca="1">IF(ROW()-2&gt;7, (C95/INDIRECT("C"&amp;ROW()-7))-1, "")</f>
        <v>7.2916677658587448E-2</v>
      </c>
      <c r="K95" s="8" cm="1">
        <f t="array" aca="1" ref="K95" ca="1">IF(ROW()-2&gt;7, (H95/INDIRECT("H"&amp;ROW()-7))-1, "")</f>
        <v>8.267155931340886E-2</v>
      </c>
      <c r="L95" s="8">
        <f>IF(D95&gt;0, D95/C95, 0)</f>
        <v>0.24750000670575076</v>
      </c>
      <c r="M95" s="8">
        <f>IF(D95&gt;0, E95/D95, 0)</f>
        <v>0.41599983960386488</v>
      </c>
      <c r="N95" s="8">
        <f>IF(E95&gt;0, F95/E95, 0)</f>
        <v>0.69350010008262786</v>
      </c>
      <c r="O95" s="8">
        <f>IF(F95&gt;0, G95/F95, 0)</f>
        <v>0.83639974505352499</v>
      </c>
      <c r="P95" s="8" cm="1">
        <f t="array" aca="1" ref="P95" ca="1">IF(ROW()-2&gt;1, (L95/INDIRECT("L"&amp;ROW()-1))-1, "")</f>
        <v>-9.999842932138403E-3</v>
      </c>
      <c r="Q95" s="8" cm="1">
        <f t="array" aca="1" ref="Q95" ca="1">IF(ROW()-2&gt;1, (M95/INDIRECT("M"&amp;ROW()-1))-1, "")</f>
        <v>5.0504736670223371E-2</v>
      </c>
      <c r="R95" s="8" cm="1">
        <f t="array" aca="1" ref="R95" ca="1">IF(ROW()-2&gt;1, (N95/INDIRECT("N"&amp;ROW()-1))-1, "")</f>
        <v>1.6954539372449062E-7</v>
      </c>
      <c r="S95" s="8" cm="1">
        <f t="array" aca="1" ref="S95" ca="1">IF(ROW()-2&gt;1, (O95/INDIRECT("O"&amp;ROW()-1))-1, "")</f>
        <v>-4.5510519763869439E-7</v>
      </c>
    </row>
    <row r="96" spans="2:19" x14ac:dyDescent="0.35">
      <c r="B96" s="3">
        <v>43559</v>
      </c>
      <c r="C96" s="4">
        <v>22151687</v>
      </c>
      <c r="D96" s="4">
        <v>5814817</v>
      </c>
      <c r="E96" s="4">
        <v>1162963</v>
      </c>
      <c r="F96" s="4">
        <v>806515</v>
      </c>
      <c r="G96" s="4">
        <v>628275</v>
      </c>
      <c r="H96" s="8">
        <f>IF(C96&gt;0, G96/C96, 0)</f>
        <v>2.8362399667348135E-2</v>
      </c>
      <c r="I96" s="8" cm="1">
        <f t="array" aca="1" ref="I96" ca="1">IF(ROW()-2&gt;7, (G96/INDIRECT("G"&amp;ROW()-7))-1, "")</f>
        <v>-0.52087951809985289</v>
      </c>
      <c r="J96" s="8" cm="1">
        <f t="array" aca="1" ref="J96" ca="1">IF(ROW()-2&gt;7, (C96/INDIRECT("C"&amp;ROW()-7))-1, "")</f>
        <v>3.0303020437004058E-2</v>
      </c>
      <c r="K96" s="8" cm="1">
        <f t="array" aca="1" ref="K96" ca="1">IF(ROW()-2&gt;7, (H96/INDIRECT("H"&amp;ROW()-7))-1, "")</f>
        <v>-0.53497129252622422</v>
      </c>
      <c r="L96" s="8">
        <f>IF(D96&gt;0, D96/C96, 0)</f>
        <v>0.26249996219249577</v>
      </c>
      <c r="M96" s="8">
        <f>IF(D96&gt;0, E96/D96, 0)</f>
        <v>0.19999993121021695</v>
      </c>
      <c r="N96" s="8">
        <f>IF(E96&gt;0, F96/E96, 0)</f>
        <v>0.69350013714967718</v>
      </c>
      <c r="O96" s="8">
        <f>IF(F96&gt;0, G96/F96, 0)</f>
        <v>0.77899977061802939</v>
      </c>
      <c r="P96" s="8" cm="1">
        <f t="array" aca="1" ref="P96" ca="1">IF(ROW()-2&gt;1, (L96/INDIRECT("L"&amp;ROW()-1))-1, "")</f>
        <v>6.060587911247306E-2</v>
      </c>
      <c r="Q96" s="8" cm="1">
        <f t="array" aca="1" ref="Q96" ca="1">IF(ROW()-2&gt;1, (M96/INDIRECT("M"&amp;ROW()-1))-1, "")</f>
        <v>-0.51923074922176293</v>
      </c>
      <c r="R96" s="8" cm="1">
        <f t="array" aca="1" ref="R96" ca="1">IF(ROW()-2&gt;1, (N96/INDIRECT("N"&amp;ROW()-1))-1, "")</f>
        <v>5.344923437178295E-8</v>
      </c>
      <c r="S96" s="8" cm="1">
        <f t="array" aca="1" ref="S96" ca="1">IF(ROW()-2&gt;1, (O96/INDIRECT("O"&amp;ROW()-1))-1, "")</f>
        <v>-6.8627441334074391E-2</v>
      </c>
    </row>
    <row r="97" spans="2:19" x14ac:dyDescent="0.35">
      <c r="B97" s="3">
        <v>43560</v>
      </c>
      <c r="C97" s="4">
        <v>22586034</v>
      </c>
      <c r="D97" s="4">
        <v>5928833</v>
      </c>
      <c r="E97" s="4">
        <v>2418964</v>
      </c>
      <c r="F97" s="4">
        <v>1854136</v>
      </c>
      <c r="G97" s="4">
        <v>1566003</v>
      </c>
      <c r="H97" s="8">
        <f>IF(C97&gt;0, G97/C97, 0)</f>
        <v>6.9335014726357003E-2</v>
      </c>
      <c r="I97" s="8" cm="1">
        <f t="array" aca="1" ref="I97" ca="1">IF(ROW()-2&gt;7, (G97/INDIRECT("G"&amp;ROW()-7))-1, "")</f>
        <v>0.12652928215188264</v>
      </c>
      <c r="J97" s="8" cm="1">
        <f t="array" aca="1" ref="J97" ca="1">IF(ROW()-2&gt;7, (C97/INDIRECT("C"&amp;ROW()-7))-1, "")</f>
        <v>-9.5237919824172623E-3</v>
      </c>
      <c r="K97" s="8" cm="1">
        <f t="array" aca="1" ref="K97" ca="1">IF(ROW()-2&gt;7, (H97/INDIRECT("H"&amp;ROW()-7))-1, "")</f>
        <v>0.13736127433753009</v>
      </c>
      <c r="L97" s="8">
        <f>IF(D97&gt;0, D97/C97, 0)</f>
        <v>0.26249995904548801</v>
      </c>
      <c r="M97" s="8">
        <f>IF(D97&gt;0, E97/D97, 0)</f>
        <v>0.40800002293874699</v>
      </c>
      <c r="N97" s="8">
        <f>IF(E97&gt;0, F97/E97, 0)</f>
        <v>0.76650003885961093</v>
      </c>
      <c r="O97" s="8">
        <f>IF(F97&gt;0, G97/F97, 0)</f>
        <v>0.84459985675268701</v>
      </c>
      <c r="P97" s="8" cm="1">
        <f t="array" aca="1" ref="P97" ca="1">IF(ROW()-2&gt;1, (L97/INDIRECT("L"&amp;ROW()-1))-1, "")</f>
        <v>-1.1988602777179835E-8</v>
      </c>
      <c r="Q97" s="8" cm="1">
        <f t="array" aca="1" ref="Q97" ca="1">IF(ROW()-2&gt;1, (M97/INDIRECT("M"&amp;ROW()-1))-1, "")</f>
        <v>1.0400008163498029</v>
      </c>
      <c r="R97" s="8" cm="1">
        <f t="array" aca="1" ref="R97" ca="1">IF(ROW()-2&gt;1, (N97/INDIRECT("N"&amp;ROW()-1))-1, "")</f>
        <v>0.10526299534700501</v>
      </c>
      <c r="S97" s="8" cm="1">
        <f t="array" aca="1" ref="S97" ca="1">IF(ROW()-2&gt;1, (O97/INDIRECT("O"&amp;ROW()-1))-1, "")</f>
        <v>8.4210661683010501E-2</v>
      </c>
    </row>
    <row r="98" spans="2:19" x14ac:dyDescent="0.35">
      <c r="B98" s="3">
        <v>43561</v>
      </c>
      <c r="C98" s="4">
        <v>46685340</v>
      </c>
      <c r="D98" s="4">
        <v>9999999</v>
      </c>
      <c r="E98" s="4">
        <v>3434000</v>
      </c>
      <c r="F98" s="4">
        <v>2288417</v>
      </c>
      <c r="G98" s="4">
        <v>1856364</v>
      </c>
      <c r="H98" s="8">
        <f>IF(C98&gt;0, G98/C98, 0)</f>
        <v>3.9763317563929063E-2</v>
      </c>
      <c r="I98" s="8" cm="1">
        <f t="array" aca="1" ref="I98" ca="1">IF(ROW()-2&gt;7, (G98/INDIRECT("G"&amp;ROW()-7))-1, "")</f>
        <v>6.1529171460528609E-2</v>
      </c>
      <c r="J98" s="8" cm="1">
        <f t="array" aca="1" ref="J98" ca="1">IF(ROW()-2&gt;7, (C98/INDIRECT("C"&amp;ROW()-7))-1, "")</f>
        <v>4.0000000000000036E-2</v>
      </c>
      <c r="K98" s="8" cm="1">
        <f t="array" aca="1" ref="K98" ca="1">IF(ROW()-2&gt;7, (H98/INDIRECT("H"&amp;ROW()-7))-1, "")</f>
        <v>2.0701126404354619E-2</v>
      </c>
      <c r="L98" s="8">
        <f>IF(D98&gt;0, D98/C98, 0)</f>
        <v>0.2141999822642397</v>
      </c>
      <c r="M98" s="8">
        <f>IF(D98&gt;0, E98/D98, 0)</f>
        <v>0.34340003434000343</v>
      </c>
      <c r="N98" s="8">
        <f>IF(E98&gt;0, F98/E98, 0)</f>
        <v>0.66639982527664532</v>
      </c>
      <c r="O98" s="8">
        <f>IF(F98&gt;0, G98/F98, 0)</f>
        <v>0.81120005663303496</v>
      </c>
      <c r="P98" s="8" cm="1">
        <f t="array" aca="1" ref="P98" ca="1">IF(ROW()-2&gt;1, (L98/INDIRECT("L"&amp;ROW()-1))-1, "")</f>
        <v>-0.18399994025476596</v>
      </c>
      <c r="Q98" s="8" cm="1">
        <f t="array" aca="1" ref="Q98" ca="1">IF(ROW()-2&gt;1, (M98/INDIRECT("M"&amp;ROW()-1))-1, "")</f>
        <v>-0.15833329648719641</v>
      </c>
      <c r="R98" s="8" cm="1">
        <f t="array" aca="1" ref="R98" ca="1">IF(ROW()-2&gt;1, (N98/INDIRECT("N"&amp;ROW()-1))-1, "")</f>
        <v>-0.13059387933220912</v>
      </c>
      <c r="S98" s="8" cm="1">
        <f t="array" aca="1" ref="S98" ca="1">IF(ROW()-2&gt;1, (O98/INDIRECT("O"&amp;ROW()-1))-1, "")</f>
        <v>-3.9545116959961879E-2</v>
      </c>
    </row>
    <row r="99" spans="2:19" x14ac:dyDescent="0.35">
      <c r="B99" s="3">
        <v>43562</v>
      </c>
      <c r="C99" s="4">
        <v>43094160</v>
      </c>
      <c r="D99" s="4">
        <v>8687782</v>
      </c>
      <c r="E99" s="4">
        <v>2983384</v>
      </c>
      <c r="F99" s="4">
        <v>1947553</v>
      </c>
      <c r="G99" s="4">
        <v>1503900</v>
      </c>
      <c r="H99" s="8">
        <f>IF(C99&gt;0, G99/C99, 0)</f>
        <v>3.4898000100245602E-2</v>
      </c>
      <c r="I99" s="8" cm="1">
        <f t="array" aca="1" ref="I99" ca="1">IF(ROW()-2&gt;7, (G99/INDIRECT("G"&amp;ROW()-7))-1, "")</f>
        <v>-8.3514783877319365E-2</v>
      </c>
      <c r="J99" s="8" cm="1">
        <f t="array" aca="1" ref="J99" ca="1">IF(ROW()-2&gt;7, (C99/INDIRECT("C"&amp;ROW()-7))-1, "")</f>
        <v>1.0526303941424953E-2</v>
      </c>
      <c r="K99" s="8" cm="1">
        <f t="array" aca="1" ref="K99" ca="1">IF(ROW()-2&gt;7, (H99/INDIRECT("H"&amp;ROW()-7))-1, "")</f>
        <v>-9.306149424507737E-2</v>
      </c>
      <c r="L99" s="8">
        <f>IF(D99&gt;0, D99/C99, 0)</f>
        <v>0.20159998477751973</v>
      </c>
      <c r="M99" s="8">
        <f>IF(D99&gt;0, E99/D99, 0)</f>
        <v>0.3433999610027047</v>
      </c>
      <c r="N99" s="8">
        <f>IF(E99&gt;0, F99/E99, 0)</f>
        <v>0.6527999747937242</v>
      </c>
      <c r="O99" s="8">
        <f>IF(F99&gt;0, G99/F99, 0)</f>
        <v>0.77219978095589692</v>
      </c>
      <c r="P99" s="8" cm="1">
        <f t="array" aca="1" ref="P99" ca="1">IF(ROW()-2&gt;1, (L99/INDIRECT("L"&amp;ROW()-1))-1, "")</f>
        <v>-5.8823522549019014E-2</v>
      </c>
      <c r="Q99" s="8" cm="1">
        <f t="array" aca="1" ref="Q99" ca="1">IF(ROW()-2&gt;1, (M99/INDIRECT("M"&amp;ROW()-1))-1, "")</f>
        <v>-2.135622929611003E-7</v>
      </c>
      <c r="R99" s="8" cm="1">
        <f t="array" aca="1" ref="R99" ca="1">IF(ROW()-2&gt;1, (N99/INDIRECT("N"&amp;ROW()-1))-1, "")</f>
        <v>-2.0407944250698695E-2</v>
      </c>
      <c r="S99" s="8" cm="1">
        <f t="array" aca="1" ref="S99" ca="1">IF(ROW()-2&gt;1, (O99/INDIRECT("O"&amp;ROW()-1))-1, "")</f>
        <v>-4.8077259559143104E-2</v>
      </c>
    </row>
    <row r="100" spans="2:19" x14ac:dyDescent="0.35">
      <c r="B100" s="3">
        <v>43563</v>
      </c>
      <c r="C100" s="4">
        <v>21500167</v>
      </c>
      <c r="D100" s="4">
        <v>5536293</v>
      </c>
      <c r="E100" s="4">
        <v>2170226</v>
      </c>
      <c r="F100" s="4">
        <v>1520894</v>
      </c>
      <c r="G100" s="4">
        <v>1259605</v>
      </c>
      <c r="H100" s="8">
        <f>IF(C100&gt;0, G100/C100, 0)</f>
        <v>5.8585824007785614E-2</v>
      </c>
      <c r="I100" s="8" cm="1">
        <f t="array" aca="1" ref="I100" ca="1">IF(ROW()-2&gt;7, (G100/INDIRECT("G"&amp;ROW()-7))-1, "")</f>
        <v>-7.6010929963872487E-2</v>
      </c>
      <c r="J100" s="8" cm="1">
        <f t="array" aca="1" ref="J100" ca="1">IF(ROW()-2&gt;7, (C100/INDIRECT("C"&amp;ROW()-7))-1, "")</f>
        <v>2.0618565999329652E-2</v>
      </c>
      <c r="K100" s="8" cm="1">
        <f t="array" aca="1" ref="K100" ca="1">IF(ROW()-2&gt;7, (H100/INDIRECT("H"&amp;ROW()-7))-1, "")</f>
        <v>-9.46773840710885E-2</v>
      </c>
      <c r="L100" s="8">
        <f>IF(D100&gt;0, D100/C100, 0)</f>
        <v>0.25749999988372185</v>
      </c>
      <c r="M100" s="8">
        <f>IF(D100&gt;0, E100/D100, 0)</f>
        <v>0.39199984538390581</v>
      </c>
      <c r="N100" s="8">
        <f>IF(E100&gt;0, F100/E100, 0)</f>
        <v>0.70079982453440337</v>
      </c>
      <c r="O100" s="8">
        <f>IF(F100&gt;0, G100/F100, 0)</f>
        <v>0.82820038740372437</v>
      </c>
      <c r="P100" s="8" cm="1">
        <f t="array" aca="1" ref="P100" ca="1">IF(ROW()-2&gt;1, (L100/INDIRECT("L"&amp;ROW()-1))-1, "")</f>
        <v>0.2772818419003944</v>
      </c>
      <c r="Q100" s="8" cm="1">
        <f t="array" aca="1" ref="Q100" ca="1">IF(ROW()-2&gt;1, (M100/INDIRECT("M"&amp;ROW()-1))-1, "")</f>
        <v>0.14152559668117815</v>
      </c>
      <c r="R100" s="8" cm="1">
        <f t="array" aca="1" ref="R100" ca="1">IF(ROW()-2&gt;1, (N100/INDIRECT("N"&amp;ROW()-1))-1, "")</f>
        <v>7.3529184427199912E-2</v>
      </c>
      <c r="S100" s="8" cm="1">
        <f t="array" aca="1" ref="S100" ca="1">IF(ROW()-2&gt;1, (O100/INDIRECT("O"&amp;ROW()-1))-1, "")</f>
        <v>7.2520878442240644E-2</v>
      </c>
    </row>
    <row r="101" spans="2:19" x14ac:dyDescent="0.35">
      <c r="B101" s="3">
        <v>43564</v>
      </c>
      <c r="C101" s="4">
        <v>21717340</v>
      </c>
      <c r="D101" s="4">
        <v>5592215</v>
      </c>
      <c r="E101" s="4">
        <v>2214517</v>
      </c>
      <c r="F101" s="4">
        <v>1535767</v>
      </c>
      <c r="G101" s="4">
        <v>1322295</v>
      </c>
      <c r="H101" s="8">
        <f>IF(C101&gt;0, G101/C101, 0)</f>
        <v>6.088660029266936E-2</v>
      </c>
      <c r="I101" s="8" cm="1">
        <f t="array" aca="1" ref="I101" ca="1">IF(ROW()-2&gt;7, (G101/INDIRECT("G"&amp;ROW()-7))-1, "")</f>
        <v>9.8032926600166714E-3</v>
      </c>
      <c r="J101" s="8" cm="1">
        <f t="array" aca="1" ref="J101" ca="1">IF(ROW()-2&gt;7, (C101/INDIRECT("C"&amp;ROW()-7))-1, "")</f>
        <v>-4.7619047619047672E-2</v>
      </c>
      <c r="K101" s="8" cm="1">
        <f t="array" aca="1" ref="K101" ca="1">IF(ROW()-2&gt;7, (H101/INDIRECT("H"&amp;ROW()-7))-1, "")</f>
        <v>6.0293457293017383E-2</v>
      </c>
      <c r="L101" s="8">
        <f>IF(D101&gt;0, D101/C101, 0)</f>
        <v>0.25749999769769227</v>
      </c>
      <c r="M101" s="8">
        <f>IF(D101&gt;0, E101/D101, 0)</f>
        <v>0.39599997496519718</v>
      </c>
      <c r="N101" s="8">
        <f>IF(E101&gt;0, F101/E101, 0)</f>
        <v>0.69349975638028516</v>
      </c>
      <c r="O101" s="8">
        <f>IF(F101&gt;0, G101/F101, 0)</f>
        <v>0.86099974800864976</v>
      </c>
      <c r="P101" s="8" cm="1">
        <f t="array" aca="1" ref="P101" ca="1">IF(ROW()-2&gt;1, (L101/INDIRECT("L"&amp;ROW()-1))-1, "")</f>
        <v>-8.4894352658793082E-9</v>
      </c>
      <c r="Q101" s="8" cm="1">
        <f t="array" aca="1" ref="Q101" ca="1">IF(ROW()-2&gt;1, (M101/INDIRECT("M"&amp;ROW()-1))-1, "")</f>
        <v>1.0204416222087564E-2</v>
      </c>
      <c r="R101" s="8" cm="1">
        <f t="array" aca="1" ref="R101" ca="1">IF(ROW()-2&gt;1, (N101/INDIRECT("N"&amp;ROW()-1))-1, "")</f>
        <v>-1.0416766526687216E-2</v>
      </c>
      <c r="S101" s="8" cm="1">
        <f t="array" aca="1" ref="S101" ca="1">IF(ROW()-2&gt;1, (O101/INDIRECT("O"&amp;ROW()-1))-1, "")</f>
        <v>3.9603169841233798E-2</v>
      </c>
    </row>
    <row r="102" spans="2:19" x14ac:dyDescent="0.35">
      <c r="B102" s="3">
        <v>43565</v>
      </c>
      <c r="C102" s="4">
        <v>21500167</v>
      </c>
      <c r="D102" s="4">
        <v>5375041</v>
      </c>
      <c r="E102" s="4">
        <v>2064016</v>
      </c>
      <c r="F102" s="4">
        <v>1521799</v>
      </c>
      <c r="G102" s="4">
        <v>1210438</v>
      </c>
      <c r="H102" s="8">
        <f>IF(C102&gt;0, G102/C102, 0)</f>
        <v>5.6299004561220382E-2</v>
      </c>
      <c r="I102" s="8" cm="1">
        <f t="array" aca="1" ref="I102" ca="1">IF(ROW()-2&gt;7, (G102/INDIRECT("G"&amp;ROW()-7))-1, "")</f>
        <v>-9.3912999215507775E-2</v>
      </c>
      <c r="J102" s="8" cm="1">
        <f t="array" aca="1" ref="J102" ca="1">IF(ROW()-2&gt;7, (C102/INDIRECT("C"&amp;ROW()-7))-1, "")</f>
        <v>-3.8834924980530983E-2</v>
      </c>
      <c r="K102" s="8" cm="1">
        <f t="array" aca="1" ref="K102" ca="1">IF(ROW()-2&gt;7, (H102/INDIRECT("H"&amp;ROW()-7))-1, "")</f>
        <v>-5.7303449393291017E-2</v>
      </c>
      <c r="L102" s="8">
        <f>IF(D102&gt;0, D102/C102, 0)</f>
        <v>0.24999996511655004</v>
      </c>
      <c r="M102" s="8">
        <f>IF(D102&gt;0, E102/D102, 0)</f>
        <v>0.38400004762754369</v>
      </c>
      <c r="N102" s="8">
        <f>IF(E102&gt;0, F102/E102, 0)</f>
        <v>0.73730000155037556</v>
      </c>
      <c r="O102" s="8">
        <f>IF(F102&gt;0, G102/F102, 0)</f>
        <v>0.79539939242961788</v>
      </c>
      <c r="P102" s="8" cm="1">
        <f t="array" aca="1" ref="P102" ca="1">IF(ROW()-2&gt;1, (L102/INDIRECT("L"&amp;ROW()-1))-1, "")</f>
        <v>-2.9126340381359306E-2</v>
      </c>
      <c r="Q102" s="8" cm="1">
        <f t="array" aca="1" ref="Q102" ca="1">IF(ROW()-2&gt;1, (M102/INDIRECT("M"&amp;ROW()-1))-1, "")</f>
        <v>-3.030284872797806E-2</v>
      </c>
      <c r="R102" s="8" cm="1">
        <f t="array" aca="1" ref="R102" ca="1">IF(ROW()-2&gt;1, (N102/INDIRECT("N"&amp;ROW()-1))-1, "")</f>
        <v>6.3158270449445109E-2</v>
      </c>
      <c r="S102" s="8" cm="1">
        <f t="array" aca="1" ref="S102" ca="1">IF(ROW()-2&gt;1, (O102/INDIRECT("O"&amp;ROW()-1))-1, "")</f>
        <v>-7.619091147326662E-2</v>
      </c>
    </row>
    <row r="103" spans="2:19" x14ac:dyDescent="0.35">
      <c r="B103" s="3">
        <v>43566</v>
      </c>
      <c r="C103" s="4">
        <v>20631473</v>
      </c>
      <c r="D103" s="4">
        <v>5106289</v>
      </c>
      <c r="E103" s="4">
        <v>1981240</v>
      </c>
      <c r="F103" s="4">
        <v>1504157</v>
      </c>
      <c r="G103" s="4">
        <v>1208741</v>
      </c>
      <c r="H103" s="8">
        <f>IF(C103&gt;0, G103/C103, 0)</f>
        <v>5.8587237081908793E-2</v>
      </c>
      <c r="I103" s="8" cm="1">
        <f t="array" aca="1" ref="I103" ca="1">IF(ROW()-2&gt;7, (G103/INDIRECT("G"&amp;ROW()-7))-1, "")</f>
        <v>0.9239043412518404</v>
      </c>
      <c r="J103" s="8" cm="1">
        <f t="array" aca="1" ref="J103" ca="1">IF(ROW()-2&gt;7, (C103/INDIRECT("C"&amp;ROW()-7))-1, "")</f>
        <v>-6.8627459389436152E-2</v>
      </c>
      <c r="K103" s="8" cm="1">
        <f t="array" aca="1" ref="K103" ca="1">IF(ROW()-2&gt;7, (H103/INDIRECT("H"&amp;ROW()-7))-1, "")</f>
        <v>1.0656657324153227</v>
      </c>
      <c r="L103" s="8">
        <f>IF(D103&gt;0, D103/C103, 0)</f>
        <v>0.24749997249348119</v>
      </c>
      <c r="M103" s="8">
        <f>IF(D103&gt;0, E103/D103, 0)</f>
        <v>0.38799997414952425</v>
      </c>
      <c r="N103" s="8">
        <f>IF(E103&gt;0, F103/E103, 0)</f>
        <v>0.75919979406836124</v>
      </c>
      <c r="O103" s="8">
        <f>IF(F103&gt;0, G103/F103, 0)</f>
        <v>0.80360028906556957</v>
      </c>
      <c r="P103" s="8" cm="1">
        <f t="array" aca="1" ref="P103" ca="1">IF(ROW()-2&gt;1, (L103/INDIRECT("L"&amp;ROW()-1))-1, "")</f>
        <v>-9.9999718876094823E-3</v>
      </c>
      <c r="Q103" s="8" cm="1">
        <f t="array" aca="1" ref="Q103" ca="1">IF(ROW()-2&gt;1, (M103/INDIRECT("M"&amp;ROW()-1))-1, "")</f>
        <v>1.0416474025701783E-2</v>
      </c>
      <c r="R103" s="8" cm="1">
        <f t="array" aca="1" ref="R103" ca="1">IF(ROW()-2&gt;1, (N103/INDIRECT("N"&amp;ROW()-1))-1, "")</f>
        <v>2.9702688826712897E-2</v>
      </c>
      <c r="S103" s="8" cm="1">
        <f t="array" aca="1" ref="S103" ca="1">IF(ROW()-2&gt;1, (O103/INDIRECT("O"&amp;ROW()-1))-1, "")</f>
        <v>1.0310413502959026E-2</v>
      </c>
    </row>
    <row r="104" spans="2:19" x14ac:dyDescent="0.35">
      <c r="B104" s="3">
        <v>43567</v>
      </c>
      <c r="C104" s="4">
        <v>20631473</v>
      </c>
      <c r="D104" s="4">
        <v>5054710</v>
      </c>
      <c r="E104" s="4">
        <v>1920790</v>
      </c>
      <c r="F104" s="4">
        <v>1402176</v>
      </c>
      <c r="G104" s="4">
        <v>1138287</v>
      </c>
      <c r="H104" s="8">
        <f>IF(C104&gt;0, G104/C104, 0)</f>
        <v>5.5172357300906243E-2</v>
      </c>
      <c r="I104" s="8" cm="1">
        <f t="array" aca="1" ref="I104" ca="1">IF(ROW()-2&gt;7, (G104/INDIRECT("G"&amp;ROW()-7))-1, "")</f>
        <v>-0.27312591355188975</v>
      </c>
      <c r="J104" s="8" cm="1">
        <f t="array" aca="1" ref="J104" ca="1">IF(ROW()-2&gt;7, (C104/INDIRECT("C"&amp;ROW()-7))-1, "")</f>
        <v>-8.6538477715919493E-2</v>
      </c>
      <c r="K104" s="8" cm="1">
        <f t="array" aca="1" ref="K104" ca="1">IF(ROW()-2&gt;7, (H104/INDIRECT("H"&amp;ROW()-7))-1, "")</f>
        <v>-0.20426414390111858</v>
      </c>
      <c r="L104" s="8">
        <f>IF(D104&gt;0, D104/C104, 0)</f>
        <v>0.24499995710437156</v>
      </c>
      <c r="M104" s="8">
        <f>IF(D104&gt;0, E104/D104, 0)</f>
        <v>0.38000003956705725</v>
      </c>
      <c r="N104" s="8">
        <f>IF(E104&gt;0, F104/E104, 0)</f>
        <v>0.72999963556661585</v>
      </c>
      <c r="O104" s="8">
        <f>IF(F104&gt;0, G104/F104, 0)</f>
        <v>0.8118003731343284</v>
      </c>
      <c r="P104" s="8" cm="1">
        <f t="array" aca="1" ref="P104" ca="1">IF(ROW()-2&gt;1, (L104/INDIRECT("L"&amp;ROW()-1))-1, "")</f>
        <v>-1.0101073401838412E-2</v>
      </c>
      <c r="Q104" s="8" cm="1">
        <f t="array" aca="1" ref="Q104" ca="1">IF(ROW()-2&gt;1, (M104/INDIRECT("M"&amp;ROW()-1))-1, "")</f>
        <v>-2.061838947284067E-2</v>
      </c>
      <c r="R104" s="8" cm="1">
        <f t="array" aca="1" ref="R104" ca="1">IF(ROW()-2&gt;1, (N104/INDIRECT("N"&amp;ROW()-1))-1, "")</f>
        <v>-3.8461757668912244E-2</v>
      </c>
      <c r="S104" s="8" cm="1">
        <f t="array" aca="1" ref="S104" ca="1">IF(ROW()-2&gt;1, (O104/INDIRECT("O"&amp;ROW()-1))-1, "")</f>
        <v>1.020418257725364E-2</v>
      </c>
    </row>
    <row r="105" spans="2:19" x14ac:dyDescent="0.35">
      <c r="B105" s="3">
        <v>43568</v>
      </c>
      <c r="C105" s="4">
        <v>43094160</v>
      </c>
      <c r="D105" s="4">
        <v>9140271</v>
      </c>
      <c r="E105" s="4">
        <v>3107692</v>
      </c>
      <c r="F105" s="4">
        <v>2113230</v>
      </c>
      <c r="G105" s="4">
        <v>1598870</v>
      </c>
      <c r="H105" s="8">
        <f>IF(C105&gt;0, G105/C105, 0)</f>
        <v>3.7101778988150598E-2</v>
      </c>
      <c r="I105" s="8" cm="1">
        <f t="array" aca="1" ref="I105" ca="1">IF(ROW()-2&gt;7, (G105/INDIRECT("G"&amp;ROW()-7))-1, "")</f>
        <v>-0.13870878771620221</v>
      </c>
      <c r="J105" s="8" cm="1">
        <f t="array" aca="1" ref="J105" ca="1">IF(ROW()-2&gt;7, (C105/INDIRECT("C"&amp;ROW()-7))-1, "")</f>
        <v>-7.6923076923076872E-2</v>
      </c>
      <c r="K105" s="8" cm="1">
        <f t="array" aca="1" ref="K105" ca="1">IF(ROW()-2&gt;7, (H105/INDIRECT("H"&amp;ROW()-7))-1, "")</f>
        <v>-6.6934520025885735E-2</v>
      </c>
      <c r="L105" s="8">
        <f>IF(D105&gt;0, D105/C105, 0)</f>
        <v>0.21209999220311987</v>
      </c>
      <c r="M105" s="8">
        <f>IF(D105&gt;0, E105/D105, 0)</f>
        <v>0.3399999846831675</v>
      </c>
      <c r="N105" s="8">
        <f>IF(E105&gt;0, F105/E105, 0)</f>
        <v>0.67999981980196234</v>
      </c>
      <c r="O105" s="8">
        <f>IF(F105&gt;0, G105/F105, 0)</f>
        <v>0.75660008612408491</v>
      </c>
      <c r="P105" s="8" cm="1">
        <f t="array" aca="1" ref="P105" ca="1">IF(ROW()-2&gt;1, (L105/INDIRECT("L"&amp;ROW()-1))-1, "")</f>
        <v>-0.13428559453680267</v>
      </c>
      <c r="Q105" s="8" cm="1">
        <f t="array" aca="1" ref="Q105" ca="1">IF(ROW()-2&gt;1, (M105/INDIRECT("M"&amp;ROW()-1))-1, "")</f>
        <v>-0.10526329136560808</v>
      </c>
      <c r="R105" s="8" cm="1">
        <f t="array" aca="1" ref="R105" ca="1">IF(ROW()-2&gt;1, (N105/INDIRECT("N"&amp;ROW()-1))-1, "")</f>
        <v>-6.8492932501047488E-2</v>
      </c>
      <c r="S105" s="8" cm="1">
        <f t="array" aca="1" ref="S105" ca="1">IF(ROW()-2&gt;1, (O105/INDIRECT("O"&amp;ROW()-1))-1, "")</f>
        <v>-6.7997365900581475E-2</v>
      </c>
    </row>
    <row r="106" spans="2:19" x14ac:dyDescent="0.35">
      <c r="B106" s="3">
        <v>43569</v>
      </c>
      <c r="C106" s="4">
        <v>46685340</v>
      </c>
      <c r="D106" s="4">
        <v>9803921</v>
      </c>
      <c r="E106" s="4">
        <v>3466666</v>
      </c>
      <c r="F106" s="4">
        <v>2357333</v>
      </c>
      <c r="G106" s="4">
        <v>1930656</v>
      </c>
      <c r="H106" s="8">
        <f>IF(C106&gt;0, G106/C106, 0)</f>
        <v>4.1354652231300019E-2</v>
      </c>
      <c r="I106" s="8" cm="1">
        <f t="array" aca="1" ref="I106" ca="1">IF(ROW()-2&gt;7, (G106/INDIRECT("G"&amp;ROW()-7))-1, "")</f>
        <v>0.28376620785956508</v>
      </c>
      <c r="J106" s="8" cm="1">
        <f t="array" aca="1" ref="J106" ca="1">IF(ROW()-2&gt;7, (C106/INDIRECT("C"&amp;ROW()-7))-1, "")</f>
        <v>8.3333333333333259E-2</v>
      </c>
      <c r="K106" s="8" cm="1">
        <f t="array" aca="1" ref="K106" ca="1">IF(ROW()-2&gt;7, (H106/INDIRECT("H"&amp;ROW()-7))-1, "")</f>
        <v>0.18501496110113713</v>
      </c>
      <c r="L106" s="8">
        <f>IF(D106&gt;0, D106/C106, 0)</f>
        <v>0.20999999143199985</v>
      </c>
      <c r="M106" s="8">
        <f>IF(D106&gt;0, E106/D106, 0)</f>
        <v>0.35359995250879722</v>
      </c>
      <c r="N106" s="8">
        <f>IF(E106&gt;0, F106/E106, 0)</f>
        <v>0.68000003461539127</v>
      </c>
      <c r="O106" s="8">
        <f>IF(F106&gt;0, G106/F106, 0)</f>
        <v>0.81900011580883991</v>
      </c>
      <c r="P106" s="8" cm="1">
        <f t="array" aca="1" ref="P106" ca="1">IF(ROW()-2&gt;1, (L106/INDIRECT("L"&amp;ROW()-1))-1, "")</f>
        <v>-9.900994098617999E-3</v>
      </c>
      <c r="Q106" s="8" cm="1">
        <f t="array" aca="1" ref="Q106" ca="1">IF(ROW()-2&gt;1, (M106/INDIRECT("M"&amp;ROW()-1))-1, "")</f>
        <v>3.9999907171475391E-2</v>
      </c>
      <c r="R106" s="8" cm="1">
        <f t="array" aca="1" ref="R106" ca="1">IF(ROW()-2&gt;1, (N106/INDIRECT("N"&amp;ROW()-1))-1, "")</f>
        <v>3.1590218507737688E-7</v>
      </c>
      <c r="S106" s="8" cm="1">
        <f t="array" aca="1" ref="S106" ca="1">IF(ROW()-2&gt;1, (O106/INDIRECT("O"&amp;ROW()-1))-1, "")</f>
        <v>8.2474256650456157E-2</v>
      </c>
    </row>
    <row r="107" spans="2:19" x14ac:dyDescent="0.35">
      <c r="B107" s="3">
        <v>43570</v>
      </c>
      <c r="C107" s="4">
        <v>21065820</v>
      </c>
      <c r="D107" s="4">
        <v>5477113</v>
      </c>
      <c r="E107" s="4">
        <v>2256570</v>
      </c>
      <c r="F107" s="4">
        <v>1729661</v>
      </c>
      <c r="G107" s="4">
        <v>1418322</v>
      </c>
      <c r="H107" s="8">
        <f>IF(C107&gt;0, G107/C107, 0)</f>
        <v>6.732811730091684E-2</v>
      </c>
      <c r="I107" s="8" cm="1">
        <f t="array" aca="1" ref="I107" ca="1">IF(ROW()-2&gt;7, (G107/INDIRECT("G"&amp;ROW()-7))-1, "")</f>
        <v>0.12600537470079898</v>
      </c>
      <c r="J107" s="8" cm="1">
        <f t="array" aca="1" ref="J107" ca="1">IF(ROW()-2&gt;7, (C107/INDIRECT("C"&amp;ROW()-7))-1, "")</f>
        <v>-2.0202029128424948E-2</v>
      </c>
      <c r="K107" s="8" cm="1">
        <f t="array" aca="1" ref="K107" ca="1">IF(ROW()-2&gt;7, (H107/INDIRECT("H"&amp;ROW()-7))-1, "")</f>
        <v>0.14922199083466747</v>
      </c>
      <c r="L107" s="8">
        <f>IF(D107&gt;0, D107/C107, 0)</f>
        <v>0.25999999050594758</v>
      </c>
      <c r="M107" s="8">
        <f>IF(D107&gt;0, E107/D107, 0)</f>
        <v>0.41199989848666624</v>
      </c>
      <c r="N107" s="8">
        <f>IF(E107&gt;0, F107/E107, 0)</f>
        <v>0.76650004209929223</v>
      </c>
      <c r="O107" s="8">
        <f>IF(F107&gt;0, G107/F107, 0)</f>
        <v>0.81999998843704058</v>
      </c>
      <c r="P107" s="8" cm="1">
        <f t="array" aca="1" ref="P107" ca="1">IF(ROW()-2&gt;1, (L107/INDIRECT("L"&amp;ROW()-1))-1, "")</f>
        <v>0.23809524339975141</v>
      </c>
      <c r="Q107" s="8" cm="1">
        <f t="array" aca="1" ref="Q107" ca="1">IF(ROW()-2&gt;1, (M107/INDIRECT("M"&amp;ROW()-1))-1, "")</f>
        <v>0.16515824044522764</v>
      </c>
      <c r="R107" s="8" cm="1">
        <f t="array" aca="1" ref="R107" ca="1">IF(ROW()-2&gt;1, (N107/INDIRECT("N"&amp;ROW()-1))-1, "")</f>
        <v>0.12720588688326395</v>
      </c>
      <c r="S107" s="8" cm="1">
        <f t="array" aca="1" ref="S107" ca="1">IF(ROW()-2&gt;1, (O107/INDIRECT("O"&amp;ROW()-1))-1, "")</f>
        <v>1.2208455272477714E-3</v>
      </c>
    </row>
    <row r="108" spans="2:19" x14ac:dyDescent="0.35">
      <c r="B108" s="3">
        <v>43571</v>
      </c>
      <c r="C108" s="4">
        <v>22586034</v>
      </c>
      <c r="D108" s="4">
        <v>5872368</v>
      </c>
      <c r="E108" s="4">
        <v>2254989</v>
      </c>
      <c r="F108" s="4">
        <v>1596758</v>
      </c>
      <c r="G108" s="4">
        <v>1296248</v>
      </c>
      <c r="H108" s="8">
        <f>IF(C108&gt;0, G108/C108, 0)</f>
        <v>5.7391572154721807E-2</v>
      </c>
      <c r="I108" s="8" cm="1">
        <f t="array" aca="1" ref="I108" ca="1">IF(ROW()-2&gt;7, (G108/INDIRECT("G"&amp;ROW()-7))-1, "")</f>
        <v>-1.9698327529031001E-2</v>
      </c>
      <c r="J108" s="8" cm="1">
        <f t="array" aca="1" ref="J108" ca="1">IF(ROW()-2&gt;7, (C108/INDIRECT("C"&amp;ROW()-7))-1, "")</f>
        <v>4.0000018418461902E-2</v>
      </c>
      <c r="K108" s="8" cm="1">
        <f t="array" aca="1" ref="K108" ca="1">IF(ROW()-2&gt;7, (H108/INDIRECT("H"&amp;ROW()-7))-1, "")</f>
        <v>-5.7402254702145883E-2</v>
      </c>
      <c r="L108" s="8">
        <f>IF(D108&gt;0, D108/C108, 0)</f>
        <v>0.25999996280887561</v>
      </c>
      <c r="M108" s="8">
        <f>IF(D108&gt;0, E108/D108, 0)</f>
        <v>0.3839999468698147</v>
      </c>
      <c r="N108" s="8">
        <f>IF(E108&gt;0, F108/E108, 0)</f>
        <v>0.70810012820461654</v>
      </c>
      <c r="O108" s="8">
        <f>IF(F108&gt;0, G108/F108, 0)</f>
        <v>0.81179990956675963</v>
      </c>
      <c r="P108" s="8" cm="1">
        <f t="array" aca="1" ref="P108" ca="1">IF(ROW()-2&gt;1, (L108/INDIRECT("L"&amp;ROW()-1))-1, "")</f>
        <v>-1.065272037248377E-7</v>
      </c>
      <c r="Q108" s="8" cm="1">
        <f t="array" aca="1" ref="Q108" ca="1">IF(ROW()-2&gt;1, (M108/INDIRECT("M"&amp;ROW()-1))-1, "")</f>
        <v>-6.7961064358751822E-2</v>
      </c>
      <c r="R108" s="8" cm="1">
        <f t="array" aca="1" ref="R108" ca="1">IF(ROW()-2&gt;1, (N108/INDIRECT("N"&amp;ROW()-1))-1, "")</f>
        <v>-7.6190359670078922E-2</v>
      </c>
      <c r="S108" s="8" cm="1">
        <f t="array" aca="1" ref="S108" ca="1">IF(ROW()-2&gt;1, (O108/INDIRECT("O"&amp;ROW()-1))-1, "")</f>
        <v>-1.0000096324282559E-2</v>
      </c>
    </row>
    <row r="109" spans="2:19" x14ac:dyDescent="0.35">
      <c r="B109" s="3">
        <v>43572</v>
      </c>
      <c r="C109" s="4">
        <v>21934513</v>
      </c>
      <c r="D109" s="4">
        <v>5319119</v>
      </c>
      <c r="E109" s="4">
        <v>2191477</v>
      </c>
      <c r="F109" s="4">
        <v>1551785</v>
      </c>
      <c r="G109" s="4">
        <v>1336086</v>
      </c>
      <c r="H109" s="8">
        <f>IF(C109&gt;0, G109/C109, 0)</f>
        <v>6.0912498946295274E-2</v>
      </c>
      <c r="I109" s="8" cm="1">
        <f t="array" aca="1" ref="I109" ca="1">IF(ROW()-2&gt;7, (G109/INDIRECT("G"&amp;ROW()-7))-1, "")</f>
        <v>0.10380374707337348</v>
      </c>
      <c r="J109" s="8" cm="1">
        <f t="array" aca="1" ref="J109" ca="1">IF(ROW()-2&gt;7, (C109/INDIRECT("C"&amp;ROW()-7))-1, "")</f>
        <v>2.0201982617158221E-2</v>
      </c>
      <c r="K109" s="8" cm="1">
        <f t="array" aca="1" ref="K109" ca="1">IF(ROW()-2&gt;7, (H109/INDIRECT("H"&amp;ROW()-7))-1, "")</f>
        <v>8.1946286990884687E-2</v>
      </c>
      <c r="L109" s="8">
        <f>IF(D109&gt;0, D109/C109, 0)</f>
        <v>0.24249998164992312</v>
      </c>
      <c r="M109" s="8">
        <f>IF(D109&gt;0, E109/D109, 0)</f>
        <v>0.41199999473597038</v>
      </c>
      <c r="N109" s="8">
        <f>IF(E109&gt;0, F109/E109, 0)</f>
        <v>0.70810006219549648</v>
      </c>
      <c r="O109" s="8">
        <f>IF(F109&gt;0, G109/F109, 0)</f>
        <v>0.86099942968903553</v>
      </c>
      <c r="P109" s="8" cm="1">
        <f t="array" aca="1" ref="P109" ca="1">IF(ROW()-2&gt;1, (L109/INDIRECT("L"&amp;ROW()-1))-1, "")</f>
        <v>-6.73076294699958E-2</v>
      </c>
      <c r="Q109" s="8" cm="1">
        <f t="array" aca="1" ref="Q109" ca="1">IF(ROW()-2&gt;1, (M109/INDIRECT("M"&amp;ROW()-1))-1, "")</f>
        <v>7.2916801406871956E-2</v>
      </c>
      <c r="R109" s="8" cm="1">
        <f t="array" aca="1" ref="R109" ca="1">IF(ROW()-2&gt;1, (N109/INDIRECT("N"&amp;ROW()-1))-1, "")</f>
        <v>-9.3220036911922932E-8</v>
      </c>
      <c r="S109" s="8" cm="1">
        <f t="array" aca="1" ref="S109" ca="1">IF(ROW()-2&gt;1, (O109/INDIRECT("O"&amp;ROW()-1))-1, "")</f>
        <v>6.0605476229398159E-2</v>
      </c>
    </row>
    <row r="110" spans="2:19" x14ac:dyDescent="0.35">
      <c r="B110" s="3">
        <v>43573</v>
      </c>
      <c r="C110" s="4">
        <v>22803207</v>
      </c>
      <c r="D110" s="4">
        <v>5415761</v>
      </c>
      <c r="E110" s="4">
        <v>3639391</v>
      </c>
      <c r="F110" s="4">
        <v>2656756</v>
      </c>
      <c r="G110" s="4">
        <v>2091398</v>
      </c>
      <c r="H110" s="8">
        <f>IF(C110&gt;0, G110/C110, 0)</f>
        <v>9.1715082005789803E-2</v>
      </c>
      <c r="I110" s="8" cm="1">
        <f t="array" aca="1" ref="I110" ca="1">IF(ROW()-2&gt;7, (G110/INDIRECT("G"&amp;ROW()-7))-1, "")</f>
        <v>0.7302283946685022</v>
      </c>
      <c r="J110" s="8" cm="1">
        <f t="array" aca="1" ref="J110" ca="1">IF(ROW()-2&gt;7, (C110/INDIRECT("C"&amp;ROW()-7))-1, "")</f>
        <v>0.10526315789473695</v>
      </c>
      <c r="K110" s="8" cm="1">
        <f t="array" aca="1" ref="K110" ca="1">IF(ROW()-2&gt;7, (H110/INDIRECT("H"&amp;ROW()-7))-1, "")</f>
        <v>0.56544473803340667</v>
      </c>
      <c r="L110" s="8">
        <f>IF(D110&gt;0, D110/C110, 0)</f>
        <v>0.23749997094706898</v>
      </c>
      <c r="M110" s="8">
        <f>IF(D110&gt;0, E110/D110, 0)</f>
        <v>0.67199992761866711</v>
      </c>
      <c r="N110" s="8">
        <f>IF(E110&gt;0, F110/E110, 0)</f>
        <v>0.73000015661961026</v>
      </c>
      <c r="O110" s="8">
        <f>IF(F110&gt;0, G110/F110, 0)</f>
        <v>0.78719987834787986</v>
      </c>
      <c r="P110" s="8" cm="1">
        <f t="array" aca="1" ref="P110" ca="1">IF(ROW()-2&gt;1, (L110/INDIRECT("L"&amp;ROW()-1))-1, "")</f>
        <v>-2.061860239673019E-2</v>
      </c>
      <c r="Q110" s="8" cm="1">
        <f t="array" aca="1" ref="Q110" ca="1">IF(ROW()-2&gt;1, (M110/INDIRECT("M"&amp;ROW()-1))-1, "")</f>
        <v>0.63106780632198145</v>
      </c>
      <c r="R110" s="8" cm="1">
        <f t="array" aca="1" ref="R110" ca="1">IF(ROW()-2&gt;1, (N110/INDIRECT("N"&amp;ROW()-1))-1, "")</f>
        <v>3.0927965683566816E-2</v>
      </c>
      <c r="S110" s="8" cm="1">
        <f t="array" aca="1" ref="S110" ca="1">IF(ROW()-2&gt;1, (O110/INDIRECT("O"&amp;ROW()-1))-1, "")</f>
        <v>-8.5713821399172829E-2</v>
      </c>
    </row>
    <row r="111" spans="2:19" x14ac:dyDescent="0.35">
      <c r="B111" s="3">
        <v>43574</v>
      </c>
      <c r="C111" s="4">
        <v>22151687</v>
      </c>
      <c r="D111" s="4">
        <v>5537921</v>
      </c>
      <c r="E111" s="4">
        <v>2281623</v>
      </c>
      <c r="F111" s="4">
        <v>1748864</v>
      </c>
      <c r="G111" s="4">
        <v>1419728</v>
      </c>
      <c r="H111" s="8">
        <f>IF(C111&gt;0, G111/C111, 0)</f>
        <v>6.409119088762856E-2</v>
      </c>
      <c r="I111" s="8" cm="1">
        <f t="array" aca="1" ref="I111" ca="1">IF(ROW()-2&gt;7, (G111/INDIRECT("G"&amp;ROW()-7))-1, "")</f>
        <v>0.2472495952251057</v>
      </c>
      <c r="J111" s="8" cm="1">
        <f t="array" aca="1" ref="J111" ca="1">IF(ROW()-2&gt;7, (C111/INDIRECT("C"&amp;ROW()-7))-1, "")</f>
        <v>7.3684220220243013E-2</v>
      </c>
      <c r="K111" s="8" cm="1">
        <f t="array" aca="1" ref="K111" ca="1">IF(ROW()-2&gt;7, (H111/INDIRECT("H"&amp;ROW()-7))-1, "")</f>
        <v>0.16165402428030418</v>
      </c>
      <c r="L111" s="8">
        <f>IF(D111&gt;0, D111/C111, 0)</f>
        <v>0.24999996614253353</v>
      </c>
      <c r="M111" s="8">
        <f>IF(D111&gt;0, E111/D111, 0)</f>
        <v>0.41199991838092309</v>
      </c>
      <c r="N111" s="8">
        <f>IF(E111&gt;0, F111/E111, 0)</f>
        <v>0.76649998707060718</v>
      </c>
      <c r="O111" s="8">
        <f>IF(F111&gt;0, G111/F111, 0)</f>
        <v>0.81180011710458899</v>
      </c>
      <c r="P111" s="8" cm="1">
        <f t="array" aca="1" ref="P111" ca="1">IF(ROW()-2&gt;1, (L111/INDIRECT("L"&amp;ROW()-1))-1, "")</f>
        <v>5.2631565156066484E-2</v>
      </c>
      <c r="Q111" s="8" cm="1">
        <f t="array" aca="1" ref="Q111" ca="1">IF(ROW()-2&gt;1, (M111/INDIRECT("M"&amp;ROW()-1))-1, "")</f>
        <v>-0.38690481732504522</v>
      </c>
      <c r="R111" s="8" cm="1">
        <f t="array" aca="1" ref="R111" ca="1">IF(ROW()-2&gt;1, (N111/INDIRECT("N"&amp;ROW()-1))-1, "")</f>
        <v>4.9999757013773127E-2</v>
      </c>
      <c r="S111" s="8" cm="1">
        <f t="array" aca="1" ref="S111" ca="1">IF(ROW()-2&gt;1, (O111/INDIRECT("O"&amp;ROW()-1))-1, "")</f>
        <v>3.1250308128017545E-2</v>
      </c>
    </row>
    <row r="112" spans="2:19" x14ac:dyDescent="0.35">
      <c r="B112" s="3">
        <v>43575</v>
      </c>
      <c r="C112" s="4">
        <v>44440853</v>
      </c>
      <c r="D112" s="4">
        <v>9612556</v>
      </c>
      <c r="E112" s="4">
        <v>3300951</v>
      </c>
      <c r="F112" s="4">
        <v>2132414</v>
      </c>
      <c r="G112" s="4">
        <v>1596752</v>
      </c>
      <c r="H112" s="8">
        <f>IF(C112&gt;0, G112/C112, 0)</f>
        <v>3.5929823399204329E-2</v>
      </c>
      <c r="I112" s="8" cm="1">
        <f t="array" aca="1" ref="I112" ca="1">IF(ROW()-2&gt;7, (G112/INDIRECT("G"&amp;ROW()-7))-1, "")</f>
        <v>-1.3246855591761975E-3</v>
      </c>
      <c r="J112" s="8" cm="1">
        <f t="array" aca="1" ref="J112" ca="1">IF(ROW()-2&gt;7, (C112/INDIRECT("C"&amp;ROW()-7))-1, "")</f>
        <v>3.1250011602500294E-2</v>
      </c>
      <c r="K112" s="8" cm="1">
        <f t="array" aca="1" ref="K112" ca="1">IF(ROW()-2&gt;7, (H112/INDIRECT("H"&amp;ROW()-7))-1, "")</f>
        <v>-3.1587584771085031E-2</v>
      </c>
      <c r="L112" s="8">
        <f>IF(D112&gt;0, D112/C112, 0)</f>
        <v>0.21629998866133376</v>
      </c>
      <c r="M112" s="8">
        <f>IF(D112&gt;0, E112/D112, 0)</f>
        <v>0.34339992401604735</v>
      </c>
      <c r="N112" s="8">
        <f>IF(E112&gt;0, F112/E112, 0)</f>
        <v>0.64599989518172185</v>
      </c>
      <c r="O112" s="8">
        <f>IF(F112&gt;0, G112/F112, 0)</f>
        <v>0.74880018608018895</v>
      </c>
      <c r="P112" s="8" cm="1">
        <f t="array" aca="1" ref="P112" ca="1">IF(ROW()-2&gt;1, (L112/INDIRECT("L"&amp;ROW()-1))-1, "")</f>
        <v>-0.13479992818073527</v>
      </c>
      <c r="Q112" s="8" cm="1">
        <f t="array" aca="1" ref="Q112" ca="1">IF(ROW()-2&gt;1, (M112/INDIRECT("M"&amp;ROW()-1))-1, "")</f>
        <v>-0.16650487367681999</v>
      </c>
      <c r="R112" s="8" cm="1">
        <f t="array" aca="1" ref="R112" ca="1">IF(ROW()-2&gt;1, (N112/INDIRECT("N"&amp;ROW()-1))-1, "")</f>
        <v>-0.15720821124786954</v>
      </c>
      <c r="S112" s="8" cm="1">
        <f t="array" aca="1" ref="S112" ca="1">IF(ROW()-2&gt;1, (O112/INDIRECT("O"&amp;ROW()-1))-1, "")</f>
        <v>-7.760522534672587E-2</v>
      </c>
    </row>
    <row r="113" spans="2:19" x14ac:dyDescent="0.35">
      <c r="B113" s="3">
        <v>43576</v>
      </c>
      <c r="C113" s="4">
        <v>46685340</v>
      </c>
      <c r="D113" s="4">
        <v>10098039</v>
      </c>
      <c r="E113" s="4">
        <v>3536333</v>
      </c>
      <c r="F113" s="4">
        <v>2356612</v>
      </c>
      <c r="G113" s="4">
        <v>1930065</v>
      </c>
      <c r="H113" s="8">
        <f>IF(C113&gt;0, G113/C113, 0)</f>
        <v>4.1341993011082281E-2</v>
      </c>
      <c r="I113" s="8" cm="1">
        <f t="array" aca="1" ref="I113" ca="1">IF(ROW()-2&gt;7, (G113/INDIRECT("G"&amp;ROW()-7))-1, "")</f>
        <v>-3.0611356968823777E-4</v>
      </c>
      <c r="J113" s="8" cm="1">
        <f t="array" aca="1" ref="J113" ca="1">IF(ROW()-2&gt;7, (C113/INDIRECT("C"&amp;ROW()-7))-1, "")</f>
        <v>0</v>
      </c>
      <c r="K113" s="8" cm="1">
        <f t="array" aca="1" ref="K113" ca="1">IF(ROW()-2&gt;7, (H113/INDIRECT("H"&amp;ROW()-7))-1, "")</f>
        <v>-3.0611356968823777E-4</v>
      </c>
      <c r="L113" s="8">
        <f>IF(D113&gt;0, D113/C113, 0)</f>
        <v>0.21629999910035999</v>
      </c>
      <c r="M113" s="8">
        <f>IF(D113&gt;0, E113/D113, 0)</f>
        <v>0.35019997447029072</v>
      </c>
      <c r="N113" s="8">
        <f>IF(E113&gt;0, F113/E113, 0)</f>
        <v>0.66639991199923765</v>
      </c>
      <c r="O113" s="8">
        <f>IF(F113&gt;0, G113/F113, 0)</f>
        <v>0.81899990325093819</v>
      </c>
      <c r="P113" s="8" cm="1">
        <f t="array" aca="1" ref="P113" ca="1">IF(ROW()-2&gt;1, (L113/INDIRECT("L"&amp;ROW()-1))-1, "")</f>
        <v>4.8261797447324284E-8</v>
      </c>
      <c r="Q113" s="8" cm="1">
        <f t="array" aca="1" ref="Q113" ca="1">IF(ROW()-2&gt;1, (M113/INDIRECT("M"&amp;ROW()-1))-1, "")</f>
        <v>1.9802131505205489E-2</v>
      </c>
      <c r="R113" s="8" cm="1">
        <f t="array" aca="1" ref="R113" ca="1">IF(ROW()-2&gt;1, (N113/INDIRECT("N"&amp;ROW()-1))-1, "")</f>
        <v>3.157897852565017E-2</v>
      </c>
      <c r="S113" s="8" cm="1">
        <f t="array" aca="1" ref="S113" ca="1">IF(ROW()-2&gt;1, (O113/INDIRECT("O"&amp;ROW()-1))-1, "")</f>
        <v>9.3749598992796779E-2</v>
      </c>
    </row>
    <row r="114" spans="2:19" x14ac:dyDescent="0.35">
      <c r="B114" s="3">
        <v>43577</v>
      </c>
      <c r="C114" s="4">
        <v>20848646</v>
      </c>
      <c r="D114" s="4">
        <v>5368526</v>
      </c>
      <c r="E114" s="4">
        <v>2211832</v>
      </c>
      <c r="F114" s="4">
        <v>1695369</v>
      </c>
      <c r="G114" s="4">
        <v>1459713</v>
      </c>
      <c r="H114" s="8">
        <f>IF(C114&gt;0, G114/C114, 0)</f>
        <v>7.0014762589378707E-2</v>
      </c>
      <c r="I114" s="8" cm="1">
        <f t="array" aca="1" ref="I114" ca="1">IF(ROW()-2&gt;7, (G114/INDIRECT("G"&amp;ROW()-7))-1, "")</f>
        <v>2.9183076903552152E-2</v>
      </c>
      <c r="J114" s="8" cm="1">
        <f t="array" aca="1" ref="J114" ca="1">IF(ROW()-2&gt;7, (C114/INDIRECT("C"&amp;ROW()-7))-1, "")</f>
        <v>-1.030930673479602E-2</v>
      </c>
      <c r="K114" s="8" cm="1">
        <f t="array" aca="1" ref="K114" ca="1">IF(ROW()-2&gt;7, (H114/INDIRECT("H"&amp;ROW()-7))-1, "")</f>
        <v>3.9903763779018941E-2</v>
      </c>
      <c r="L114" s="8">
        <f>IF(D114&gt;0, D114/C114, 0)</f>
        <v>0.2574999834521628</v>
      </c>
      <c r="M114" s="8">
        <f>IF(D114&gt;0, E114/D114, 0)</f>
        <v>0.41199986737514172</v>
      </c>
      <c r="N114" s="8">
        <f>IF(E114&gt;0, F114/E114, 0)</f>
        <v>0.76649989691802989</v>
      </c>
      <c r="O114" s="8">
        <f>IF(F114&gt;0, G114/F114, 0)</f>
        <v>0.86100017164404918</v>
      </c>
      <c r="P114" s="8" cm="1">
        <f t="array" aca="1" ref="P114" ca="1">IF(ROW()-2&gt;1, (L114/INDIRECT("L"&amp;ROW()-1))-1, "")</f>
        <v>0.19047611892354488</v>
      </c>
      <c r="Q114" s="8" cm="1">
        <f t="array" aca="1" ref="Q114" ca="1">IF(ROW()-2&gt;1, (M114/INDIRECT("M"&amp;ROW()-1))-1, "")</f>
        <v>0.17647029528865321</v>
      </c>
      <c r="R114" s="8" cm="1">
        <f t="array" aca="1" ref="R114" ca="1">IF(ROW()-2&gt;1, (N114/INDIRECT("N"&amp;ROW()-1))-1, "")</f>
        <v>0.15021008123858626</v>
      </c>
      <c r="S114" s="8" cm="1">
        <f t="array" aca="1" ref="S114" ca="1">IF(ROW()-2&gt;1, (O114/INDIRECT("O"&amp;ROW()-1))-1, "")</f>
        <v>5.1282385048392776E-2</v>
      </c>
    </row>
    <row r="115" spans="2:19" x14ac:dyDescent="0.35">
      <c r="B115" s="3">
        <v>43578</v>
      </c>
      <c r="C115" s="4">
        <v>20631473</v>
      </c>
      <c r="D115" s="4">
        <v>4899974</v>
      </c>
      <c r="E115" s="4">
        <v>1881590</v>
      </c>
      <c r="F115" s="4">
        <v>1414767</v>
      </c>
      <c r="G115" s="4">
        <v>1148508</v>
      </c>
      <c r="H115" s="8">
        <f>IF(C115&gt;0, G115/C115, 0)</f>
        <v>5.5667765457173127E-2</v>
      </c>
      <c r="I115" s="8" cm="1">
        <f t="array" aca="1" ref="I115" ca="1">IF(ROW()-2&gt;7, (G115/INDIRECT("G"&amp;ROW()-7))-1, "")</f>
        <v>-0.11397510352957152</v>
      </c>
      <c r="J115" s="8" cm="1">
        <f t="array" aca="1" ref="J115" ca="1">IF(ROW()-2&gt;7, (C115/INDIRECT("C"&amp;ROW()-7))-1, "")</f>
        <v>-8.6538477715919493E-2</v>
      </c>
      <c r="K115" s="8" cm="1">
        <f t="array" aca="1" ref="K115" ca="1">IF(ROW()-2&gt;7, (H115/INDIRECT("H"&amp;ROW()-7))-1, "")</f>
        <v>-3.0035885633198478E-2</v>
      </c>
      <c r="L115" s="8">
        <f>IF(D115&gt;0, D115/C115, 0)</f>
        <v>0.23749995940667931</v>
      </c>
      <c r="M115" s="8">
        <f>IF(D115&gt;0, E115/D115, 0)</f>
        <v>0.38399999673467655</v>
      </c>
      <c r="N115" s="8">
        <f>IF(E115&gt;0, F115/E115, 0)</f>
        <v>0.75189972310652164</v>
      </c>
      <c r="O115" s="8">
        <f>IF(F115&gt;0, G115/F115, 0)</f>
        <v>0.81180010560042748</v>
      </c>
      <c r="P115" s="8" cm="1">
        <f t="array" aca="1" ref="P115" ca="1">IF(ROW()-2&gt;1, (L115/INDIRECT("L"&amp;ROW()-1))-1, "")</f>
        <v>-7.7670001284481649E-2</v>
      </c>
      <c r="Q115" s="8" cm="1">
        <f t="array" aca="1" ref="Q115" ca="1">IF(ROW()-2&gt;1, (M115/INDIRECT("M"&amp;ROW()-1))-1, "")</f>
        <v>-6.7960872946034701E-2</v>
      </c>
      <c r="R115" s="8" cm="1">
        <f t="array" aca="1" ref="R115" ca="1">IF(ROW()-2&gt;1, (N115/INDIRECT("N"&amp;ROW()-1))-1, "")</f>
        <v>-1.9047848369208031E-2</v>
      </c>
      <c r="S115" s="8" cm="1">
        <f t="array" aca="1" ref="S115" ca="1">IF(ROW()-2&gt;1, (O115/INDIRECT("O"&amp;ROW()-1))-1, "")</f>
        <v>-5.7142922456886347E-2</v>
      </c>
    </row>
    <row r="116" spans="2:19" x14ac:dyDescent="0.35">
      <c r="B116" s="3">
        <v>43579</v>
      </c>
      <c r="C116" s="4">
        <v>21717340</v>
      </c>
      <c r="D116" s="4">
        <v>5700801</v>
      </c>
      <c r="E116" s="4">
        <v>2325927</v>
      </c>
      <c r="F116" s="4">
        <v>1765843</v>
      </c>
      <c r="G116" s="4">
        <v>1476951</v>
      </c>
      <c r="H116" s="8">
        <f>IF(C116&gt;0, G116/C116, 0)</f>
        <v>6.8007914413091106E-2</v>
      </c>
      <c r="I116" s="8" cm="1">
        <f t="array" aca="1" ref="I116" ca="1">IF(ROW()-2&gt;7, (G116/INDIRECT("G"&amp;ROW()-7))-1, "")</f>
        <v>0.10543108751981545</v>
      </c>
      <c r="J116" s="8" cm="1">
        <f t="array" aca="1" ref="J116" ca="1">IF(ROW()-2&gt;7, (C116/INDIRECT("C"&amp;ROW()-7))-1, "")</f>
        <v>-9.9009720434640736E-3</v>
      </c>
      <c r="K116" s="8" cm="1">
        <f t="array" aca="1" ref="K116" ca="1">IF(ROW()-2&gt;7, (H116/INDIRECT("H"&amp;ROW()-7))-1, "")</f>
        <v>0.11648537803467307</v>
      </c>
      <c r="L116" s="8">
        <f>IF(D116&gt;0, D116/C116, 0)</f>
        <v>0.2624999654653839</v>
      </c>
      <c r="M116" s="8">
        <f>IF(D116&gt;0, E116/D116, 0)</f>
        <v>0.40800003367947768</v>
      </c>
      <c r="N116" s="8">
        <f>IF(E116&gt;0, F116/E116, 0)</f>
        <v>0.7591996653377342</v>
      </c>
      <c r="O116" s="8">
        <f>IF(F116&gt;0, G116/F116, 0)</f>
        <v>0.83639995175108994</v>
      </c>
      <c r="P116" s="8" cm="1">
        <f t="array" aca="1" ref="P116" ca="1">IF(ROW()-2&gt;1, (L116/INDIRECT("L"&amp;ROW()-1))-1, "")</f>
        <v>0.10526320139657885</v>
      </c>
      <c r="Q116" s="8" cm="1">
        <f t="array" aca="1" ref="Q116" ca="1">IF(ROW()-2&gt;1, (M116/INDIRECT("M"&amp;ROW()-1))-1, "")</f>
        <v>6.2500096741885836E-2</v>
      </c>
      <c r="R116" s="8" cm="1">
        <f t="array" aca="1" ref="R116" ca="1">IF(ROW()-2&gt;1, (N116/INDIRECT("N"&amp;ROW()-1))-1, "")</f>
        <v>9.7086646089619144E-3</v>
      </c>
      <c r="S116" s="8" cm="1">
        <f t="array" aca="1" ref="S116" ca="1">IF(ROW()-2&gt;1, (O116/INDIRECT("O"&amp;ROW()-1))-1, "")</f>
        <v>3.0302836844875447E-2</v>
      </c>
    </row>
    <row r="117" spans="2:19" x14ac:dyDescent="0.35">
      <c r="B117" s="3">
        <v>43580</v>
      </c>
      <c r="C117" s="4">
        <v>22803207</v>
      </c>
      <c r="D117" s="4">
        <v>5700801</v>
      </c>
      <c r="E117" s="4">
        <v>2189107</v>
      </c>
      <c r="F117" s="4">
        <v>1518146</v>
      </c>
      <c r="G117" s="4">
        <v>1282226</v>
      </c>
      <c r="H117" s="8">
        <f>IF(C117&gt;0, G117/C117, 0)</f>
        <v>5.6230073252415767E-2</v>
      </c>
      <c r="I117" s="8" cm="1">
        <f t="array" aca="1" ref="I117" ca="1">IF(ROW()-2&gt;7, (G117/INDIRECT("G"&amp;ROW()-7))-1, "")</f>
        <v>-0.38690483590402214</v>
      </c>
      <c r="J117" s="8" cm="1">
        <f t="array" aca="1" ref="J117" ca="1">IF(ROW()-2&gt;7, (C117/INDIRECT("C"&amp;ROW()-7))-1, "")</f>
        <v>0</v>
      </c>
      <c r="K117" s="8" cm="1">
        <f t="array" aca="1" ref="K117" ca="1">IF(ROW()-2&gt;7, (H117/INDIRECT("H"&amp;ROW()-7))-1, "")</f>
        <v>-0.38690483590402214</v>
      </c>
      <c r="L117" s="8">
        <f>IF(D117&gt;0, D117/C117, 0)</f>
        <v>0.24999996710988942</v>
      </c>
      <c r="M117" s="8">
        <f>IF(D117&gt;0, E117/D117, 0)</f>
        <v>0.38399989755825542</v>
      </c>
      <c r="N117" s="8">
        <f>IF(E117&gt;0, F117/E117, 0)</f>
        <v>0.69350013498654928</v>
      </c>
      <c r="O117" s="8">
        <f>IF(F117&gt;0, G117/F117, 0)</f>
        <v>0.84459992648928361</v>
      </c>
      <c r="P117" s="8" cm="1">
        <f t="array" aca="1" ref="P117" ca="1">IF(ROW()-2&gt;1, (L117/INDIRECT("L"&amp;ROW()-1))-1, "")</f>
        <v>-4.7619047619047672E-2</v>
      </c>
      <c r="Q117" s="8" cm="1">
        <f t="array" aca="1" ref="Q117" ca="1">IF(ROW()-2&gt;1, (M117/INDIRECT("M"&amp;ROW()-1))-1, "")</f>
        <v>-5.8823858186434874E-2</v>
      </c>
      <c r="R117" s="8" cm="1">
        <f t="array" aca="1" ref="R117" ca="1">IF(ROW()-2&gt;1, (N117/INDIRECT("N"&amp;ROW()-1))-1, "")</f>
        <v>-8.6537881075010925E-2</v>
      </c>
      <c r="S117" s="8" cm="1">
        <f t="array" aca="1" ref="S117" ca="1">IF(ROW()-2&gt;1, (O117/INDIRECT("O"&amp;ROW()-1))-1, "")</f>
        <v>9.8038919311582706E-3</v>
      </c>
    </row>
    <row r="118" spans="2:19" x14ac:dyDescent="0.35">
      <c r="B118" s="3">
        <v>43581</v>
      </c>
      <c r="C118" s="4">
        <v>22151687</v>
      </c>
      <c r="D118" s="4">
        <v>5759438</v>
      </c>
      <c r="E118" s="4">
        <v>2188586</v>
      </c>
      <c r="F118" s="4">
        <v>1533761</v>
      </c>
      <c r="G118" s="4">
        <v>1307991</v>
      </c>
      <c r="H118" s="8">
        <f>IF(C118&gt;0, G118/C118, 0)</f>
        <v>5.9047015245385151E-2</v>
      </c>
      <c r="I118" s="8" cm="1">
        <f t="array" aca="1" ref="I118" ca="1">IF(ROW()-2&gt;7, (G118/INDIRECT("G"&amp;ROW()-7))-1, "")</f>
        <v>-7.8703103693101739E-2</v>
      </c>
      <c r="J118" s="8" cm="1">
        <f t="array" aca="1" ref="J118" ca="1">IF(ROW()-2&gt;7, (C118/INDIRECT("C"&amp;ROW()-7))-1, "")</f>
        <v>0</v>
      </c>
      <c r="K118" s="8" cm="1">
        <f t="array" aca="1" ref="K118" ca="1">IF(ROW()-2&gt;7, (H118/INDIRECT("H"&amp;ROW()-7))-1, "")</f>
        <v>-7.8703103693101739E-2</v>
      </c>
      <c r="L118" s="8">
        <f>IF(D118&gt;0, D118/C118, 0)</f>
        <v>0.25999997201116104</v>
      </c>
      <c r="M118" s="8">
        <f>IF(D118&gt;0, E118/D118, 0)</f>
        <v>0.37999992360365714</v>
      </c>
      <c r="N118" s="8">
        <f>IF(E118&gt;0, F118/E118, 0)</f>
        <v>0.70079996856417792</v>
      </c>
      <c r="O118" s="8">
        <f>IF(F118&gt;0, G118/F118, 0)</f>
        <v>0.85279975172142208</v>
      </c>
      <c r="P118" s="8" cm="1">
        <f t="array" aca="1" ref="P118" ca="1">IF(ROW()-2&gt;1, (L118/INDIRECT("L"&amp;ROW()-1))-1, "")</f>
        <v>4.0000024867507422E-2</v>
      </c>
      <c r="Q118" s="8" cm="1">
        <f t="array" aca="1" ref="Q118" ca="1">IF(ROW()-2&gt;1, (M118/INDIRECT("M"&amp;ROW()-1))-1, "")</f>
        <v>-1.0416601618992494E-2</v>
      </c>
      <c r="R118" s="8" cm="1">
        <f t="array" aca="1" ref="R118" ca="1">IF(ROW()-2&gt;1, (N118/INDIRECT("N"&amp;ROW()-1))-1, "")</f>
        <v>1.0526073766042199E-2</v>
      </c>
      <c r="S118" s="8" cm="1">
        <f t="array" aca="1" ref="S118" ca="1">IF(ROW()-2&gt;1, (O118/INDIRECT("O"&amp;ROW()-1))-1, "")</f>
        <v>9.7085317852469988E-3</v>
      </c>
    </row>
    <row r="119" spans="2:19" x14ac:dyDescent="0.35">
      <c r="B119" s="3">
        <v>43582</v>
      </c>
      <c r="C119" s="4">
        <v>47134238</v>
      </c>
      <c r="D119" s="4">
        <v>9997171</v>
      </c>
      <c r="E119" s="4">
        <v>3297067</v>
      </c>
      <c r="F119" s="4">
        <v>2354106</v>
      </c>
      <c r="G119" s="4">
        <v>1744392</v>
      </c>
      <c r="H119" s="8">
        <f>IF(C119&gt;0, G119/C119, 0)</f>
        <v>3.7009020915963468E-2</v>
      </c>
      <c r="I119" s="8" cm="1">
        <f t="array" aca="1" ref="I119" ca="1">IF(ROW()-2&gt;7, (G119/INDIRECT("G"&amp;ROW()-7))-1, "")</f>
        <v>9.246269927953743E-2</v>
      </c>
      <c r="J119" s="8" cm="1">
        <f t="array" aca="1" ref="J119" ca="1">IF(ROW()-2&gt;7, (C119/INDIRECT("C"&amp;ROW()-7))-1, "")</f>
        <v>6.0606059924187328E-2</v>
      </c>
      <c r="K119" s="8" cm="1">
        <f t="array" aca="1" ref="K119" ca="1">IF(ROW()-2&gt;7, (H119/INDIRECT("H"&amp;ROW()-7))-1, "")</f>
        <v>3.0036259982926472E-2</v>
      </c>
      <c r="L119" s="8">
        <f>IF(D119&gt;0, D119/C119, 0)</f>
        <v>0.21209998133416308</v>
      </c>
      <c r="M119" s="8">
        <f>IF(D119&gt;0, E119/D119, 0)</f>
        <v>0.32980000042011887</v>
      </c>
      <c r="N119" s="8">
        <f>IF(E119&gt;0, F119/E119, 0)</f>
        <v>0.71400004913457926</v>
      </c>
      <c r="O119" s="8">
        <f>IF(F119&gt;0, G119/F119, 0)</f>
        <v>0.74099976806481949</v>
      </c>
      <c r="P119" s="8" cm="1">
        <f t="array" aca="1" ref="P119" ca="1">IF(ROW()-2&gt;1, (L119/INDIRECT("L"&amp;ROW()-1))-1, "")</f>
        <v>-0.1842307532053955</v>
      </c>
      <c r="Q119" s="8" cm="1">
        <f t="array" aca="1" ref="Q119" ca="1">IF(ROW()-2&gt;1, (M119/INDIRECT("M"&amp;ROW()-1))-1, "")</f>
        <v>-0.13210508756811534</v>
      </c>
      <c r="R119" s="8" cm="1">
        <f t="array" aca="1" ref="R119" ca="1">IF(ROW()-2&gt;1, (N119/INDIRECT("N"&amp;ROW()-1))-1, "")</f>
        <v>1.8835732252451498E-2</v>
      </c>
      <c r="S119" s="8" cm="1">
        <f t="array" aca="1" ref="S119" ca="1">IF(ROW()-2&gt;1, (O119/INDIRECT("O"&amp;ROW()-1))-1, "")</f>
        <v>-0.13109757997809957</v>
      </c>
    </row>
    <row r="120" spans="2:19" x14ac:dyDescent="0.35">
      <c r="B120" s="3">
        <v>43583</v>
      </c>
      <c r="C120" s="4">
        <v>46236443</v>
      </c>
      <c r="D120" s="4">
        <v>9224170</v>
      </c>
      <c r="E120" s="4">
        <v>3261666</v>
      </c>
      <c r="F120" s="4">
        <v>2151395</v>
      </c>
      <c r="G120" s="4">
        <v>1644526</v>
      </c>
      <c r="H120" s="8">
        <f>IF(C120&gt;0, G120/C120, 0)</f>
        <v>3.5567744690048933E-2</v>
      </c>
      <c r="I120" s="8" cm="1">
        <f t="array" aca="1" ref="I120" ca="1">IF(ROW()-2&gt;7, (G120/INDIRECT("G"&amp;ROW()-7))-1, "")</f>
        <v>-0.14794268586809256</v>
      </c>
      <c r="J120" s="8" cm="1">
        <f t="array" aca="1" ref="J120" ca="1">IF(ROW()-2&gt;7, (C120/INDIRECT("C"&amp;ROW()-7))-1, "")</f>
        <v>-9.6153739053844722E-3</v>
      </c>
      <c r="K120" s="8" cm="1">
        <f t="array" aca="1" ref="K120" ca="1">IF(ROW()-2&gt;7, (H120/INDIRECT("H"&amp;ROW()-7))-1, "")</f>
        <v>-0.13967029406360465</v>
      </c>
      <c r="L120" s="8">
        <f>IF(D120&gt;0, D120/C120, 0)</f>
        <v>0.19949999181381664</v>
      </c>
      <c r="M120" s="8">
        <f>IF(D120&gt;0, E120/D120, 0)</f>
        <v>0.3535999444936509</v>
      </c>
      <c r="N120" s="8">
        <f>IF(E120&gt;0, F120/E120, 0)</f>
        <v>0.65960003262136591</v>
      </c>
      <c r="O120" s="8">
        <f>IF(F120&gt;0, G120/F120, 0)</f>
        <v>0.76439984289263474</v>
      </c>
      <c r="P120" s="8" cm="1">
        <f t="array" aca="1" ref="P120" ca="1">IF(ROW()-2&gt;1, (L120/INDIRECT("L"&amp;ROW()-1))-1, "")</f>
        <v>-5.9405896413046722E-2</v>
      </c>
      <c r="Q120" s="8" cm="1">
        <f t="array" aca="1" ref="Q120" ca="1">IF(ROW()-2&gt;1, (M120/INDIRECT("M"&amp;ROW()-1))-1, "")</f>
        <v>7.2164778784761241E-2</v>
      </c>
      <c r="R120" s="8" cm="1">
        <f t="array" aca="1" ref="R120" ca="1">IF(ROW()-2&gt;1, (N120/INDIRECT("N"&amp;ROW()-1))-1, "")</f>
        <v>-7.6190494075105697E-2</v>
      </c>
      <c r="S120" s="8" cm="1">
        <f t="array" aca="1" ref="S120" ca="1">IF(ROW()-2&gt;1, (O120/INDIRECT("O"&amp;ROW()-1))-1, "")</f>
        <v>3.1579058234965984E-2</v>
      </c>
    </row>
    <row r="121" spans="2:19" x14ac:dyDescent="0.35">
      <c r="B121" s="3">
        <v>43584</v>
      </c>
      <c r="C121" s="4">
        <v>20631473</v>
      </c>
      <c r="D121" s="4">
        <v>5209447</v>
      </c>
      <c r="E121" s="4">
        <v>2062941</v>
      </c>
      <c r="F121" s="4">
        <v>1475828</v>
      </c>
      <c r="G121" s="4">
        <v>1210178</v>
      </c>
      <c r="H121" s="8">
        <f>IF(C121&gt;0, G121/C121, 0)</f>
        <v>5.8656887949784291E-2</v>
      </c>
      <c r="I121" s="8" cm="1">
        <f t="array" aca="1" ref="I121" ca="1">IF(ROW()-2&gt;7, (G121/INDIRECT("G"&amp;ROW()-7))-1, "")</f>
        <v>-0.17094798772087394</v>
      </c>
      <c r="J121" s="8" cm="1">
        <f t="array" aca="1" ref="J121" ca="1">IF(ROW()-2&gt;7, (C121/INDIRECT("C"&amp;ROW()-7))-1, "")</f>
        <v>-1.041664768062156E-2</v>
      </c>
      <c r="K121" s="8" cm="1">
        <f t="array" aca="1" ref="K121" ca="1">IF(ROW()-2&gt;7, (H121/INDIRECT("H"&amp;ROW()-7))-1, "")</f>
        <v>-0.16222114050726522</v>
      </c>
      <c r="L121" s="8">
        <f>IF(D121&gt;0, D121/C121, 0)</f>
        <v>0.25250000327170047</v>
      </c>
      <c r="M121" s="8">
        <f>IF(D121&gt;0, E121/D121, 0)</f>
        <v>0.39599999769649252</v>
      </c>
      <c r="N121" s="8">
        <f>IF(E121&gt;0, F121/E121, 0)</f>
        <v>0.71540000416880556</v>
      </c>
      <c r="O121" s="8">
        <f>IF(F121&gt;0, G121/F121, 0)</f>
        <v>0.81999934951769449</v>
      </c>
      <c r="P121" s="8" cm="1">
        <f t="array" aca="1" ref="P121" ca="1">IF(ROW()-2&gt;1, (L121/INDIRECT("L"&amp;ROW()-1))-1, "")</f>
        <v>0.2656642287351374</v>
      </c>
      <c r="Q121" s="8" cm="1">
        <f t="array" aca="1" ref="Q121" ca="1">IF(ROW()-2&gt;1, (M121/INDIRECT("M"&amp;ROW()-1))-1, "")</f>
        <v>0.11990967154578547</v>
      </c>
      <c r="R121" s="8" cm="1">
        <f t="array" aca="1" ref="R121" ca="1">IF(ROW()-2&gt;1, (N121/INDIRECT("N"&amp;ROW()-1))-1, "")</f>
        <v>8.4596677968132861E-2</v>
      </c>
      <c r="S121" s="8" cm="1">
        <f t="array" aca="1" ref="S121" ca="1">IF(ROW()-2&gt;1, (O121/INDIRECT("O"&amp;ROW()-1))-1, "")</f>
        <v>7.2736156531195251E-2</v>
      </c>
    </row>
    <row r="122" spans="2:19" x14ac:dyDescent="0.35">
      <c r="B122" s="3">
        <v>43585</v>
      </c>
      <c r="C122" s="4">
        <v>21065820</v>
      </c>
      <c r="D122" s="4">
        <v>5319119</v>
      </c>
      <c r="E122" s="4">
        <v>2148924</v>
      </c>
      <c r="F122" s="4">
        <v>1490279</v>
      </c>
      <c r="G122" s="4">
        <v>1246469</v>
      </c>
      <c r="H122" s="8">
        <f>IF(C122&gt;0, G122/C122, 0)</f>
        <v>5.9170210321743945E-2</v>
      </c>
      <c r="I122" s="8" cm="1">
        <f t="array" aca="1" ref="I122" ca="1">IF(ROW()-2&gt;7, (G122/INDIRECT("G"&amp;ROW()-7))-1, "")</f>
        <v>8.5294138133996444E-2</v>
      </c>
      <c r="J122" s="8" cm="1">
        <f t="array" aca="1" ref="J122" ca="1">IF(ROW()-2&gt;7, (C122/INDIRECT("C"&amp;ROW()-7))-1, "")</f>
        <v>2.105264127287465E-2</v>
      </c>
      <c r="K122" s="8" cm="1">
        <f t="array" aca="1" ref="K122" ca="1">IF(ROW()-2&gt;7, (H122/INDIRECT("H"&amp;ROW()-7))-1, "")</f>
        <v>6.2916929318195036E-2</v>
      </c>
      <c r="L122" s="8">
        <f>IF(D122&gt;0, D122/C122, 0)</f>
        <v>0.25249997389135576</v>
      </c>
      <c r="M122" s="8">
        <f>IF(D122&gt;0, E122/D122, 0)</f>
        <v>0.40399998571191958</v>
      </c>
      <c r="N122" s="8">
        <f>IF(E122&gt;0, F122/E122, 0)</f>
        <v>0.69350009586192907</v>
      </c>
      <c r="O122" s="8">
        <f>IF(F122&gt;0, G122/F122, 0)</f>
        <v>0.83639976138696182</v>
      </c>
      <c r="P122" s="8" cm="1">
        <f t="array" aca="1" ref="P122" ca="1">IF(ROW()-2&gt;1, (L122/INDIRECT("L"&amp;ROW()-1))-1, "")</f>
        <v>-1.1635779928464984E-7</v>
      </c>
      <c r="Q122" s="8" cm="1">
        <f t="array" aca="1" ref="Q122" ca="1">IF(ROW()-2&gt;1, (M122/INDIRECT("M"&amp;ROW()-1))-1, "")</f>
        <v>2.0201990055460861E-2</v>
      </c>
      <c r="R122" s="8" cm="1">
        <f t="array" aca="1" ref="R122" ca="1">IF(ROW()-2&gt;1, (N122/INDIRECT("N"&amp;ROW()-1))-1, "")</f>
        <v>-3.0612116549148083E-2</v>
      </c>
      <c r="S122" s="8" cm="1">
        <f t="array" aca="1" ref="S122" ca="1">IF(ROW()-2&gt;1, (O122/INDIRECT("O"&amp;ROW()-1))-1, "")</f>
        <v>2.0000518145427471E-2</v>
      </c>
    </row>
    <row r="123" spans="2:19" x14ac:dyDescent="0.35">
      <c r="B123" s="3">
        <v>43586</v>
      </c>
      <c r="C123" s="4">
        <v>22803207</v>
      </c>
      <c r="D123" s="4">
        <v>5529777</v>
      </c>
      <c r="E123" s="4">
        <v>2278268</v>
      </c>
      <c r="F123" s="4">
        <v>1696398</v>
      </c>
      <c r="G123" s="4">
        <v>1460599</v>
      </c>
      <c r="H123" s="8">
        <f>IF(C123&gt;0, G123/C123, 0)</f>
        <v>6.4052350180393486E-2</v>
      </c>
      <c r="I123" s="8" cm="1">
        <f t="array" aca="1" ref="I123" ca="1">IF(ROW()-2&gt;7, (G123/INDIRECT("G"&amp;ROW()-7))-1, "")</f>
        <v>-1.1071457346926161E-2</v>
      </c>
      <c r="J123" s="8" cm="1">
        <f t="array" aca="1" ref="J123" ca="1">IF(ROW()-2&gt;7, (C123/INDIRECT("C"&amp;ROW()-7))-1, "")</f>
        <v>5.0000000000000044E-2</v>
      </c>
      <c r="K123" s="8" cm="1">
        <f t="array" aca="1" ref="K123" ca="1">IF(ROW()-2&gt;7, (H123/INDIRECT("H"&amp;ROW()-7))-1, "")</f>
        <v>-5.8163292711358228E-2</v>
      </c>
      <c r="L123" s="8">
        <f>IF(D123&gt;0, D123/C123, 0)</f>
        <v>0.24249996941219715</v>
      </c>
      <c r="M123" s="8">
        <f>IF(D123&gt;0, E123/D123, 0)</f>
        <v>0.41199997757594925</v>
      </c>
      <c r="N123" s="8">
        <f>IF(E123&gt;0, F123/E123, 0)</f>
        <v>0.7445998451455228</v>
      </c>
      <c r="O123" s="8">
        <f>IF(F123&gt;0, G123/F123, 0)</f>
        <v>0.86100018981394699</v>
      </c>
      <c r="P123" s="8" cm="1">
        <f t="array" aca="1" ref="P123" ca="1">IF(ROW()-2&gt;1, (L123/INDIRECT("L"&amp;ROW()-1))-1, "")</f>
        <v>-3.9603982230355994E-2</v>
      </c>
      <c r="Q123" s="8" cm="1">
        <f t="array" aca="1" ref="Q123" ca="1">IF(ROW()-2&gt;1, (M123/INDIRECT("M"&amp;ROW()-1))-1, "")</f>
        <v>1.9801960759806114E-2</v>
      </c>
      <c r="R123" s="8" cm="1">
        <f t="array" aca="1" ref="R123" ca="1">IF(ROW()-2&gt;1, (N123/INDIRECT("N"&amp;ROW()-1))-1, "")</f>
        <v>7.3683838817763192E-2</v>
      </c>
      <c r="S123" s="8" cm="1">
        <f t="array" aca="1" ref="S123" ca="1">IF(ROW()-2&gt;1, (O123/INDIRECT("O"&amp;ROW()-1))-1, "")</f>
        <v>2.9412285324174947E-2</v>
      </c>
    </row>
    <row r="124" spans="2:19" x14ac:dyDescent="0.35">
      <c r="B124" s="3">
        <v>43587</v>
      </c>
      <c r="C124" s="4">
        <v>21282993</v>
      </c>
      <c r="D124" s="4">
        <v>5533578</v>
      </c>
      <c r="E124" s="4">
        <v>2169162</v>
      </c>
      <c r="F124" s="4">
        <v>1615158</v>
      </c>
      <c r="G124" s="4">
        <v>1284697</v>
      </c>
      <c r="H124" s="8">
        <f>IF(C124&gt;0, G124/C124, 0)</f>
        <v>6.0362609713774752E-2</v>
      </c>
      <c r="I124" s="8" cm="1">
        <f t="array" aca="1" ref="I124" ca="1">IF(ROW()-2&gt;7, (G124/INDIRECT("G"&amp;ROW()-7))-1, "")</f>
        <v>1.9271173724444424E-3</v>
      </c>
      <c r="J124" s="8" cm="1">
        <f t="array" aca="1" ref="J124" ca="1">IF(ROW()-2&gt;7, (C124/INDIRECT("C"&amp;ROW()-7))-1, "")</f>
        <v>-6.6666675437362821E-2</v>
      </c>
      <c r="K124" s="8" cm="1">
        <f t="array" aca="1" ref="K124" ca="1">IF(ROW()-2&gt;7, (H124/INDIRECT("H"&amp;ROW()-7))-1, "")</f>
        <v>7.3493350129709034E-2</v>
      </c>
      <c r="L124" s="8">
        <f>IF(D124&gt;0, D124/C124, 0)</f>
        <v>0.25999999154254289</v>
      </c>
      <c r="M124" s="8">
        <f>IF(D124&gt;0, E124/D124, 0)</f>
        <v>0.39199989590821704</v>
      </c>
      <c r="N124" s="8">
        <f>IF(E124&gt;0, F124/E124, 0)</f>
        <v>0.74459998838261043</v>
      </c>
      <c r="O124" s="8">
        <f>IF(F124&gt;0, G124/F124, 0)</f>
        <v>0.79540020233314634</v>
      </c>
      <c r="P124" s="8" cm="1">
        <f t="array" aca="1" ref="P124" ca="1">IF(ROW()-2&gt;1, (L124/INDIRECT("L"&amp;ROW()-1))-1, "")</f>
        <v>7.2165048815323818E-2</v>
      </c>
      <c r="Q124" s="8" cm="1">
        <f t="array" aca="1" ref="Q124" ca="1">IF(ROW()-2&gt;1, (M124/INDIRECT("M"&amp;ROW()-1))-1, "")</f>
        <v>-4.8543890185152594E-2</v>
      </c>
      <c r="R124" s="8" cm="1">
        <f t="array" aca="1" ref="R124" ca="1">IF(ROW()-2&gt;1, (N124/INDIRECT("N"&amp;ROW()-1))-1, "")</f>
        <v>1.9236787185406001E-7</v>
      </c>
      <c r="S124" s="8" cm="1">
        <f t="array" aca="1" ref="S124" ca="1">IF(ROW()-2&gt;1, (O124/INDIRECT("O"&amp;ROW()-1))-1, "")</f>
        <v>-7.6190444853416528E-2</v>
      </c>
    </row>
    <row r="125" spans="2:19" x14ac:dyDescent="0.35">
      <c r="B125" s="3">
        <v>43588</v>
      </c>
      <c r="C125" s="4">
        <v>20848646</v>
      </c>
      <c r="D125" s="4">
        <v>5264283</v>
      </c>
      <c r="E125" s="4">
        <v>2147827</v>
      </c>
      <c r="F125" s="4">
        <v>1552235</v>
      </c>
      <c r="G125" s="4">
        <v>1260104</v>
      </c>
      <c r="H125" s="8">
        <f>IF(C125&gt;0, G125/C125, 0)</f>
        <v>6.0440567699216532E-2</v>
      </c>
      <c r="I125" s="8" cm="1">
        <f t="array" aca="1" ref="I125" ca="1">IF(ROW()-2&gt;7, (G125/INDIRECT("G"&amp;ROW()-7))-1, "")</f>
        <v>-3.6611108180407914E-2</v>
      </c>
      <c r="J125" s="8" cm="1">
        <f t="array" aca="1" ref="J125" ca="1">IF(ROW()-2&gt;7, (C125/INDIRECT("C"&amp;ROW()-7))-1, "")</f>
        <v>-5.8823555966640351E-2</v>
      </c>
      <c r="K125" s="8" cm="1">
        <f t="array" aca="1" ref="K125" ca="1">IF(ROW()-2&gt;7, (H125/INDIRECT("H"&amp;ROW()-7))-1, "")</f>
        <v>2.3600726438755881E-2</v>
      </c>
      <c r="L125" s="8">
        <f>IF(D125&gt;0, D125/C125, 0)</f>
        <v>0.25249999448405425</v>
      </c>
      <c r="M125" s="8">
        <f>IF(D125&gt;0, E125/D125, 0)</f>
        <v>0.40799991185884193</v>
      </c>
      <c r="N125" s="8">
        <f>IF(E125&gt;0, F125/E125, 0)</f>
        <v>0.72270019885214221</v>
      </c>
      <c r="O125" s="8">
        <f>IF(F125&gt;0, G125/F125, 0)</f>
        <v>0.81179975970133389</v>
      </c>
      <c r="P125" s="8" cm="1">
        <f t="array" aca="1" ref="P125" ca="1">IF(ROW()-2&gt;1, (L125/INDIRECT("L"&amp;ROW()-1))-1, "")</f>
        <v>-2.8846143470975583E-2</v>
      </c>
      <c r="Q125" s="8" cm="1">
        <f t="array" aca="1" ref="Q125" ca="1">IF(ROW()-2&gt;1, (M125/INDIRECT("M"&amp;ROW()-1))-1, "")</f>
        <v>4.0816378059373548E-2</v>
      </c>
      <c r="R125" s="8" cm="1">
        <f t="array" aca="1" ref="R125" ca="1">IF(ROW()-2&gt;1, (N125/INDIRECT("N"&amp;ROW()-1))-1, "")</f>
        <v>-2.9411482503562847E-2</v>
      </c>
      <c r="S125" s="8" cm="1">
        <f t="array" aca="1" ref="S125" ca="1">IF(ROW()-2&gt;1, (O125/INDIRECT("O"&amp;ROW()-1))-1, "")</f>
        <v>2.0617994966662945E-2</v>
      </c>
    </row>
    <row r="126" spans="2:19" x14ac:dyDescent="0.35">
      <c r="B126" s="3">
        <v>43589</v>
      </c>
      <c r="C126" s="4">
        <v>43094160</v>
      </c>
      <c r="D126" s="4">
        <v>9321266</v>
      </c>
      <c r="E126" s="4">
        <v>3042461</v>
      </c>
      <c r="F126" s="4">
        <v>1986118</v>
      </c>
      <c r="G126" s="4">
        <v>1487205</v>
      </c>
      <c r="H126" s="8">
        <f>IF(C126&gt;0, G126/C126, 0)</f>
        <v>3.4510592618582192E-2</v>
      </c>
      <c r="I126" s="8" cm="1">
        <f t="array" aca="1" ref="I126" ca="1">IF(ROW()-2&gt;7, (G126/INDIRECT("G"&amp;ROW()-7))-1, "")</f>
        <v>-0.14743647070153953</v>
      </c>
      <c r="J126" s="8" cm="1">
        <f t="array" aca="1" ref="J126" ca="1">IF(ROW()-2&gt;7, (C126/INDIRECT("C"&amp;ROW()-7))-1, "")</f>
        <v>-8.5714295413028663E-2</v>
      </c>
      <c r="K126" s="8" cm="1">
        <f t="array" aca="1" ref="K126" ca="1">IF(ROW()-2&gt;7, (H126/INDIRECT("H"&amp;ROW()-7))-1, "")</f>
        <v>-6.750862993794049E-2</v>
      </c>
      <c r="L126" s="8">
        <f>IF(D126&gt;0, D126/C126, 0)</f>
        <v>0.21629998125035968</v>
      </c>
      <c r="M126" s="8">
        <f>IF(D126&gt;0, E126/D126, 0)</f>
        <v>0.32639997614058003</v>
      </c>
      <c r="N126" s="8">
        <f>IF(E126&gt;0, F126/E126, 0)</f>
        <v>0.65279982224915944</v>
      </c>
      <c r="O126" s="8">
        <f>IF(F126&gt;0, G126/F126, 0)</f>
        <v>0.74879992024643049</v>
      </c>
      <c r="P126" s="8" cm="1">
        <f t="array" aca="1" ref="P126" ca="1">IF(ROW()-2&gt;1, (L126/INDIRECT("L"&amp;ROW()-1))-1, "")</f>
        <v>-0.14336639217622105</v>
      </c>
      <c r="Q126" s="8" cm="1">
        <f t="array" aca="1" ref="Q126" ca="1">IF(ROW()-2&gt;1, (M126/INDIRECT("M"&amp;ROW()-1))-1, "")</f>
        <v>-0.19999988565314564</v>
      </c>
      <c r="R126" s="8" cm="1">
        <f t="array" aca="1" ref="R126" ca="1">IF(ROW()-2&gt;1, (N126/INDIRECT("N"&amp;ROW()-1))-1, "")</f>
        <v>-9.6721125459775514E-2</v>
      </c>
      <c r="S126" s="8" cm="1">
        <f t="array" aca="1" ref="S126" ca="1">IF(ROW()-2&gt;1, (O126/INDIRECT("O"&amp;ROW()-1))-1, "")</f>
        <v>-7.7605146715098106E-2</v>
      </c>
    </row>
    <row r="127" spans="2:19" x14ac:dyDescent="0.35">
      <c r="B127" s="3">
        <v>43590</v>
      </c>
      <c r="C127" s="4">
        <v>43991955</v>
      </c>
      <c r="D127" s="4">
        <v>8868778</v>
      </c>
      <c r="E127" s="4">
        <v>3136000</v>
      </c>
      <c r="F127" s="4">
        <v>2068505</v>
      </c>
      <c r="G127" s="4">
        <v>1532762</v>
      </c>
      <c r="H127" s="8">
        <f>IF(C127&gt;0, G127/C127, 0)</f>
        <v>3.4841870519280171E-2</v>
      </c>
      <c r="I127" s="8" cm="1">
        <f t="array" aca="1" ref="I127" ca="1">IF(ROW()-2&gt;7, (G127/INDIRECT("G"&amp;ROW()-7))-1, "")</f>
        <v>-6.796122408523797E-2</v>
      </c>
      <c r="J127" s="8" cm="1">
        <f t="array" aca="1" ref="J127" ca="1">IF(ROW()-2&gt;7, (C127/INDIRECT("C"&amp;ROW()-7))-1, "")</f>
        <v>-4.8543699609418511E-2</v>
      </c>
      <c r="K127" s="8" cm="1">
        <f t="array" aca="1" ref="K127" ca="1">IF(ROW()-2&gt;7, (H127/INDIRECT("H"&amp;ROW()-7))-1, "")</f>
        <v>-2.040821472079013E-2</v>
      </c>
      <c r="L127" s="8">
        <f>IF(D127&gt;0, D127/C127, 0)</f>
        <v>0.2015999970903771</v>
      </c>
      <c r="M127" s="8">
        <f>IF(D127&gt;0, E127/D127, 0)</f>
        <v>0.35360001118530648</v>
      </c>
      <c r="N127" s="8">
        <f>IF(E127&gt;0, F127/E127, 0)</f>
        <v>0.65959980867346935</v>
      </c>
      <c r="O127" s="8">
        <f>IF(F127&gt;0, G127/F127, 0)</f>
        <v>0.74099990089460743</v>
      </c>
      <c r="P127" s="8" cm="1">
        <f t="array" aca="1" ref="P127" ca="1">IF(ROW()-2&gt;1, (L127/INDIRECT("L"&amp;ROW()-1))-1, "")</f>
        <v>-6.7961097707946005E-2</v>
      </c>
      <c r="Q127" s="8" cm="1">
        <f t="array" aca="1" ref="Q127" ca="1">IF(ROW()-2&gt;1, (M127/INDIRECT("M"&amp;ROW()-1))-1, "")</f>
        <v>8.3333446792322796E-2</v>
      </c>
      <c r="R127" s="8" cm="1">
        <f t="array" aca="1" ref="R127" ca="1">IF(ROW()-2&gt;1, (N127/INDIRECT("N"&amp;ROW()-1))-1, "")</f>
        <v>1.0416648706920828E-2</v>
      </c>
      <c r="S127" s="8" cm="1">
        <f t="array" aca="1" ref="S127" ca="1">IF(ROW()-2&gt;1, (O127/INDIRECT("O"&amp;ROW()-1))-1, "")</f>
        <v>-1.041669361991393E-2</v>
      </c>
    </row>
    <row r="128" spans="2:19" x14ac:dyDescent="0.35">
      <c r="B128" s="3">
        <v>43591</v>
      </c>
      <c r="C128" s="4">
        <v>21717340</v>
      </c>
      <c r="D128" s="4">
        <v>5157868</v>
      </c>
      <c r="E128" s="4">
        <v>1959989</v>
      </c>
      <c r="F128" s="4">
        <v>1430792</v>
      </c>
      <c r="G128" s="4">
        <v>1161517</v>
      </c>
      <c r="H128" s="8">
        <f>IF(C128&gt;0, G128/C128, 0)</f>
        <v>5.3483391612416623E-2</v>
      </c>
      <c r="I128" s="8" cm="1">
        <f t="array" aca="1" ref="I128" ca="1">IF(ROW()-2&gt;7, (G128/INDIRECT("G"&amp;ROW()-7))-1, "")</f>
        <v>-4.0209787320542922E-2</v>
      </c>
      <c r="J128" s="8" cm="1">
        <f t="array" aca="1" ref="J128" ca="1">IF(ROW()-2&gt;7, (C128/INDIRECT("C"&amp;ROW()-7))-1, "")</f>
        <v>5.2631578947368363E-2</v>
      </c>
      <c r="K128" s="8" cm="1">
        <f t="array" aca="1" ref="K128" ca="1">IF(ROW()-2&gt;7, (H128/INDIRECT("H"&amp;ROW()-7))-1, "")</f>
        <v>-8.8199297954515754E-2</v>
      </c>
      <c r="L128" s="8">
        <f>IF(D128&gt;0, D128/C128, 0)</f>
        <v>0.23749998848846129</v>
      </c>
      <c r="M128" s="8">
        <f>IF(D128&gt;0, E128/D128, 0)</f>
        <v>0.37999983714201296</v>
      </c>
      <c r="N128" s="8">
        <f>IF(E128&gt;0, F128/E128, 0)</f>
        <v>0.73000001530620839</v>
      </c>
      <c r="O128" s="8">
        <f>IF(F128&gt;0, G128/F128, 0)</f>
        <v>0.81180003802090028</v>
      </c>
      <c r="P128" s="8" cm="1">
        <f t="array" aca="1" ref="P128" ca="1">IF(ROW()-2&gt;1, (L128/INDIRECT("L"&amp;ROW()-1))-1, "")</f>
        <v>0.17807535672726349</v>
      </c>
      <c r="Q128" s="8" cm="1">
        <f t="array" aca="1" ref="Q128" ca="1">IF(ROW()-2&gt;1, (M128/INDIRECT("M"&amp;ROW()-1))-1, "")</f>
        <v>7.4660138918580143E-2</v>
      </c>
      <c r="R128" s="8" cm="1">
        <f t="array" aca="1" ref="R128" ca="1">IF(ROW()-2&gt;1, (N128/INDIRECT("N"&amp;ROW()-1))-1, "")</f>
        <v>0.10673169656359049</v>
      </c>
      <c r="S128" s="8" cm="1">
        <f t="array" aca="1" ref="S128" ca="1">IF(ROW()-2&gt;1, (O128/INDIRECT("O"&amp;ROW()-1))-1, "")</f>
        <v>9.5546756539125033E-2</v>
      </c>
    </row>
    <row r="129" spans="2:19" x14ac:dyDescent="0.35">
      <c r="B129" s="3">
        <v>43592</v>
      </c>
      <c r="C129" s="4">
        <v>22151687</v>
      </c>
      <c r="D129" s="4">
        <v>5814817</v>
      </c>
      <c r="E129" s="4">
        <v>2372445</v>
      </c>
      <c r="F129" s="4">
        <v>1679928</v>
      </c>
      <c r="G129" s="4">
        <v>1308664</v>
      </c>
      <c r="H129" s="8">
        <f>IF(C129&gt;0, G129/C129, 0)</f>
        <v>5.9077396678636714E-2</v>
      </c>
      <c r="I129" s="8" cm="1">
        <f t="array" aca="1" ref="I129" ca="1">IF(ROW()-2&gt;7, (G129/INDIRECT("G"&amp;ROW()-7))-1, "")</f>
        <v>4.9896948901256177E-2</v>
      </c>
      <c r="J129" s="8" cm="1">
        <f t="array" aca="1" ref="J129" ca="1">IF(ROW()-2&gt;7, (C129/INDIRECT("C"&amp;ROW()-7))-1, "")</f>
        <v>5.154639126319327E-2</v>
      </c>
      <c r="K129" s="8" cm="1">
        <f t="array" aca="1" ref="K129" ca="1">IF(ROW()-2&gt;7, (H129/INDIRECT("H"&amp;ROW()-7))-1, "")</f>
        <v>-1.5685873449249321E-3</v>
      </c>
      <c r="L129" s="8">
        <f>IF(D129&gt;0, D129/C129, 0)</f>
        <v>0.26249996219249577</v>
      </c>
      <c r="M129" s="8">
        <f>IF(D129&gt;0, E129/D129, 0)</f>
        <v>0.4079999422165822</v>
      </c>
      <c r="N129" s="8">
        <f>IF(E129&gt;0, F129/E129, 0)</f>
        <v>0.70809987165139765</v>
      </c>
      <c r="O129" s="8">
        <f>IF(F129&gt;0, G129/F129, 0)</f>
        <v>0.77900005238319736</v>
      </c>
      <c r="P129" s="8" cm="1">
        <f t="array" aca="1" ref="P129" ca="1">IF(ROW()-2&gt;1, (L129/INDIRECT("L"&amp;ROW()-1))-1, "")</f>
        <v>0.10526305227694399</v>
      </c>
      <c r="Q129" s="8" cm="1">
        <f t="array" aca="1" ref="Q129" ca="1">IF(ROW()-2&gt;1, (M129/INDIRECT("M"&amp;ROW()-1))-1, "")</f>
        <v>7.3684518617583183E-2</v>
      </c>
      <c r="R129" s="8" cm="1">
        <f t="array" aca="1" ref="R129" ca="1">IF(ROW()-2&gt;1, (N129/INDIRECT("N"&amp;ROW()-1))-1, "")</f>
        <v>-3.0000196158385561E-2</v>
      </c>
      <c r="S129" s="8" cm="1">
        <f t="array" aca="1" ref="S129" ca="1">IF(ROW()-2&gt;1, (O129/INDIRECT("O"&amp;ROW()-1))-1, "")</f>
        <v>-4.0404020819790221E-2</v>
      </c>
    </row>
    <row r="130" spans="2:19" x14ac:dyDescent="0.35">
      <c r="B130" s="3">
        <v>43593</v>
      </c>
      <c r="C130" s="4">
        <v>22803207</v>
      </c>
      <c r="D130" s="4">
        <v>5757809</v>
      </c>
      <c r="E130" s="4">
        <v>2187967</v>
      </c>
      <c r="F130" s="4">
        <v>1565272</v>
      </c>
      <c r="G130" s="4">
        <v>1334864</v>
      </c>
      <c r="H130" s="8">
        <f>IF(C130&gt;0, G130/C130, 0)</f>
        <v>5.8538432773951488E-2</v>
      </c>
      <c r="I130" s="8" cm="1">
        <f t="array" aca="1" ref="I130" ca="1">IF(ROW()-2&gt;7, (G130/INDIRECT("G"&amp;ROW()-7))-1, "")</f>
        <v>-8.6084544765537951E-2</v>
      </c>
      <c r="J130" s="8" cm="1">
        <f t="array" aca="1" ref="J130" ca="1">IF(ROW()-2&gt;7, (C130/INDIRECT("C"&amp;ROW()-7))-1, "")</f>
        <v>0</v>
      </c>
      <c r="K130" s="8" cm="1">
        <f t="array" aca="1" ref="K130" ca="1">IF(ROW()-2&gt;7, (H130/INDIRECT("H"&amp;ROW()-7))-1, "")</f>
        <v>-8.6084544765537951E-2</v>
      </c>
      <c r="L130" s="8">
        <f>IF(D130&gt;0, D130/C130, 0)</f>
        <v>0.25249996634245347</v>
      </c>
      <c r="M130" s="8">
        <f>IF(D130&gt;0, E130/D130, 0)</f>
        <v>0.37999992705558661</v>
      </c>
      <c r="N130" s="8">
        <f>IF(E130&gt;0, F130/E130, 0)</f>
        <v>0.71540018656588511</v>
      </c>
      <c r="O130" s="8">
        <f>IF(F130&gt;0, G130/F130, 0)</f>
        <v>0.85280002453247739</v>
      </c>
      <c r="P130" s="8" cm="1">
        <f t="array" aca="1" ref="P130" ca="1">IF(ROW()-2&gt;1, (L130/INDIRECT("L"&amp;ROW()-1))-1, "")</f>
        <v>-3.8095227772677265E-2</v>
      </c>
      <c r="Q130" s="8" cm="1">
        <f t="array" aca="1" ref="Q130" ca="1">IF(ROW()-2&gt;1, (M130/INDIRECT("M"&amp;ROW()-1))-1, "")</f>
        <v>-6.8627497859134801E-2</v>
      </c>
      <c r="R130" s="8" cm="1">
        <f t="array" aca="1" ref="R130" ca="1">IF(ROW()-2&gt;1, (N130/INDIRECT("N"&amp;ROW()-1))-1, "")</f>
        <v>1.0309724950891441E-2</v>
      </c>
      <c r="S130" s="8" cm="1">
        <f t="array" aca="1" ref="S130" ca="1">IF(ROW()-2&gt;1, (O130/INDIRECT("O"&amp;ROW()-1))-1, "")</f>
        <v>9.4736799982880093E-2</v>
      </c>
    </row>
    <row r="131" spans="2:19" x14ac:dyDescent="0.35">
      <c r="B131" s="3">
        <v>43594</v>
      </c>
      <c r="C131" s="4">
        <v>21065820</v>
      </c>
      <c r="D131" s="4">
        <v>5108461</v>
      </c>
      <c r="E131" s="4">
        <v>2063818</v>
      </c>
      <c r="F131" s="4">
        <v>1506587</v>
      </c>
      <c r="G131" s="4">
        <v>1210693</v>
      </c>
      <c r="H131" s="8">
        <f>IF(C131&gt;0, G131/C131, 0)</f>
        <v>5.7471914219337297E-2</v>
      </c>
      <c r="I131" s="8" cm="1">
        <f t="array" aca="1" ref="I131" ca="1">IF(ROW()-2&gt;7, (G131/INDIRECT("G"&amp;ROW()-7))-1, "")</f>
        <v>-5.7604244424950046E-2</v>
      </c>
      <c r="J131" s="8" cm="1">
        <f t="array" aca="1" ref="J131" ca="1">IF(ROW()-2&gt;7, (C131/INDIRECT("C"&amp;ROW()-7))-1, "")</f>
        <v>-1.0204062934193514E-2</v>
      </c>
      <c r="K131" s="8" cm="1">
        <f t="array" aca="1" ref="K131" ca="1">IF(ROW()-2&gt;7, (H131/INDIRECT("H"&amp;ROW()-7))-1, "")</f>
        <v>-4.7888842250930708E-2</v>
      </c>
      <c r="L131" s="8">
        <f>IF(D131&gt;0, D131/C131, 0)</f>
        <v>0.24249998338540821</v>
      </c>
      <c r="M131" s="8">
        <f>IF(D131&gt;0, E131/D131, 0)</f>
        <v>0.40399995223610397</v>
      </c>
      <c r="N131" s="8">
        <f>IF(E131&gt;0, F131/E131, 0)</f>
        <v>0.72999993216456105</v>
      </c>
      <c r="O131" s="8">
        <f>IF(F131&gt;0, G131/F131, 0)</f>
        <v>0.80359979211290156</v>
      </c>
      <c r="P131" s="8" cm="1">
        <f t="array" aca="1" ref="P131" ca="1">IF(ROW()-2&gt;1, (L131/INDIRECT("L"&amp;ROW()-1))-1, "")</f>
        <v>-3.9603898178278474E-2</v>
      </c>
      <c r="Q131" s="8" cm="1">
        <f t="array" aca="1" ref="Q131" ca="1">IF(ROW()-2&gt;1, (M131/INDIRECT("M"&amp;ROW()-1))-1, "")</f>
        <v>6.3157973125101741E-2</v>
      </c>
      <c r="R131" s="8" cm="1">
        <f t="array" aca="1" ref="R131" ca="1">IF(ROW()-2&gt;1, (N131/INDIRECT("N"&amp;ROW()-1))-1, "")</f>
        <v>2.0407802336142256E-2</v>
      </c>
      <c r="S131" s="8" cm="1">
        <f t="array" aca="1" ref="S131" ca="1">IF(ROW()-2&gt;1, (O131/INDIRECT("O"&amp;ROW()-1))-1, "")</f>
        <v>-5.7692578569692676E-2</v>
      </c>
    </row>
    <row r="132" spans="2:19" x14ac:dyDescent="0.35">
      <c r="B132" s="3">
        <v>43595</v>
      </c>
      <c r="C132" s="4">
        <v>21065820</v>
      </c>
      <c r="D132" s="4">
        <v>5213790</v>
      </c>
      <c r="E132" s="4">
        <v>2168936</v>
      </c>
      <c r="F132" s="4">
        <v>1583323</v>
      </c>
      <c r="G132" s="4">
        <v>1337275</v>
      </c>
      <c r="H132" s="8">
        <f>IF(C132&gt;0, G132/C132, 0)</f>
        <v>6.3480794955999814E-2</v>
      </c>
      <c r="I132" s="8" cm="1">
        <f t="array" aca="1" ref="I132" ca="1">IF(ROW()-2&gt;7, (G132/INDIRECT("G"&amp;ROW()-7))-1, "")</f>
        <v>6.1241770520528371E-2</v>
      </c>
      <c r="J132" s="8" cm="1">
        <f t="array" aca="1" ref="J132" ca="1">IF(ROW()-2&gt;7, (C132/INDIRECT("C"&amp;ROW()-7))-1, "")</f>
        <v>1.0416695645367069E-2</v>
      </c>
      <c r="K132" s="8" cm="1">
        <f t="array" aca="1" ref="K132" ca="1">IF(ROW()-2&gt;7, (H132/INDIRECT("H"&amp;ROW()-7))-1, "")</f>
        <v>5.030110358845441E-2</v>
      </c>
      <c r="L132" s="8">
        <f>IF(D132&gt;0, D132/C132, 0)</f>
        <v>0.247499978638382</v>
      </c>
      <c r="M132" s="8">
        <f>IF(D132&gt;0, E132/D132, 0)</f>
        <v>0.41599987724860416</v>
      </c>
      <c r="N132" s="8">
        <f>IF(E132&gt;0, F132/E132, 0)</f>
        <v>0.72999987090444352</v>
      </c>
      <c r="O132" s="8">
        <f>IF(F132&gt;0, G132/F132, 0)</f>
        <v>0.84460024897004593</v>
      </c>
      <c r="P132" s="8" cm="1">
        <f t="array" aca="1" ref="P132" ca="1">IF(ROW()-2&gt;1, (L132/INDIRECT("L"&amp;ROW()-1))-1, "")</f>
        <v>2.0618538538319076E-2</v>
      </c>
      <c r="Q132" s="8" cm="1">
        <f t="array" aca="1" ref="Q132" ca="1">IF(ROW()-2&gt;1, (M132/INDIRECT("M"&amp;ROW()-1))-1, "")</f>
        <v>2.9702788196091845E-2</v>
      </c>
      <c r="R132" s="8" cm="1">
        <f t="array" aca="1" ref="R132" ca="1">IF(ROW()-2&gt;1, (N132/INDIRECT("N"&amp;ROW()-1))-1, "")</f>
        <v>-8.391797701179371E-8</v>
      </c>
      <c r="S132" s="8" cm="1">
        <f t="array" aca="1" ref="S132" ca="1">IF(ROW()-2&gt;1, (O132/INDIRECT("O"&amp;ROW()-1))-1, "")</f>
        <v>5.1020989875248723E-2</v>
      </c>
    </row>
    <row r="133" spans="2:19" x14ac:dyDescent="0.35">
      <c r="B133" s="3">
        <v>43596</v>
      </c>
      <c r="C133" s="4">
        <v>45787545</v>
      </c>
      <c r="D133" s="4">
        <v>10096153</v>
      </c>
      <c r="E133" s="4">
        <v>3398365</v>
      </c>
      <c r="F133" s="4">
        <v>2218452</v>
      </c>
      <c r="G133" s="4">
        <v>1678481</v>
      </c>
      <c r="H133" s="8">
        <f>IF(C133&gt;0, G133/C133, 0)</f>
        <v>3.6658025670518041E-2</v>
      </c>
      <c r="I133" s="8" cm="1">
        <f t="array" aca="1" ref="I133" ca="1">IF(ROW()-2&gt;7, (G133/INDIRECT("G"&amp;ROW()-7))-1, "")</f>
        <v>0.12861441428720322</v>
      </c>
      <c r="J133" s="8" cm="1">
        <f t="array" aca="1" ref="J133" ca="1">IF(ROW()-2&gt;7, (C133/INDIRECT("C"&amp;ROW()-7))-1, "")</f>
        <v>6.25E-2</v>
      </c>
      <c r="K133" s="8" cm="1">
        <f t="array" aca="1" ref="K133" ca="1">IF(ROW()-2&gt;7, (H133/INDIRECT("H"&amp;ROW()-7))-1, "")</f>
        <v>6.2225331093838321E-2</v>
      </c>
      <c r="L133" s="8">
        <f>IF(D133&gt;0, D133/C133, 0)</f>
        <v>0.22049998531259976</v>
      </c>
      <c r="M133" s="8">
        <f>IF(D133&gt;0, E133/D133, 0)</f>
        <v>0.33659999011504677</v>
      </c>
      <c r="N133" s="8">
        <f>IF(E133&gt;0, F133/E133, 0)</f>
        <v>0.6527998022578505</v>
      </c>
      <c r="O133" s="8">
        <f>IF(F133&gt;0, G133/F133, 0)</f>
        <v>0.75660009772580161</v>
      </c>
      <c r="P133" s="8" cm="1">
        <f t="array" aca="1" ref="P133" ca="1">IF(ROW()-2&gt;1, (L133/INDIRECT("L"&amp;ROW()-1))-1, "")</f>
        <v>-0.10909089153996032</v>
      </c>
      <c r="Q133" s="8" cm="1">
        <f t="array" aca="1" ref="Q133" ca="1">IF(ROW()-2&gt;1, (M133/INDIRECT("M"&amp;ROW()-1))-1, "")</f>
        <v>-0.19086516962145039</v>
      </c>
      <c r="R133" s="8" cm="1">
        <f t="array" aca="1" ref="R133" ca="1">IF(ROW()-2&gt;1, (N133/INDIRECT("N"&amp;ROW()-1))-1, "")</f>
        <v>-0.10575353739575999</v>
      </c>
      <c r="S133" s="8" cm="1">
        <f t="array" aca="1" ref="S133" ca="1">IF(ROW()-2&gt;1, (O133/INDIRECT("O"&amp;ROW()-1))-1, "")</f>
        <v>-0.10419148153408286</v>
      </c>
    </row>
    <row r="134" spans="2:19" x14ac:dyDescent="0.35">
      <c r="B134" s="3">
        <v>43597</v>
      </c>
      <c r="C134" s="4">
        <v>42645263</v>
      </c>
      <c r="D134" s="4">
        <v>8955505</v>
      </c>
      <c r="E134" s="4">
        <v>3166666</v>
      </c>
      <c r="F134" s="4">
        <v>2088733</v>
      </c>
      <c r="G134" s="4">
        <v>1564043</v>
      </c>
      <c r="H134" s="8">
        <f>IF(C134&gt;0, G134/C134, 0)</f>
        <v>3.6675656098075889E-2</v>
      </c>
      <c r="I134" s="8" cm="1">
        <f t="array" aca="1" ref="I134" ca="1">IF(ROW()-2&gt;7, (G134/INDIRECT("G"&amp;ROW()-7))-1, "")</f>
        <v>2.0408256467735919E-2</v>
      </c>
      <c r="J134" s="8" cm="1">
        <f t="array" aca="1" ref="J134" ca="1">IF(ROW()-2&gt;7, (C134/INDIRECT("C"&amp;ROW()-7))-1, "")</f>
        <v>-3.0612233532244737E-2</v>
      </c>
      <c r="K134" s="8" cm="1">
        <f t="array" aca="1" ref="K134" ca="1">IF(ROW()-2&gt;7, (H134/INDIRECT("H"&amp;ROW()-7))-1, "")</f>
        <v>5.2631662751314368E-2</v>
      </c>
      <c r="L134" s="8">
        <f>IF(D134&gt;0, D134/C134, 0)</f>
        <v>0.20999999460666943</v>
      </c>
      <c r="M134" s="8">
        <f>IF(D134&gt;0, E134/D134, 0)</f>
        <v>0.35359993657532435</v>
      </c>
      <c r="N134" s="8">
        <f>IF(E134&gt;0, F134/E134, 0)</f>
        <v>0.65960003360000707</v>
      </c>
      <c r="O134" s="8">
        <f>IF(F134&gt;0, G134/F134, 0)</f>
        <v>0.74879987054353048</v>
      </c>
      <c r="P134" s="8" cm="1">
        <f t="array" aca="1" ref="P134" ca="1">IF(ROW()-2&gt;1, (L134/INDIRECT("L"&amp;ROW()-1))-1, "")</f>
        <v>-4.7619008640951366E-2</v>
      </c>
      <c r="Q134" s="8" cm="1">
        <f t="array" aca="1" ref="Q134" ca="1">IF(ROW()-2&gt;1, (M134/INDIRECT("M"&amp;ROW()-1))-1, "")</f>
        <v>5.0504892927855316E-2</v>
      </c>
      <c r="R134" s="8" cm="1">
        <f t="array" aca="1" ref="R134" ca="1">IF(ROW()-2&gt;1, (N134/INDIRECT("N"&amp;ROW()-1))-1, "")</f>
        <v>1.0417024206558434E-2</v>
      </c>
      <c r="S134" s="8" cm="1">
        <f t="array" aca="1" ref="S134" ca="1">IF(ROW()-2&gt;1, (O134/INDIRECT("O"&amp;ROW()-1))-1, "")</f>
        <v>-1.0309577286227056E-2</v>
      </c>
    </row>
    <row r="135" spans="2:19" x14ac:dyDescent="0.35">
      <c r="B135" s="3">
        <v>43598</v>
      </c>
      <c r="C135" s="4">
        <v>20848646</v>
      </c>
      <c r="D135" s="4">
        <v>5420648</v>
      </c>
      <c r="E135" s="4">
        <v>2059846</v>
      </c>
      <c r="F135" s="4">
        <v>1428503</v>
      </c>
      <c r="G135" s="4">
        <v>1229941</v>
      </c>
      <c r="H135" s="8">
        <f>IF(C135&gt;0, G135/C135, 0)</f>
        <v>5.8993807079845854E-2</v>
      </c>
      <c r="I135" s="8" cm="1">
        <f t="array" aca="1" ref="I135" ca="1">IF(ROW()-2&gt;7, (G135/INDIRECT("G"&amp;ROW()-7))-1, "")</f>
        <v>5.8909167924360961E-2</v>
      </c>
      <c r="J135" s="8" cm="1">
        <f t="array" aca="1" ref="J135" ca="1">IF(ROW()-2&gt;7, (C135/INDIRECT("C"&amp;ROW()-7))-1, "")</f>
        <v>-4.0000018418461902E-2</v>
      </c>
      <c r="K135" s="8" cm="1">
        <f t="array" aca="1" ref="K135" ca="1">IF(ROW()-2&gt;7, (H135/INDIRECT("H"&amp;ROW()-7))-1, "")</f>
        <v>0.10303040441717126</v>
      </c>
      <c r="L135" s="8">
        <f>IF(D135&gt;0, D135/C135, 0)</f>
        <v>0.2600000019185898</v>
      </c>
      <c r="M135" s="8">
        <f>IF(D135&gt;0, E135/D135, 0)</f>
        <v>0.37999995572485062</v>
      </c>
      <c r="N135" s="8">
        <f>IF(E135&gt;0, F135/E135, 0)</f>
        <v>0.69349990241988968</v>
      </c>
      <c r="O135" s="8">
        <f>IF(F135&gt;0, G135/F135, 0)</f>
        <v>0.86099994189721685</v>
      </c>
      <c r="P135" s="8" cm="1">
        <f t="array" aca="1" ref="P135" ca="1">IF(ROW()-2&gt;1, (L135/INDIRECT("L"&amp;ROW()-1))-1, "")</f>
        <v>0.2380952790287949</v>
      </c>
      <c r="Q135" s="8" cm="1">
        <f t="array" aca="1" ref="Q135" ca="1">IF(ROW()-2&gt;1, (M135/INDIRECT("M"&amp;ROW()-1))-1, "")</f>
        <v>7.4660701031835419E-2</v>
      </c>
      <c r="R135" s="8" cm="1">
        <f t="array" aca="1" ref="R135" ca="1">IF(ROW()-2&gt;1, (N135/INDIRECT("N"&amp;ROW()-1))-1, "")</f>
        <v>5.1394583221686219E-2</v>
      </c>
      <c r="S135" s="8" cm="1">
        <f t="array" aca="1" ref="S135" ca="1">IF(ROW()-2&gt;1, (O135/INDIRECT("O"&amp;ROW()-1))-1, "")</f>
        <v>0.14983986478555855</v>
      </c>
    </row>
    <row r="136" spans="2:19" x14ac:dyDescent="0.35">
      <c r="B136" s="3">
        <v>43599</v>
      </c>
      <c r="C136" s="4">
        <v>22803207</v>
      </c>
      <c r="D136" s="4">
        <v>5700801</v>
      </c>
      <c r="E136" s="4">
        <v>2280320</v>
      </c>
      <c r="F136" s="4">
        <v>1731219</v>
      </c>
      <c r="G136" s="4">
        <v>1433796</v>
      </c>
      <c r="H136" s="8">
        <f>IF(C136&gt;0, G136/C136, 0)</f>
        <v>6.287694533492591E-2</v>
      </c>
      <c r="I136" s="8" cm="1">
        <f t="array" aca="1" ref="I136" ca="1">IF(ROW()-2&gt;7, (G136/INDIRECT("G"&amp;ROW()-7))-1, "")</f>
        <v>9.5618126577945217E-2</v>
      </c>
      <c r="J136" s="8" cm="1">
        <f t="array" aca="1" ref="J136" ca="1">IF(ROW()-2&gt;7, (C136/INDIRECT("C"&amp;ROW()-7))-1, "")</f>
        <v>2.9411755411675955E-2</v>
      </c>
      <c r="K136" s="8" cm="1">
        <f t="array" aca="1" ref="K136" ca="1">IF(ROW()-2&gt;7, (H136/INDIRECT("H"&amp;ROW()-7))-1, "")</f>
        <v>6.4314761142194588E-2</v>
      </c>
      <c r="L136" s="8">
        <f>IF(D136&gt;0, D136/C136, 0)</f>
        <v>0.24999996710988942</v>
      </c>
      <c r="M136" s="8">
        <f>IF(D136&gt;0, E136/D136, 0)</f>
        <v>0.39999992983442151</v>
      </c>
      <c r="N136" s="8">
        <f>IF(E136&gt;0, F136/E136, 0)</f>
        <v>0.75920002455795677</v>
      </c>
      <c r="O136" s="8">
        <f>IF(F136&gt;0, G136/F136, 0)</f>
        <v>0.82820024502965828</v>
      </c>
      <c r="P136" s="8" cm="1">
        <f t="array" aca="1" ref="P136" ca="1">IF(ROW()-2&gt;1, (L136/INDIRECT("L"&amp;ROW()-1))-1, "")</f>
        <v>-3.8461672057339191E-2</v>
      </c>
      <c r="Q136" s="8" cm="1">
        <f t="array" aca="1" ref="Q136" ca="1">IF(ROW()-2&gt;1, (M136/INDIRECT("M"&amp;ROW()-1))-1, "")</f>
        <v>5.2631516946945123E-2</v>
      </c>
      <c r="R136" s="8" cm="1">
        <f t="array" aca="1" ref="R136" ca="1">IF(ROW()-2&gt;1, (N136/INDIRECT("N"&amp;ROW()-1))-1, "")</f>
        <v>9.4737031553737694E-2</v>
      </c>
      <c r="S136" s="8" cm="1">
        <f t="array" aca="1" ref="S136" ca="1">IF(ROW()-2&gt;1, (O136/INDIRECT("O"&amp;ROW()-1))-1, "")</f>
        <v>-3.8094888595792797E-2</v>
      </c>
    </row>
    <row r="137" spans="2:19" x14ac:dyDescent="0.35">
      <c r="B137" s="3">
        <v>43600</v>
      </c>
      <c r="C137" s="4">
        <v>21934513</v>
      </c>
      <c r="D137" s="4">
        <v>5483628</v>
      </c>
      <c r="E137" s="4">
        <v>2303123</v>
      </c>
      <c r="F137" s="4">
        <v>1647654</v>
      </c>
      <c r="G137" s="4">
        <v>1283523</v>
      </c>
      <c r="H137" s="8">
        <f>IF(C137&gt;0, G137/C137, 0)</f>
        <v>5.8516138470911118E-2</v>
      </c>
      <c r="I137" s="8" cm="1">
        <f t="array" aca="1" ref="I137" ca="1">IF(ROW()-2&gt;7, (G137/INDIRECT("G"&amp;ROW()-7))-1, "")</f>
        <v>-3.8461596087691285E-2</v>
      </c>
      <c r="J137" s="8" cm="1">
        <f t="array" aca="1" ref="J137" ca="1">IF(ROW()-2&gt;7, (C137/INDIRECT("C"&amp;ROW()-7))-1, "")</f>
        <v>-3.809525563663041E-2</v>
      </c>
      <c r="K137" s="8" cm="1">
        <f t="array" aca="1" ref="K137" ca="1">IF(ROW()-2&gt;7, (H137/INDIRECT("H"&amp;ROW()-7))-1, "")</f>
        <v>-3.808489907213275E-4</v>
      </c>
      <c r="L137" s="8">
        <f>IF(D137&gt;0, D137/C137, 0)</f>
        <v>0.24999998860243672</v>
      </c>
      <c r="M137" s="8">
        <f>IF(D137&gt;0, E137/D137, 0)</f>
        <v>0.41999986140562418</v>
      </c>
      <c r="N137" s="8">
        <f>IF(E137&gt;0, F137/E137, 0)</f>
        <v>0.71539991567970973</v>
      </c>
      <c r="O137" s="8">
        <f>IF(F137&gt;0, G137/F137, 0)</f>
        <v>0.7790003240971709</v>
      </c>
      <c r="P137" s="8" cm="1">
        <f t="array" aca="1" ref="P137" ca="1">IF(ROW()-2&gt;1, (L137/INDIRECT("L"&amp;ROW()-1))-1, "")</f>
        <v>8.5970200514040584E-8</v>
      </c>
      <c r="Q137" s="8" cm="1">
        <f t="array" aca="1" ref="Q137" ca="1">IF(ROW()-2&gt;1, (M137/INDIRECT("M"&amp;ROW()-1))-1, "")</f>
        <v>4.9999837698675442E-2</v>
      </c>
      <c r="R137" s="8" cm="1">
        <f t="array" aca="1" ref="R137" ca="1">IF(ROW()-2&gt;1, (N137/INDIRECT("N"&amp;ROW()-1))-1, "")</f>
        <v>-5.7692449237932486E-2</v>
      </c>
      <c r="S137" s="8" cm="1">
        <f t="array" aca="1" ref="S137" ca="1">IF(ROW()-2&gt;1, (O137/INDIRECT("O"&amp;ROW()-1))-1, "")</f>
        <v>-5.9405827549260715E-2</v>
      </c>
    </row>
    <row r="138" spans="2:19" x14ac:dyDescent="0.35">
      <c r="B138" s="3">
        <v>43601</v>
      </c>
      <c r="C138" s="4">
        <v>21065820</v>
      </c>
      <c r="D138" s="4">
        <v>5424448</v>
      </c>
      <c r="E138" s="4">
        <v>2256570</v>
      </c>
      <c r="F138" s="4">
        <v>1680242</v>
      </c>
      <c r="G138" s="4">
        <v>1377798</v>
      </c>
      <c r="H138" s="8">
        <f>IF(C138&gt;0, G138/C138, 0)</f>
        <v>6.5404432393327203E-2</v>
      </c>
      <c r="I138" s="8" cm="1">
        <f t="array" aca="1" ref="I138" ca="1">IF(ROW()-2&gt;7, (G138/INDIRECT("G"&amp;ROW()-7))-1, "")</f>
        <v>0.13802425552968423</v>
      </c>
      <c r="J138" s="8" cm="1">
        <f t="array" aca="1" ref="J138" ca="1">IF(ROW()-2&gt;7, (C138/INDIRECT("C"&amp;ROW()-7))-1, "")</f>
        <v>0</v>
      </c>
      <c r="K138" s="8" cm="1">
        <f t="array" aca="1" ref="K138" ca="1">IF(ROW()-2&gt;7, (H138/INDIRECT("H"&amp;ROW()-7))-1, "")</f>
        <v>0.13802425552968423</v>
      </c>
      <c r="L138" s="8">
        <f>IF(D138&gt;0, D138/C138, 0)</f>
        <v>0.25749996914432954</v>
      </c>
      <c r="M138" s="8">
        <f>IF(D138&gt;0, E138/D138, 0)</f>
        <v>0.41599993215899572</v>
      </c>
      <c r="N138" s="8">
        <f>IF(E138&gt;0, F138/E138, 0)</f>
        <v>0.74459999025069024</v>
      </c>
      <c r="O138" s="8">
        <f>IF(F138&gt;0, G138/F138, 0)</f>
        <v>0.81999973813295945</v>
      </c>
      <c r="P138" s="8" cm="1">
        <f t="array" aca="1" ref="P138" ca="1">IF(ROW()-2&gt;1, (L138/INDIRECT("L"&amp;ROW()-1))-1, "")</f>
        <v>2.9999923535275475E-2</v>
      </c>
      <c r="Q138" s="8" cm="1">
        <f t="array" aca="1" ref="Q138" ca="1">IF(ROW()-2&gt;1, (M138/INDIRECT("M"&amp;ROW()-1))-1, "")</f>
        <v>-9.5236442060760984E-3</v>
      </c>
      <c r="R138" s="8" cm="1">
        <f t="array" aca="1" ref="R138" ca="1">IF(ROW()-2&gt;1, (N138/INDIRECT("N"&amp;ROW()-1))-1, "")</f>
        <v>4.0816435578185928E-2</v>
      </c>
      <c r="S138" s="8" cm="1">
        <f t="array" aca="1" ref="S138" ca="1">IF(ROW()-2&gt;1, (O138/INDIRECT("O"&amp;ROW()-1))-1, "")</f>
        <v>5.2630804850184232E-2</v>
      </c>
    </row>
    <row r="139" spans="2:19" x14ac:dyDescent="0.35">
      <c r="B139" s="3">
        <v>43602</v>
      </c>
      <c r="C139" s="4">
        <v>20631473</v>
      </c>
      <c r="D139" s="4">
        <v>5312604</v>
      </c>
      <c r="E139" s="4">
        <v>2082540</v>
      </c>
      <c r="F139" s="4">
        <v>1489849</v>
      </c>
      <c r="G139" s="4">
        <v>1185026</v>
      </c>
      <c r="H139" s="8">
        <f>IF(C139&gt;0, G139/C139, 0)</f>
        <v>5.7437779648598045E-2</v>
      </c>
      <c r="I139" s="8" cm="1">
        <f t="array" aca="1" ref="I139" ca="1">IF(ROW()-2&gt;7, (G139/INDIRECT("G"&amp;ROW()-7))-1, "")</f>
        <v>-0.11385018040418016</v>
      </c>
      <c r="J139" s="8" cm="1">
        <f t="array" aca="1" ref="J139" ca="1">IF(ROW()-2&gt;7, (C139/INDIRECT("C"&amp;ROW()-7))-1, "")</f>
        <v>-2.0618565999329763E-2</v>
      </c>
      <c r="K139" s="8" cm="1">
        <f t="array" aca="1" ref="K139" ca="1">IF(ROW()-2&gt;7, (H139/INDIRECT("H"&amp;ROW()-7))-1, "")</f>
        <v>-9.5194386138206633E-2</v>
      </c>
      <c r="L139" s="8">
        <f>IF(D139&gt;0, D139/C139, 0)</f>
        <v>0.25749998558028309</v>
      </c>
      <c r="M139" s="8">
        <f>IF(D139&gt;0, E139/D139, 0)</f>
        <v>0.39199985543812416</v>
      </c>
      <c r="N139" s="8">
        <f>IF(E139&gt;0, F139/E139, 0)</f>
        <v>0.71539994429878895</v>
      </c>
      <c r="O139" s="8">
        <f>IF(F139&gt;0, G139/F139, 0)</f>
        <v>0.79540007074542451</v>
      </c>
      <c r="P139" s="8" cm="1">
        <f t="array" aca="1" ref="P139" ca="1">IF(ROW()-2&gt;1, (L139/INDIRECT("L"&amp;ROW()-1))-1, "")</f>
        <v>6.3828953456024351E-8</v>
      </c>
      <c r="Q139" s="8" cm="1">
        <f t="array" aca="1" ref="Q139" ca="1">IF(ROW()-2&gt;1, (M139/INDIRECT("M"&amp;ROW()-1))-1, "")</f>
        <v>-5.7692501525934636E-2</v>
      </c>
      <c r="R139" s="8" cm="1">
        <f t="array" aca="1" ref="R139" ca="1">IF(ROW()-2&gt;1, (N139/INDIRECT("N"&amp;ROW()-1))-1, "")</f>
        <v>-3.9215748501514547E-2</v>
      </c>
      <c r="S139" s="8" cm="1">
        <f t="array" aca="1" ref="S139" ca="1">IF(ROW()-2&gt;1, (O139/INDIRECT("O"&amp;ROW()-1))-1, "")</f>
        <v>-2.9999603955417564E-2</v>
      </c>
    </row>
    <row r="140" spans="2:19" x14ac:dyDescent="0.35">
      <c r="B140" s="3">
        <v>43603</v>
      </c>
      <c r="C140" s="4">
        <v>44889750</v>
      </c>
      <c r="D140" s="4">
        <v>9332579</v>
      </c>
      <c r="E140" s="4">
        <v>3331730</v>
      </c>
      <c r="F140" s="4">
        <v>2152298</v>
      </c>
      <c r="G140" s="4">
        <v>1745944</v>
      </c>
      <c r="H140" s="8">
        <f>IF(C140&gt;0, G140/C140, 0)</f>
        <v>3.8894045968177589E-2</v>
      </c>
      <c r="I140" s="8" cm="1">
        <f t="array" aca="1" ref="I140" ca="1">IF(ROW()-2&gt;7, (G140/INDIRECT("G"&amp;ROW()-7))-1, "")</f>
        <v>4.0192888689237538E-2</v>
      </c>
      <c r="J140" s="8" cm="1">
        <f t="array" aca="1" ref="J140" ca="1">IF(ROW()-2&gt;7, (C140/INDIRECT("C"&amp;ROW()-7))-1, "")</f>
        <v>-1.9607843137254943E-2</v>
      </c>
      <c r="K140" s="8" cm="1">
        <f t="array" aca="1" ref="K140" ca="1">IF(ROW()-2&gt;7, (H140/INDIRECT("H"&amp;ROW()-7))-1, "")</f>
        <v>6.0996746463022111E-2</v>
      </c>
      <c r="L140" s="8">
        <f>IF(D140&gt;0, D140/C140, 0)</f>
        <v>0.20789999944307999</v>
      </c>
      <c r="M140" s="8">
        <f>IF(D140&gt;0, E140/D140, 0)</f>
        <v>0.35699992467248337</v>
      </c>
      <c r="N140" s="8">
        <f>IF(E140&gt;0, F140/E140, 0)</f>
        <v>0.64600012606063517</v>
      </c>
      <c r="O140" s="8">
        <f>IF(F140&gt;0, G140/F140, 0)</f>
        <v>0.81119993606833252</v>
      </c>
      <c r="P140" s="8" cm="1">
        <f t="array" aca="1" ref="P140" ca="1">IF(ROW()-2&gt;1, (L140/INDIRECT("L"&amp;ROW()-1))-1, "")</f>
        <v>-0.19262131617377842</v>
      </c>
      <c r="Q140" s="8" cm="1">
        <f t="array" aca="1" ref="Q140" ca="1">IF(ROW()-2&gt;1, (M140/INDIRECT("M"&amp;ROW()-1))-1, "")</f>
        <v>-8.9285570594210051E-2</v>
      </c>
      <c r="R140" s="8" cm="1">
        <f t="array" aca="1" ref="R140" ca="1">IF(ROW()-2&gt;1, (N140/INDIRECT("N"&amp;ROW()-1))-1, "")</f>
        <v>-9.7008419963153791E-2</v>
      </c>
      <c r="S140" s="8" cm="1">
        <f t="array" aca="1" ref="S140" ca="1">IF(ROW()-2&gt;1, (O140/INDIRECT("O"&amp;ROW()-1))-1, "")</f>
        <v>1.9864048174022431E-2</v>
      </c>
    </row>
    <row r="141" spans="2:19" x14ac:dyDescent="0.35">
      <c r="B141" s="3">
        <v>43604</v>
      </c>
      <c r="C141" s="4">
        <v>47134238</v>
      </c>
      <c r="D141" s="4">
        <v>9403280</v>
      </c>
      <c r="E141" s="4">
        <v>3069230</v>
      </c>
      <c r="F141" s="4">
        <v>2066206</v>
      </c>
      <c r="G141" s="4">
        <v>1547175</v>
      </c>
      <c r="H141" s="8">
        <f>IF(C141&gt;0, G141/C141, 0)</f>
        <v>3.2824865016381509E-2</v>
      </c>
      <c r="I141" s="8" cm="1">
        <f t="array" aca="1" ref="I141" ca="1">IF(ROW()-2&gt;7, (G141/INDIRECT("G"&amp;ROW()-7))-1, "")</f>
        <v>-1.0784869725448676E-2</v>
      </c>
      <c r="J141" s="8" cm="1">
        <f t="array" aca="1" ref="J141" ca="1">IF(ROW()-2&gt;7, (C141/INDIRECT("C"&amp;ROW()-7))-1, "")</f>
        <v>0.10526315666056507</v>
      </c>
      <c r="K141" s="8" cm="1">
        <f t="array" aca="1" ref="K141" ca="1">IF(ROW()-2&gt;7, (H141/INDIRECT("H"&amp;ROW()-7))-1, "")</f>
        <v>-0.10499583351411135</v>
      </c>
      <c r="L141" s="8">
        <f>IF(D141&gt;0, D141/C141, 0)</f>
        <v>0.19949998979510394</v>
      </c>
      <c r="M141" s="8">
        <f>IF(D141&gt;0, E141/D141, 0)</f>
        <v>0.32639993704324449</v>
      </c>
      <c r="N141" s="8">
        <f>IF(E141&gt;0, F141/E141, 0)</f>
        <v>0.67320011859652096</v>
      </c>
      <c r="O141" s="8">
        <f>IF(F141&gt;0, G141/F141, 0)</f>
        <v>0.74879997444591684</v>
      </c>
      <c r="P141" s="8" cm="1">
        <f t="array" aca="1" ref="P141" ca="1">IF(ROW()-2&gt;1, (L141/INDIRECT("L"&amp;ROW()-1))-1, "")</f>
        <v>-4.0404086919085591E-2</v>
      </c>
      <c r="Q141" s="8" cm="1">
        <f t="array" aca="1" ref="Q141" ca="1">IF(ROW()-2&gt;1, (M141/INDIRECT("M"&amp;ROW()-1))-1, "")</f>
        <v>-8.571426914812863E-2</v>
      </c>
      <c r="R141" s="8" cm="1">
        <f t="array" aca="1" ref="R141" ca="1">IF(ROW()-2&gt;1, (N141/INDIRECT("N"&amp;ROW()-1))-1, "")</f>
        <v>4.2105243387108526E-2</v>
      </c>
      <c r="S141" s="8" cm="1">
        <f t="array" aca="1" ref="S141" ca="1">IF(ROW()-2&gt;1, (O141/INDIRECT("O"&amp;ROW()-1))-1, "")</f>
        <v>-7.6923035675830365E-2</v>
      </c>
    </row>
    <row r="142" spans="2:19" x14ac:dyDescent="0.35">
      <c r="B142" s="3">
        <v>43605</v>
      </c>
      <c r="C142" s="4">
        <v>22368860</v>
      </c>
      <c r="D142" s="4">
        <v>5480370</v>
      </c>
      <c r="E142" s="4">
        <v>2148305</v>
      </c>
      <c r="F142" s="4">
        <v>1536897</v>
      </c>
      <c r="G142" s="4">
        <v>1310666</v>
      </c>
      <c r="H142" s="8">
        <f>IF(C142&gt;0, G142/C142, 0)</f>
        <v>5.8593330192061643E-2</v>
      </c>
      <c r="I142" s="8" cm="1">
        <f t="array" aca="1" ref="I142" ca="1">IF(ROW()-2&gt;7, (G142/INDIRECT("G"&amp;ROW()-7))-1, "")</f>
        <v>6.5633229561417927E-2</v>
      </c>
      <c r="J142" s="8" cm="1">
        <f t="array" aca="1" ref="J142" ca="1">IF(ROW()-2&gt;7, (C142/INDIRECT("C"&amp;ROW()-7))-1, "")</f>
        <v>7.2916677658587448E-2</v>
      </c>
      <c r="K142" s="8" cm="1">
        <f t="array" aca="1" ref="K142" ca="1">IF(ROW()-2&gt;7, (H142/INDIRECT("H"&amp;ROW()-7))-1, "")</f>
        <v>-6.7884564093682043E-3</v>
      </c>
      <c r="L142" s="8">
        <f>IF(D142&gt;0, D142/C142, 0)</f>
        <v>0.24499996870649643</v>
      </c>
      <c r="M142" s="8">
        <f>IF(D142&gt;0, E142/D142, 0)</f>
        <v>0.39199999270122271</v>
      </c>
      <c r="N142" s="8">
        <f>IF(E142&gt;0, F142/E142, 0)</f>
        <v>0.71539981520314855</v>
      </c>
      <c r="O142" s="8">
        <f>IF(F142&gt;0, G142/F142, 0)</f>
        <v>0.85280015511774698</v>
      </c>
      <c r="P142" s="8" cm="1">
        <f t="array" aca="1" ref="P142" ca="1">IF(ROW()-2&gt;1, (L142/INDIRECT("L"&amp;ROW()-1))-1, "")</f>
        <v>0.22807008139761376</v>
      </c>
      <c r="Q142" s="8" cm="1">
        <f t="array" aca="1" ref="Q142" ca="1">IF(ROW()-2&gt;1, (M142/INDIRECT("M"&amp;ROW()-1))-1, "")</f>
        <v>0.20098060144321317</v>
      </c>
      <c r="R142" s="8" cm="1">
        <f t="array" aca="1" ref="R142" ca="1">IF(ROW()-2&gt;1, (N142/INDIRECT("N"&amp;ROW()-1))-1, "")</f>
        <v>6.2685218616129967E-2</v>
      </c>
      <c r="S142" s="8" cm="1">
        <f t="array" aca="1" ref="S142" ca="1">IF(ROW()-2&gt;1, (O142/INDIRECT("O"&amp;ROW()-1))-1, "")</f>
        <v>0.138889134910543</v>
      </c>
    </row>
    <row r="143" spans="2:19" x14ac:dyDescent="0.35">
      <c r="B143" s="3">
        <v>43606</v>
      </c>
      <c r="C143" s="4">
        <v>22368860</v>
      </c>
      <c r="D143" s="4">
        <v>5424448</v>
      </c>
      <c r="E143" s="4">
        <v>2148081</v>
      </c>
      <c r="F143" s="4">
        <v>1521056</v>
      </c>
      <c r="G143" s="4">
        <v>1234793</v>
      </c>
      <c r="H143" s="8">
        <f>IF(C143&gt;0, G143/C143, 0)</f>
        <v>5.5201427341402286E-2</v>
      </c>
      <c r="I143" s="8" cm="1">
        <f t="array" aca="1" ref="I143" ca="1">IF(ROW()-2&gt;7, (G143/INDIRECT("G"&amp;ROW()-7))-1, "")</f>
        <v>-0.13879450075185029</v>
      </c>
      <c r="J143" s="8" cm="1">
        <f t="array" aca="1" ref="J143" ca="1">IF(ROW()-2&gt;7, (C143/INDIRECT("C"&amp;ROW()-7))-1, "")</f>
        <v>-1.9047627818315149E-2</v>
      </c>
      <c r="K143" s="8" cm="1">
        <f t="array" aca="1" ref="K143" ca="1">IF(ROW()-2&gt;7, (H143/INDIRECT("H"&amp;ROW()-7))-1, "")</f>
        <v>-0.12207205602369087</v>
      </c>
      <c r="L143" s="8">
        <f>IF(D143&gt;0, D143/C143, 0)</f>
        <v>0.24249997541224722</v>
      </c>
      <c r="M143" s="8">
        <f>IF(D143&gt;0, E143/D143, 0)</f>
        <v>0.39599992478497353</v>
      </c>
      <c r="N143" s="8">
        <f>IF(E143&gt;0, F143/E143, 0)</f>
        <v>0.7080999273304871</v>
      </c>
      <c r="O143" s="8">
        <f>IF(F143&gt;0, G143/F143, 0)</f>
        <v>0.81179982854017207</v>
      </c>
      <c r="P143" s="8" cm="1">
        <f t="array" aca="1" ref="P143" ca="1">IF(ROW()-2&gt;1, (L143/INDIRECT("L"&amp;ROW()-1))-1, "")</f>
        <v>-1.020405556559123E-2</v>
      </c>
      <c r="Q143" s="8" cm="1">
        <f t="array" aca="1" ref="Q143" ca="1">IF(ROW()-2&gt;1, (M143/INDIRECT("M"&amp;ROW()-1))-1, "")</f>
        <v>1.0203908566905229E-2</v>
      </c>
      <c r="R143" s="8" cm="1">
        <f t="array" aca="1" ref="R143" ca="1">IF(ROW()-2&gt;1, (N143/INDIRECT("N"&amp;ROW()-1))-1, "")</f>
        <v>-1.0203927534687018E-2</v>
      </c>
      <c r="S143" s="8" cm="1">
        <f t="array" aca="1" ref="S143" ca="1">IF(ROW()-2&gt;1, (O143/INDIRECT("O"&amp;ROW()-1))-1, "")</f>
        <v>-4.8077297279470965E-2</v>
      </c>
    </row>
    <row r="144" spans="2:19" x14ac:dyDescent="0.35">
      <c r="B144" s="3">
        <v>43607</v>
      </c>
      <c r="C144" s="4">
        <v>21934513</v>
      </c>
      <c r="D144" s="4">
        <v>5648137</v>
      </c>
      <c r="E144" s="4">
        <v>2372217</v>
      </c>
      <c r="F144" s="4">
        <v>1818304</v>
      </c>
      <c r="G144" s="4">
        <v>1476099</v>
      </c>
      <c r="H144" s="8">
        <f>IF(C144&gt;0, G144/C144, 0)</f>
        <v>6.7295727058084218E-2</v>
      </c>
      <c r="I144" s="8" cm="1">
        <f t="array" aca="1" ref="I144" ca="1">IF(ROW()-2&gt;7, (G144/INDIRECT("G"&amp;ROW()-7))-1, "")</f>
        <v>0.15003704647287197</v>
      </c>
      <c r="J144" s="8" cm="1">
        <f t="array" aca="1" ref="J144" ca="1">IF(ROW()-2&gt;7, (C144/INDIRECT("C"&amp;ROW()-7))-1, "")</f>
        <v>0</v>
      </c>
      <c r="K144" s="8" cm="1">
        <f t="array" aca="1" ref="K144" ca="1">IF(ROW()-2&gt;7, (H144/INDIRECT("H"&amp;ROW()-7))-1, "")</f>
        <v>0.15003704647287197</v>
      </c>
      <c r="L144" s="8">
        <f>IF(D144&gt;0, D144/C144, 0)</f>
        <v>0.25749999555495034</v>
      </c>
      <c r="M144" s="8">
        <f>IF(D144&gt;0, E144/D144, 0)</f>
        <v>0.41999990439325391</v>
      </c>
      <c r="N144" s="8">
        <f>IF(E144&gt;0, F144/E144, 0)</f>
        <v>0.76649986067885023</v>
      </c>
      <c r="O144" s="8">
        <f>IF(F144&gt;0, G144/F144, 0)</f>
        <v>0.81179989704691846</v>
      </c>
      <c r="P144" s="8" cm="1">
        <f t="array" aca="1" ref="P144" ca="1">IF(ROW()-2&gt;1, (L144/INDIRECT("L"&amp;ROW()-1))-1, "")</f>
        <v>6.1855759437514424E-2</v>
      </c>
      <c r="Q144" s="8" cm="1">
        <f t="array" aca="1" ref="Q144" ca="1">IF(ROW()-2&gt;1, (M144/INDIRECT("M"&amp;ROW()-1))-1, "")</f>
        <v>6.060602062314091E-2</v>
      </c>
      <c r="R144" s="8" cm="1">
        <f t="array" aca="1" ref="R144" ca="1">IF(ROW()-2&gt;1, (N144/INDIRECT("N"&amp;ROW()-1))-1, "")</f>
        <v>8.2474141140684631E-2</v>
      </c>
      <c r="S144" s="8" cm="1">
        <f t="array" aca="1" ref="S144" ca="1">IF(ROW()-2&gt;1, (O144/INDIRECT("O"&amp;ROW()-1))-1, "")</f>
        <v>8.4388717569439109E-8</v>
      </c>
    </row>
    <row r="145" spans="2:19" x14ac:dyDescent="0.35">
      <c r="B145" s="3">
        <v>43608</v>
      </c>
      <c r="C145" s="4">
        <v>21065820</v>
      </c>
      <c r="D145" s="4">
        <v>5319119</v>
      </c>
      <c r="E145" s="4">
        <v>2234030</v>
      </c>
      <c r="F145" s="4">
        <v>1614533</v>
      </c>
      <c r="G145" s="4">
        <v>1310678</v>
      </c>
      <c r="H145" s="8">
        <f>IF(C145&gt;0, G145/C145, 0)</f>
        <v>6.2218228390824568E-2</v>
      </c>
      <c r="I145" s="8" cm="1">
        <f t="array" aca="1" ref="I145" ca="1">IF(ROW()-2&gt;7, (G145/INDIRECT("G"&amp;ROW()-7))-1, "")</f>
        <v>-4.8715414015697567E-2</v>
      </c>
      <c r="J145" s="8" cm="1">
        <f t="array" aca="1" ref="J145" ca="1">IF(ROW()-2&gt;7, (C145/INDIRECT("C"&amp;ROW()-7))-1, "")</f>
        <v>0</v>
      </c>
      <c r="K145" s="8" cm="1">
        <f t="array" aca="1" ref="K145" ca="1">IF(ROW()-2&gt;7, (H145/INDIRECT("H"&amp;ROW()-7))-1, "")</f>
        <v>-4.8715414015697567E-2</v>
      </c>
      <c r="L145" s="8">
        <f>IF(D145&gt;0, D145/C145, 0)</f>
        <v>0.25249997389135576</v>
      </c>
      <c r="M145" s="8">
        <f>IF(D145&gt;0, E145/D145, 0)</f>
        <v>0.42000000376002117</v>
      </c>
      <c r="N145" s="8">
        <f>IF(E145&gt;0, F145/E145, 0)</f>
        <v>0.72269978469402829</v>
      </c>
      <c r="O145" s="8">
        <f>IF(F145&gt;0, G145/F145, 0)</f>
        <v>0.81180006850278064</v>
      </c>
      <c r="P145" s="8" cm="1">
        <f t="array" aca="1" ref="P145" ca="1">IF(ROW()-2&gt;1, (L145/INDIRECT("L"&amp;ROW()-1))-1, "")</f>
        <v>-1.9417560193812022E-2</v>
      </c>
      <c r="Q145" s="8" cm="1">
        <f t="array" aca="1" ref="Q145" ca="1">IF(ROW()-2&gt;1, (M145/INDIRECT("M"&amp;ROW()-1))-1, "")</f>
        <v>2.3658759484845859E-7</v>
      </c>
      <c r="R145" s="8" cm="1">
        <f t="array" aca="1" ref="R145" ca="1">IF(ROW()-2&gt;1, (N145/INDIRECT("N"&amp;ROW()-1))-1, "")</f>
        <v>-5.7142966661507866E-2</v>
      </c>
      <c r="S145" s="8" cm="1">
        <f t="array" aca="1" ref="S145" ca="1">IF(ROW()-2&gt;1, (O145/INDIRECT("O"&amp;ROW()-1))-1, "")</f>
        <v>2.1120458715273571E-7</v>
      </c>
    </row>
    <row r="146" spans="2:19" x14ac:dyDescent="0.35">
      <c r="B146" s="3">
        <v>43609</v>
      </c>
      <c r="C146" s="4">
        <v>22368860</v>
      </c>
      <c r="D146" s="4">
        <v>5312604</v>
      </c>
      <c r="E146" s="4">
        <v>2082540</v>
      </c>
      <c r="F146" s="4">
        <v>1505052</v>
      </c>
      <c r="G146" s="4">
        <v>1295850</v>
      </c>
      <c r="H146" s="8">
        <f>IF(C146&gt;0, G146/C146, 0)</f>
        <v>5.7930980836752521E-2</v>
      </c>
      <c r="I146" s="8" cm="1">
        <f t="array" aca="1" ref="I146" ca="1">IF(ROW()-2&gt;7, (G146/INDIRECT("G"&amp;ROW()-7))-1, "")</f>
        <v>9.352031094676394E-2</v>
      </c>
      <c r="J146" s="8" cm="1">
        <f t="array" aca="1" ref="J146" ca="1">IF(ROW()-2&gt;7, (C146/INDIRECT("C"&amp;ROW()-7))-1, "")</f>
        <v>8.4210516621862075E-2</v>
      </c>
      <c r="K146" s="8" cm="1">
        <f t="array" aca="1" ref="K146" ca="1">IF(ROW()-2&gt;7, (H146/INDIRECT("H"&amp;ROW()-7))-1, "")</f>
        <v>8.5867035803239844E-3</v>
      </c>
      <c r="L146" s="8">
        <f>IF(D146&gt;0, D146/C146, 0)</f>
        <v>0.23749998882374873</v>
      </c>
      <c r="M146" s="8">
        <f>IF(D146&gt;0, E146/D146, 0)</f>
        <v>0.39199985543812416</v>
      </c>
      <c r="N146" s="8">
        <f>IF(E146&gt;0, F146/E146, 0)</f>
        <v>0.72270016422253591</v>
      </c>
      <c r="O146" s="8">
        <f>IF(F146&gt;0, G146/F146, 0)</f>
        <v>0.86100015148978237</v>
      </c>
      <c r="P146" s="8" cm="1">
        <f t="array" aca="1" ref="P146" ca="1">IF(ROW()-2&gt;1, (L146/INDIRECT("L"&amp;ROW()-1))-1, "")</f>
        <v>-5.9405887598472096E-2</v>
      </c>
      <c r="Q146" s="8" cm="1">
        <f t="array" aca="1" ref="Q146" ca="1">IF(ROW()-2&gt;1, (M146/INDIRECT("M"&amp;ROW()-1))-1, "")</f>
        <v>-6.6667019217208634E-2</v>
      </c>
      <c r="R146" s="8" cm="1">
        <f t="array" aca="1" ref="R146" ca="1">IF(ROW()-2&gt;1, (N146/INDIRECT("N"&amp;ROW()-1))-1, "")</f>
        <v>5.2515375759121241E-7</v>
      </c>
      <c r="S146" s="8" cm="1">
        <f t="array" aca="1" ref="S146" ca="1">IF(ROW()-2&gt;1, (O146/INDIRECT("O"&amp;ROW()-1))-1, "")</f>
        <v>6.0606157717801645E-2</v>
      </c>
    </row>
    <row r="147" spans="2:19" x14ac:dyDescent="0.35">
      <c r="B147" s="3">
        <v>43610</v>
      </c>
      <c r="C147" s="4">
        <v>47134238</v>
      </c>
      <c r="D147" s="4">
        <v>9898190</v>
      </c>
      <c r="E147" s="4">
        <v>3500000</v>
      </c>
      <c r="F147" s="4">
        <v>2475200</v>
      </c>
      <c r="G147" s="4">
        <v>1853429</v>
      </c>
      <c r="H147" s="8">
        <f>IF(C147&gt;0, G147/C147, 0)</f>
        <v>3.9322349923212929E-2</v>
      </c>
      <c r="I147" s="8" cm="1">
        <f t="array" aca="1" ref="I147" ca="1">IF(ROW()-2&gt;7, (G147/INDIRECT("G"&amp;ROW()-7))-1, "")</f>
        <v>6.1562684713828197E-2</v>
      </c>
      <c r="J147" s="8" cm="1">
        <f t="array" aca="1" ref="J147" ca="1">IF(ROW()-2&gt;7, (C147/INDIRECT("C"&amp;ROW()-7))-1, "")</f>
        <v>5.0000011138400247E-2</v>
      </c>
      <c r="K147" s="8" cm="1">
        <f t="array" aca="1" ref="K147" ca="1">IF(ROW()-2&gt;7, (H147/INDIRECT("H"&amp;ROW()-7))-1, "")</f>
        <v>1.1012069955020243E-2</v>
      </c>
      <c r="L147" s="8">
        <f>IF(D147&gt;0, D147/C147, 0)</f>
        <v>0.21000000042432002</v>
      </c>
      <c r="M147" s="8">
        <f>IF(D147&gt;0, E147/D147, 0)</f>
        <v>0.35360000161645716</v>
      </c>
      <c r="N147" s="8">
        <f>IF(E147&gt;0, F147/E147, 0)</f>
        <v>0.70720000000000005</v>
      </c>
      <c r="O147" s="8">
        <f>IF(F147&gt;0, G147/F147, 0)</f>
        <v>0.74879969295410476</v>
      </c>
      <c r="P147" s="8" cm="1">
        <f t="array" aca="1" ref="P147" ca="1">IF(ROW()-2&gt;1, (L147/INDIRECT("L"&amp;ROW()-1))-1, "")</f>
        <v>-0.1157894302885073</v>
      </c>
      <c r="Q147" s="8" cm="1">
        <f t="array" aca="1" ref="Q147" ca="1">IF(ROW()-2&gt;1, (M147/INDIRECT("M"&amp;ROW()-1))-1, "")</f>
        <v>-9.7958846894851126E-2</v>
      </c>
      <c r="R147" s="8" cm="1">
        <f t="array" aca="1" ref="R147" ca="1">IF(ROW()-2&gt;1, (N147/INDIRECT("N"&amp;ROW()-1))-1, "")</f>
        <v>-2.1447572575565399E-2</v>
      </c>
      <c r="S147" s="8" cm="1">
        <f t="array" aca="1" ref="S147" ca="1">IF(ROW()-2&gt;1, (O147/INDIRECT("O"&amp;ROW()-1))-1, "")</f>
        <v>-0.13031409848365061</v>
      </c>
    </row>
    <row r="148" spans="2:19" x14ac:dyDescent="0.35">
      <c r="B148" s="3">
        <v>43611</v>
      </c>
      <c r="C148" s="4">
        <v>47134238</v>
      </c>
      <c r="D148" s="4">
        <v>9799208</v>
      </c>
      <c r="E148" s="4">
        <v>3365048</v>
      </c>
      <c r="F148" s="4">
        <v>2288232</v>
      </c>
      <c r="G148" s="4">
        <v>1695580</v>
      </c>
      <c r="H148" s="8">
        <f>IF(C148&gt;0, G148/C148, 0)</f>
        <v>3.5973425517136823E-2</v>
      </c>
      <c r="I148" s="8" cm="1">
        <f t="array" aca="1" ref="I148" ca="1">IF(ROW()-2&gt;7, (G148/INDIRECT("G"&amp;ROW()-7))-1, "")</f>
        <v>9.5919983195178249E-2</v>
      </c>
      <c r="J148" s="8" cm="1">
        <f t="array" aca="1" ref="J148" ca="1">IF(ROW()-2&gt;7, (C148/INDIRECT("C"&amp;ROW()-7))-1, "")</f>
        <v>0</v>
      </c>
      <c r="K148" s="8" cm="1">
        <f t="array" aca="1" ref="K148" ca="1">IF(ROW()-2&gt;7, (H148/INDIRECT("H"&amp;ROW()-7))-1, "")</f>
        <v>9.5919983195178471E-2</v>
      </c>
      <c r="L148" s="8">
        <f>IF(D148&gt;0, D148/C148, 0)</f>
        <v>0.2078999982984768</v>
      </c>
      <c r="M148" s="8">
        <f>IF(D148&gt;0, E148/D148, 0)</f>
        <v>0.34339999722426545</v>
      </c>
      <c r="N148" s="8">
        <f>IF(E148&gt;0, F148/E148, 0)</f>
        <v>0.67999980980954799</v>
      </c>
      <c r="O148" s="8">
        <f>IF(F148&gt;0, G148/F148, 0)</f>
        <v>0.74100003845763895</v>
      </c>
      <c r="P148" s="8" cm="1">
        <f t="array" aca="1" ref="P148" ca="1">IF(ROW()-2&gt;1, (L148/INDIRECT("L"&amp;ROW()-1))-1, "")</f>
        <v>-1.0000010102857226E-2</v>
      </c>
      <c r="Q148" s="8" cm="1">
        <f t="array" aca="1" ref="Q148" ca="1">IF(ROW()-2&gt;1, (M148/INDIRECT("M"&amp;ROW()-1))-1, "")</f>
        <v>-2.8846166135642282E-2</v>
      </c>
      <c r="R148" s="8" cm="1">
        <f t="array" aca="1" ref="R148" ca="1">IF(ROW()-2&gt;1, (N148/INDIRECT("N"&amp;ROW()-1))-1, "")</f>
        <v>-3.8461807396001246E-2</v>
      </c>
      <c r="S148" s="8" cm="1">
        <f t="array" aca="1" ref="S148" ca="1">IF(ROW()-2&gt;1, (O148/INDIRECT("O"&amp;ROW()-1))-1, "")</f>
        <v>-1.0416209528205322E-2</v>
      </c>
    </row>
    <row r="149" spans="2:19" x14ac:dyDescent="0.35">
      <c r="B149" s="3">
        <v>43612</v>
      </c>
      <c r="C149" s="4">
        <v>21065820</v>
      </c>
      <c r="D149" s="4">
        <v>5055796</v>
      </c>
      <c r="E149" s="4">
        <v>1941425</v>
      </c>
      <c r="F149" s="4">
        <v>1445585</v>
      </c>
      <c r="G149" s="4">
        <v>1126111</v>
      </c>
      <c r="H149" s="8">
        <f>IF(C149&gt;0, G149/C149, 0)</f>
        <v>5.3456784497351632E-2</v>
      </c>
      <c r="I149" s="8" cm="1">
        <f t="array" aca="1" ref="I149" ca="1">IF(ROW()-2&gt;7, (G149/INDIRECT("G"&amp;ROW()-7))-1, "")</f>
        <v>-0.14081009196851069</v>
      </c>
      <c r="J149" s="8" cm="1">
        <f t="array" aca="1" ref="J149" ca="1">IF(ROW()-2&gt;7, (C149/INDIRECT("C"&amp;ROW()-7))-1, "")</f>
        <v>-5.8252409823299045E-2</v>
      </c>
      <c r="K149" s="8" cm="1">
        <f t="array" aca="1" ref="K149" ca="1">IF(ROW()-2&gt;7, (H149/INDIRECT("H"&amp;ROW()-7))-1, "")</f>
        <v>-8.7664341280365043E-2</v>
      </c>
      <c r="L149" s="8">
        <f>IF(D149&gt;0, D149/C149, 0)</f>
        <v>0.2399999620237902</v>
      </c>
      <c r="M149" s="8">
        <f>IF(D149&gt;0, E149/D149, 0)</f>
        <v>0.383999868665587</v>
      </c>
      <c r="N149" s="8">
        <f>IF(E149&gt;0, F149/E149, 0)</f>
        <v>0.74459997167029368</v>
      </c>
      <c r="O149" s="8">
        <f>IF(F149&gt;0, G149/F149, 0)</f>
        <v>0.77900019715201807</v>
      </c>
      <c r="P149" s="8" cm="1">
        <f t="array" aca="1" ref="P149" ca="1">IF(ROW()-2&gt;1, (L149/INDIRECT("L"&amp;ROW()-1))-1, "")</f>
        <v>0.15440098118340662</v>
      </c>
      <c r="Q149" s="8" cm="1">
        <f t="array" aca="1" ref="Q149" ca="1">IF(ROW()-2&gt;1, (M149/INDIRECT("M"&amp;ROW()-1))-1, "")</f>
        <v>0.11822909659142145</v>
      </c>
      <c r="R149" s="8" cm="1">
        <f t="array" aca="1" ref="R149" ca="1">IF(ROW()-2&gt;1, (N149/INDIRECT("N"&amp;ROW()-1))-1, "")</f>
        <v>9.5000264601307283E-2</v>
      </c>
      <c r="S149" s="8" cm="1">
        <f t="array" aca="1" ref="S149" ca="1">IF(ROW()-2&gt;1, (O149/INDIRECT("O"&amp;ROW()-1))-1, "")</f>
        <v>5.1282262782974763E-2</v>
      </c>
    </row>
    <row r="150" spans="2:19" x14ac:dyDescent="0.35">
      <c r="B150" s="3">
        <v>43613</v>
      </c>
      <c r="C150" s="4">
        <v>22586034</v>
      </c>
      <c r="D150" s="4">
        <v>5477113</v>
      </c>
      <c r="E150" s="4">
        <v>2125119</v>
      </c>
      <c r="F150" s="4">
        <v>1582364</v>
      </c>
      <c r="G150" s="4">
        <v>1232661</v>
      </c>
      <c r="H150" s="8">
        <f>IF(C150&gt;0, G150/C150, 0)</f>
        <v>5.457624831344892E-2</v>
      </c>
      <c r="I150" s="8" cm="1">
        <f t="array" aca="1" ref="I150" ca="1">IF(ROW()-2&gt;7, (G150/INDIRECT("G"&amp;ROW()-7))-1, "")</f>
        <v>-1.7266051880761024E-3</v>
      </c>
      <c r="J150" s="8" cm="1">
        <f t="array" aca="1" ref="J150" ca="1">IF(ROW()-2&gt;7, (C150/INDIRECT("C"&amp;ROW()-7))-1, "")</f>
        <v>9.7087647738864913E-3</v>
      </c>
      <c r="K150" s="8" cm="1">
        <f t="array" aca="1" ref="K150" ca="1">IF(ROW()-2&gt;7, (H150/INDIRECT("H"&amp;ROW()-7))-1, "")</f>
        <v>-1.1325414179724769E-2</v>
      </c>
      <c r="L150" s="8">
        <f>IF(D150&gt;0, D150/C150, 0)</f>
        <v>0.24249998915258872</v>
      </c>
      <c r="M150" s="8">
        <f>IF(D150&gt;0, E150/D150, 0)</f>
        <v>0.38799984590421999</v>
      </c>
      <c r="N150" s="8">
        <f>IF(E150&gt;0, F150/E150, 0)</f>
        <v>0.74460018474259559</v>
      </c>
      <c r="O150" s="8">
        <f>IF(F150&gt;0, G150/F150, 0)</f>
        <v>0.778999648626991</v>
      </c>
      <c r="P150" s="8" cm="1">
        <f t="array" aca="1" ref="P150" ca="1">IF(ROW()-2&gt;1, (L150/INDIRECT("L"&amp;ROW()-1))-1, "")</f>
        <v>1.0416781351618276E-2</v>
      </c>
      <c r="Q150" s="8" cm="1">
        <f t="array" aca="1" ref="Q150" ca="1">IF(ROW()-2&gt;1, (M150/INDIRECT("M"&amp;ROW()-1))-1, "")</f>
        <v>1.0416610954928407E-2</v>
      </c>
      <c r="R150" s="8" cm="1">
        <f t="array" aca="1" ref="R150" ca="1">IF(ROW()-2&gt;1, (N150/INDIRECT("N"&amp;ROW()-1))-1, "")</f>
        <v>2.8615674185772377E-7</v>
      </c>
      <c r="S150" s="8" cm="1">
        <f t="array" aca="1" ref="S150" ca="1">IF(ROW()-2&gt;1, (O150/INDIRECT("O"&amp;ROW()-1))-1, "")</f>
        <v>-7.0413977948380335E-7</v>
      </c>
    </row>
    <row r="151" spans="2:19" x14ac:dyDescent="0.35">
      <c r="B151" s="3">
        <v>43614</v>
      </c>
      <c r="C151" s="4">
        <v>20631473</v>
      </c>
      <c r="D151" s="4">
        <v>5261025</v>
      </c>
      <c r="E151" s="4">
        <v>2146498</v>
      </c>
      <c r="F151" s="4">
        <v>1535605</v>
      </c>
      <c r="G151" s="4">
        <v>1271788</v>
      </c>
      <c r="H151" s="8">
        <f>IF(C151&gt;0, G151/C151, 0)</f>
        <v>6.1643102264196066E-2</v>
      </c>
      <c r="I151" s="8" cm="1">
        <f t="array" aca="1" ref="I151" ca="1">IF(ROW()-2&gt;7, (G151/INDIRECT("G"&amp;ROW()-7))-1, "")</f>
        <v>-0.13841280293530445</v>
      </c>
      <c r="J151" s="8" cm="1">
        <f t="array" aca="1" ref="J151" ca="1">IF(ROW()-2&gt;7, (C151/INDIRECT("C"&amp;ROW()-7))-1, "")</f>
        <v>-5.940592344129092E-2</v>
      </c>
      <c r="K151" s="8" cm="1">
        <f t="array" aca="1" ref="K151" ca="1">IF(ROW()-2&gt;7, (H151/INDIRECT("H"&amp;ROW()-7))-1, "")</f>
        <v>-8.3996786140808966E-2</v>
      </c>
      <c r="L151" s="8">
        <f>IF(D151&gt;0, D151/C151, 0)</f>
        <v>0.25499997019117343</v>
      </c>
      <c r="M151" s="8">
        <f>IF(D151&gt;0, E151/D151, 0)</f>
        <v>0.40799996198459426</v>
      </c>
      <c r="N151" s="8">
        <f>IF(E151&gt;0, F151/E151, 0)</f>
        <v>0.71540015411148761</v>
      </c>
      <c r="O151" s="8">
        <f>IF(F151&gt;0, G151/F151, 0)</f>
        <v>0.82819996027624287</v>
      </c>
      <c r="P151" s="8" cm="1">
        <f t="array" aca="1" ref="P151" ca="1">IF(ROW()-2&gt;1, (L151/INDIRECT("L"&amp;ROW()-1))-1, "")</f>
        <v>5.1546315866922932E-2</v>
      </c>
      <c r="Q151" s="8" cm="1">
        <f t="array" aca="1" ref="Q151" ca="1">IF(ROW()-2&gt;1, (M151/INDIRECT("M"&amp;ROW()-1))-1, "")</f>
        <v>5.1546711400785927E-2</v>
      </c>
      <c r="R151" s="8" cm="1">
        <f t="array" aca="1" ref="R151" ca="1">IF(ROW()-2&gt;1, (N151/INDIRECT("N"&amp;ROW()-1))-1, "")</f>
        <v>-3.921571768237242E-2</v>
      </c>
      <c r="S151" s="8" cm="1">
        <f t="array" aca="1" ref="S151" ca="1">IF(ROW()-2&gt;1, (O151/INDIRECT("O"&amp;ROW()-1))-1, "")</f>
        <v>6.3158323288038387E-2</v>
      </c>
    </row>
    <row r="152" spans="2:19" x14ac:dyDescent="0.35">
      <c r="B152" s="3">
        <v>43615</v>
      </c>
      <c r="C152" s="4">
        <v>21500167</v>
      </c>
      <c r="D152" s="4">
        <v>5428792</v>
      </c>
      <c r="E152" s="4">
        <v>2128086</v>
      </c>
      <c r="F152" s="4">
        <v>1569038</v>
      </c>
      <c r="G152" s="4">
        <v>1260879</v>
      </c>
      <c r="H152" s="8">
        <f>IF(C152&gt;0, G152/C152, 0)</f>
        <v>5.8645079361476588E-2</v>
      </c>
      <c r="I152" s="8" cm="1">
        <f t="array" aca="1" ref="I152" ca="1">IF(ROW()-2&gt;7, (G152/INDIRECT("G"&amp;ROW()-7))-1, "")</f>
        <v>-3.7994839312172735E-2</v>
      </c>
      <c r="J152" s="8" cm="1">
        <f t="array" aca="1" ref="J152" ca="1">IF(ROW()-2&gt;7, (C152/INDIRECT("C"&amp;ROW()-7))-1, "")</f>
        <v>2.0618565999329652E-2</v>
      </c>
      <c r="K152" s="8" cm="1">
        <f t="array" aca="1" ref="K152" ca="1">IF(ROW()-2&gt;7, (H152/INDIRECT("H"&amp;ROW()-7))-1, "")</f>
        <v>-5.7429295590083362E-2</v>
      </c>
      <c r="L152" s="8">
        <f>IF(D152&gt;0, D152/C152, 0)</f>
        <v>0.25249999220936281</v>
      </c>
      <c r="M152" s="8">
        <f>IF(D152&gt;0, E152/D152, 0)</f>
        <v>0.39199991452978861</v>
      </c>
      <c r="N152" s="8">
        <f>IF(E152&gt;0, F152/E152, 0)</f>
        <v>0.73730009031589894</v>
      </c>
      <c r="O152" s="8">
        <f>IF(F152&gt;0, G152/F152, 0)</f>
        <v>0.80360004027945786</v>
      </c>
      <c r="P152" s="8" cm="1">
        <f t="array" aca="1" ref="P152" ca="1">IF(ROW()-2&gt;1, (L152/INDIRECT("L"&amp;ROW()-1))-1, "")</f>
        <v>-9.8038363688293106E-3</v>
      </c>
      <c r="Q152" s="8" cm="1">
        <f t="array" aca="1" ref="Q152" ca="1">IF(ROW()-2&gt;1, (M152/INDIRECT("M"&amp;ROW()-1))-1, "")</f>
        <v>-3.9215806239241258E-2</v>
      </c>
      <c r="R152" s="8" cm="1">
        <f t="array" aca="1" ref="R152" ca="1">IF(ROW()-2&gt;1, (N152/INDIRECT("N"&amp;ROW()-1))-1, "")</f>
        <v>3.0612149128777633E-2</v>
      </c>
      <c r="S152" s="8" cm="1">
        <f t="array" aca="1" ref="S152" ca="1">IF(ROW()-2&gt;1, (O152/INDIRECT("O"&amp;ROW()-1))-1, "")</f>
        <v>-2.9702875122790129E-2</v>
      </c>
    </row>
    <row r="153" spans="2:19" x14ac:dyDescent="0.35">
      <c r="B153" s="3">
        <v>43616</v>
      </c>
      <c r="C153" s="4">
        <v>22368860</v>
      </c>
      <c r="D153" s="4">
        <v>5368526</v>
      </c>
      <c r="E153" s="4">
        <v>2211832</v>
      </c>
      <c r="F153" s="4">
        <v>1598491</v>
      </c>
      <c r="G153" s="4">
        <v>1297655</v>
      </c>
      <c r="H153" s="8">
        <f>IF(C153&gt;0, G153/C153, 0)</f>
        <v>5.8011673370927261E-2</v>
      </c>
      <c r="I153" s="8" cm="1">
        <f t="array" aca="1" ref="I153" ca="1">IF(ROW()-2&gt;7, (G153/INDIRECT("G"&amp;ROW()-7))-1, "")</f>
        <v>1.3929081297989754E-3</v>
      </c>
      <c r="J153" s="8" cm="1">
        <f t="array" aca="1" ref="J153" ca="1">IF(ROW()-2&gt;7, (C153/INDIRECT("C"&amp;ROW()-7))-1, "")</f>
        <v>0</v>
      </c>
      <c r="K153" s="8" cm="1">
        <f t="array" aca="1" ref="K153" ca="1">IF(ROW()-2&gt;7, (H153/INDIRECT("H"&amp;ROW()-7))-1, "")</f>
        <v>1.3929081297989754E-3</v>
      </c>
      <c r="L153" s="8">
        <f>IF(D153&gt;0, D153/C153, 0)</f>
        <v>0.23999998211799797</v>
      </c>
      <c r="M153" s="8">
        <f>IF(D153&gt;0, E153/D153, 0)</f>
        <v>0.41199986737514172</v>
      </c>
      <c r="N153" s="8">
        <f>IF(E153&gt;0, F153/E153, 0)</f>
        <v>0.72270000614874907</v>
      </c>
      <c r="O153" s="8">
        <f>IF(F153&gt;0, G153/F153, 0)</f>
        <v>0.81180000387865803</v>
      </c>
      <c r="P153" s="8" cm="1">
        <f t="array" aca="1" ref="P153" ca="1">IF(ROW()-2&gt;1, (L153/INDIRECT("L"&amp;ROW()-1))-1, "")</f>
        <v>-4.9504991988278291E-2</v>
      </c>
      <c r="Q153" s="8" cm="1">
        <f t="array" aca="1" ref="Q153" ca="1">IF(ROW()-2&gt;1, (M153/INDIRECT("M"&amp;ROW()-1))-1, "")</f>
        <v>5.1020298995073654E-2</v>
      </c>
      <c r="R153" s="8" cm="1">
        <f t="array" aca="1" ref="R153" ca="1">IF(ROW()-2&gt;1, (N153/INDIRECT("N"&amp;ROW()-1))-1, "")</f>
        <v>-1.9802091928259991E-2</v>
      </c>
      <c r="S153" s="8" cm="1">
        <f t="array" aca="1" ref="S153" ca="1">IF(ROW()-2&gt;1, (O153/INDIRECT("O"&amp;ROW()-1))-1, "")</f>
        <v>1.0204035824025848E-2</v>
      </c>
    </row>
    <row r="154" spans="2:19" x14ac:dyDescent="0.35">
      <c r="B154" s="3">
        <v>43617</v>
      </c>
      <c r="C154" s="4">
        <v>46685340</v>
      </c>
      <c r="D154" s="4">
        <v>10196078</v>
      </c>
      <c r="E154" s="4">
        <v>3570666</v>
      </c>
      <c r="F154" s="4">
        <v>2355211</v>
      </c>
      <c r="G154" s="4">
        <v>1781953</v>
      </c>
      <c r="H154" s="8">
        <f>IF(C154&gt;0, G154/C154, 0)</f>
        <v>3.8169433916514263E-2</v>
      </c>
      <c r="I154" s="8" cm="1">
        <f t="array" aca="1" ref="I154" ca="1">IF(ROW()-2&gt;7, (G154/INDIRECT("G"&amp;ROW()-7))-1, "")</f>
        <v>-3.8564196416479901E-2</v>
      </c>
      <c r="J154" s="8" cm="1">
        <f t="array" aca="1" ref="J154" ca="1">IF(ROW()-2&gt;7, (C154/INDIRECT("C"&amp;ROW()-7))-1, "")</f>
        <v>-9.523820030781005E-3</v>
      </c>
      <c r="K154" s="8" cm="1">
        <f t="array" aca="1" ref="K154" ca="1">IF(ROW()-2&gt;7, (H154/INDIRECT("H"&amp;ROW()-7))-1, "")</f>
        <v>-2.9319611085045327E-2</v>
      </c>
      <c r="L154" s="8">
        <f>IF(D154&gt;0, D154/C154, 0)</f>
        <v>0.2183999945164799</v>
      </c>
      <c r="M154" s="8">
        <f>IF(D154&gt;0, E154/D154, 0)</f>
        <v>0.35019994943153632</v>
      </c>
      <c r="N154" s="8">
        <f>IF(E154&gt;0, F154/E154, 0)</f>
        <v>0.65959991777444316</v>
      </c>
      <c r="O154" s="8">
        <f>IF(F154&gt;0, G154/F154, 0)</f>
        <v>0.75660015174861195</v>
      </c>
      <c r="P154" s="8" cm="1">
        <f t="array" aca="1" ref="P154" ca="1">IF(ROW()-2&gt;1, (L154/INDIRECT("L"&amp;ROW()-1))-1, "")</f>
        <v>-8.9999955045406033E-2</v>
      </c>
      <c r="Q154" s="8" cm="1">
        <f t="array" aca="1" ref="Q154" ca="1">IF(ROW()-2&gt;1, (M154/INDIRECT("M"&amp;ROW()-1))-1, "")</f>
        <v>-0.14999984911969444</v>
      </c>
      <c r="R154" s="8" cm="1">
        <f t="array" aca="1" ref="R154" ca="1">IF(ROW()-2&gt;1, (N154/INDIRECT("N"&amp;ROW()-1))-1, "")</f>
        <v>-8.7311592413793937E-2</v>
      </c>
      <c r="S154" s="8" cm="1">
        <f t="array" aca="1" ref="S154" ca="1">IF(ROW()-2&gt;1, (O154/INDIRECT("O"&amp;ROW()-1))-1, "")</f>
        <v>-6.7996861131201625E-2</v>
      </c>
    </row>
    <row r="155" spans="2:19" x14ac:dyDescent="0.35">
      <c r="B155" s="3">
        <v>43618</v>
      </c>
      <c r="C155" s="4">
        <v>43543058</v>
      </c>
      <c r="D155" s="4">
        <v>9144042</v>
      </c>
      <c r="E155" s="4">
        <v>3046794</v>
      </c>
      <c r="F155" s="4">
        <v>2175411</v>
      </c>
      <c r="G155" s="4">
        <v>1713789</v>
      </c>
      <c r="H155" s="8">
        <f>IF(C155&gt;0, G155/C155, 0)</f>
        <v>3.935848970460458E-2</v>
      </c>
      <c r="I155" s="8" cm="1">
        <f t="array" aca="1" ref="I155" ca="1">IF(ROW()-2&gt;7, (G155/INDIRECT("G"&amp;ROW()-7))-1, "")</f>
        <v>1.0739098125715163E-2</v>
      </c>
      <c r="J155" s="8" cm="1">
        <f t="array" aca="1" ref="J155" ca="1">IF(ROW()-2&gt;7, (C155/INDIRECT("C"&amp;ROW()-7))-1, "")</f>
        <v>-7.6190475382247658E-2</v>
      </c>
      <c r="K155" s="8" cm="1">
        <f t="array" aca="1" ref="K155" ca="1">IF(ROW()-2&gt;7, (H155/INDIRECT("H"&amp;ROW()-7))-1, "")</f>
        <v>9.4099022787118125E-2</v>
      </c>
      <c r="L155" s="8">
        <f>IF(D155&gt;0, D155/C155, 0)</f>
        <v>0.2099999958661608</v>
      </c>
      <c r="M155" s="8">
        <f>IF(D155&gt;0, E155/D155, 0)</f>
        <v>0.33319991312375863</v>
      </c>
      <c r="N155" s="8">
        <f>IF(E155&gt;0, F155/E155, 0)</f>
        <v>0.71400002756996372</v>
      </c>
      <c r="O155" s="8">
        <f>IF(F155&gt;0, G155/F155, 0)</f>
        <v>0.78780009846415233</v>
      </c>
      <c r="P155" s="8" cm="1">
        <f t="array" aca="1" ref="P155" ca="1">IF(ROW()-2&gt;1, (L155/INDIRECT("L"&amp;ROW()-1))-1, "")</f>
        <v>-3.8461533247361235E-2</v>
      </c>
      <c r="Q155" s="8" cm="1">
        <f t="array" aca="1" ref="Q155" ca="1">IF(ROW()-2&gt;1, (M155/INDIRECT("M"&amp;ROW()-1))-1, "")</f>
        <v>-4.8543800007318838E-2</v>
      </c>
      <c r="R155" s="8" cm="1">
        <f t="array" aca="1" ref="R155" ca="1">IF(ROW()-2&gt;1, (N155/INDIRECT("N"&amp;ROW()-1))-1, "")</f>
        <v>8.2474403543093322E-2</v>
      </c>
      <c r="S155" s="8" cm="1">
        <f t="array" aca="1" ref="S155" ca="1">IF(ROW()-2&gt;1, (O155/INDIRECT("O"&amp;ROW()-1))-1, "")</f>
        <v>4.1237034705098541E-2</v>
      </c>
    </row>
    <row r="156" spans="2:19" x14ac:dyDescent="0.35">
      <c r="B156" s="3">
        <v>43619</v>
      </c>
      <c r="C156" s="4">
        <v>21500167</v>
      </c>
      <c r="D156" s="4">
        <v>5375041</v>
      </c>
      <c r="E156" s="4">
        <v>2150016</v>
      </c>
      <c r="F156" s="4">
        <v>1506731</v>
      </c>
      <c r="G156" s="4">
        <v>1186099</v>
      </c>
      <c r="H156" s="8">
        <f>IF(C156&gt;0, G156/C156, 0)</f>
        <v>5.5166966842629638E-2</v>
      </c>
      <c r="I156" s="8" cm="1">
        <f t="array" aca="1" ref="I156" ca="1">IF(ROW()-2&gt;7, (G156/INDIRECT("G"&amp;ROW()-7))-1, "")</f>
        <v>5.3270059523439439E-2</v>
      </c>
      <c r="J156" s="8" cm="1">
        <f t="array" aca="1" ref="J156" ca="1">IF(ROW()-2&gt;7, (C156/INDIRECT("C"&amp;ROW()-7))-1, "")</f>
        <v>2.0618565999329652E-2</v>
      </c>
      <c r="K156" s="8" cm="1">
        <f t="array" aca="1" ref="K156" ca="1">IF(ROW()-2&gt;7, (H156/INDIRECT("H"&amp;ROW()-7))-1, "")</f>
        <v>3.1991867100849225E-2</v>
      </c>
      <c r="L156" s="8">
        <f>IF(D156&gt;0, D156/C156, 0)</f>
        <v>0.24999996511655004</v>
      </c>
      <c r="M156" s="8">
        <f>IF(D156&gt;0, E156/D156, 0)</f>
        <v>0.39999992558196301</v>
      </c>
      <c r="N156" s="8">
        <f>IF(E156&gt;0, F156/E156, 0)</f>
        <v>0.70079990102399237</v>
      </c>
      <c r="O156" s="8">
        <f>IF(F156&gt;0, G156/F156, 0)</f>
        <v>0.78720023680404794</v>
      </c>
      <c r="P156" s="8" cm="1">
        <f t="array" aca="1" ref="P156" ca="1">IF(ROW()-2&gt;1, (L156/INDIRECT("L"&amp;ROW()-1))-1, "")</f>
        <v>0.19047604779898375</v>
      </c>
      <c r="Q156" s="8" cm="1">
        <f t="array" aca="1" ref="Q156" ca="1">IF(ROW()-2&gt;1, (M156/INDIRECT("M"&amp;ROW()-1))-1, "")</f>
        <v>0.20048028173822852</v>
      </c>
      <c r="R156" s="8" cm="1">
        <f t="array" aca="1" ref="R156" ca="1">IF(ROW()-2&gt;1, (N156/INDIRECT("N"&amp;ROW()-1))-1, "")</f>
        <v>-1.8487571479369302E-2</v>
      </c>
      <c r="S156" s="8" cm="1">
        <f t="array" aca="1" ref="S156" ca="1">IF(ROW()-2&gt;1, (O156/INDIRECT("O"&amp;ROW()-1))-1, "")</f>
        <v>-7.6143892501900901E-4</v>
      </c>
    </row>
    <row r="157" spans="2:19" x14ac:dyDescent="0.35">
      <c r="B157" s="3">
        <v>43620</v>
      </c>
      <c r="C157" s="4">
        <v>22368860</v>
      </c>
      <c r="D157" s="4">
        <v>5759981</v>
      </c>
      <c r="E157" s="4">
        <v>2280952</v>
      </c>
      <c r="F157" s="4">
        <v>1715048</v>
      </c>
      <c r="G157" s="4">
        <v>1392276</v>
      </c>
      <c r="H157" s="8">
        <f>IF(C157&gt;0, G157/C157, 0)</f>
        <v>6.2241705656881932E-2</v>
      </c>
      <c r="I157" s="8" cm="1">
        <f t="array" aca="1" ref="I157" ca="1">IF(ROW()-2&gt;7, (G157/INDIRECT("G"&amp;ROW()-7))-1, "")</f>
        <v>0.12948815611104747</v>
      </c>
      <c r="J157" s="8" cm="1">
        <f t="array" aca="1" ref="J157" ca="1">IF(ROW()-2&gt;7, (C157/INDIRECT("C"&amp;ROW()-7))-1, "")</f>
        <v>-9.6154110101844825E-3</v>
      </c>
      <c r="K157" s="8" cm="1">
        <f t="array" aca="1" ref="K157" ca="1">IF(ROW()-2&gt;7, (H157/INDIRECT("H"&amp;ROW()-7))-1, "")</f>
        <v>0.14045409093362049</v>
      </c>
      <c r="L157" s="8">
        <f>IF(D157&gt;0, D157/C157, 0)</f>
        <v>0.2574999798827477</v>
      </c>
      <c r="M157" s="8">
        <f>IF(D157&gt;0, E157/D157, 0)</f>
        <v>0.3959999173608385</v>
      </c>
      <c r="N157" s="8">
        <f>IF(E157&gt;0, F157/E157, 0)</f>
        <v>0.75190008382464868</v>
      </c>
      <c r="O157" s="8">
        <f>IF(F157&gt;0, G157/F157, 0)</f>
        <v>0.81180001959128845</v>
      </c>
      <c r="P157" s="8" cm="1">
        <f t="array" aca="1" ref="P157" ca="1">IF(ROW()-2&gt;1, (L157/INDIRECT("L"&amp;ROW()-1))-1, "")</f>
        <v>3.0000063250813502E-2</v>
      </c>
      <c r="Q157" s="8" cm="1">
        <f t="array" aca="1" ref="Q157" ca="1">IF(ROW()-2&gt;1, (M157/INDIRECT("M"&amp;ROW()-1))-1, "")</f>
        <v>-1.0000022413266363E-2</v>
      </c>
      <c r="R157" s="8" cm="1">
        <f t="array" aca="1" ref="R157" ca="1">IF(ROW()-2&gt;1, (N157/INDIRECT("N"&amp;ROW()-1))-1, "")</f>
        <v>7.2916937810621807E-2</v>
      </c>
      <c r="S157" s="8" cm="1">
        <f t="array" aca="1" ref="S157" ca="1">IF(ROW()-2&gt;1, (O157/INDIRECT("O"&amp;ROW()-1))-1, "")</f>
        <v>3.1249714668675876E-2</v>
      </c>
    </row>
    <row r="158" spans="2:19" x14ac:dyDescent="0.35">
      <c r="B158" s="3">
        <v>43621</v>
      </c>
      <c r="C158" s="4">
        <v>22368860</v>
      </c>
      <c r="D158" s="4">
        <v>5536293</v>
      </c>
      <c r="E158" s="4">
        <v>2170226</v>
      </c>
      <c r="F158" s="4">
        <v>1536737</v>
      </c>
      <c r="G158" s="4">
        <v>1247523</v>
      </c>
      <c r="H158" s="8">
        <f>IF(C158&gt;0, G158/C158, 0)</f>
        <v>5.5770522056108357E-2</v>
      </c>
      <c r="I158" s="8" cm="1">
        <f t="array" aca="1" ref="I158" ca="1">IF(ROW()-2&gt;7, (G158/INDIRECT("G"&amp;ROW()-7))-1, "")</f>
        <v>-1.9079437767929863E-2</v>
      </c>
      <c r="J158" s="8" cm="1">
        <f t="array" aca="1" ref="J158" ca="1">IF(ROW()-2&gt;7, (C158/INDIRECT("C"&amp;ROW()-7))-1, "")</f>
        <v>8.4210516621862075E-2</v>
      </c>
      <c r="K158" s="8" cm="1">
        <f t="array" aca="1" ref="K158" ca="1">IF(ROW()-2&gt;7, (H158/INDIRECT("H"&amp;ROW()-7))-1, "")</f>
        <v>-9.5267434512274041E-2</v>
      </c>
      <c r="L158" s="8">
        <f>IF(D158&gt;0, D158/C158, 0)</f>
        <v>0.24750000670575076</v>
      </c>
      <c r="M158" s="8">
        <f>IF(D158&gt;0, E158/D158, 0)</f>
        <v>0.39199984538390581</v>
      </c>
      <c r="N158" s="8">
        <f>IF(E158&gt;0, F158/E158, 0)</f>
        <v>0.70809998590008594</v>
      </c>
      <c r="O158" s="8">
        <f>IF(F158&gt;0, G158/F158, 0)</f>
        <v>0.81179993713953658</v>
      </c>
      <c r="P158" s="8" cm="1">
        <f t="array" aca="1" ref="P158" ca="1">IF(ROW()-2&gt;1, (L158/INDIRECT("L"&amp;ROW()-1))-1, "")</f>
        <v>-3.8834850323290926E-2</v>
      </c>
      <c r="Q158" s="8" cm="1">
        <f t="array" aca="1" ref="Q158" ca="1">IF(ROW()-2&gt;1, (M158/INDIRECT("M"&amp;ROW()-1))-1, "")</f>
        <v>-1.0101193968906297E-2</v>
      </c>
      <c r="R158" s="8" cm="1">
        <f t="array" aca="1" ref="R158" ca="1">IF(ROW()-2&gt;1, (N158/INDIRECT("N"&amp;ROW()-1))-1, "")</f>
        <v>-5.8252550926403912E-2</v>
      </c>
      <c r="S158" s="8" cm="1">
        <f t="array" aca="1" ref="S158" ca="1">IF(ROW()-2&gt;1, (O158/INDIRECT("O"&amp;ROW()-1))-1, "")</f>
        <v>-1.0156658025728404E-7</v>
      </c>
    </row>
    <row r="159" spans="2:19" x14ac:dyDescent="0.35">
      <c r="B159" s="3">
        <v>43622</v>
      </c>
      <c r="C159" s="4">
        <v>22368860</v>
      </c>
      <c r="D159" s="4">
        <v>5815903</v>
      </c>
      <c r="E159" s="4">
        <v>2326361</v>
      </c>
      <c r="F159" s="4">
        <v>1766173</v>
      </c>
      <c r="G159" s="4">
        <v>1477227</v>
      </c>
      <c r="H159" s="8">
        <f>IF(C159&gt;0, G159/C159, 0)</f>
        <v>6.6039440543684394E-2</v>
      </c>
      <c r="I159" s="8" cm="1">
        <f t="array" aca="1" ref="I159" ca="1">IF(ROW()-2&gt;7, (G159/INDIRECT("G"&amp;ROW()-7))-1, "")</f>
        <v>0.17158506089799253</v>
      </c>
      <c r="J159" s="8" cm="1">
        <f t="array" aca="1" ref="J159" ca="1">IF(ROW()-2&gt;7, (C159/INDIRECT("C"&amp;ROW()-7))-1, "")</f>
        <v>4.0404011745583279E-2</v>
      </c>
      <c r="K159" s="8" cm="1">
        <f t="array" aca="1" ref="K159" ca="1">IF(ROW()-2&gt;7, (H159/INDIRECT("H"&amp;ROW()-7))-1, "")</f>
        <v>0.12608664294970828</v>
      </c>
      <c r="L159" s="8">
        <f>IF(D159&gt;0, D159/C159, 0)</f>
        <v>0.25999997317699697</v>
      </c>
      <c r="M159" s="8">
        <f>IF(D159&gt;0, E159/D159, 0)</f>
        <v>0.39999996561153101</v>
      </c>
      <c r="N159" s="8">
        <f>IF(E159&gt;0, F159/E159, 0)</f>
        <v>0.75919988342308009</v>
      </c>
      <c r="O159" s="8">
        <f>IF(F159&gt;0, G159/F159, 0)</f>
        <v>0.83639994496575365</v>
      </c>
      <c r="P159" s="8" cm="1">
        <f t="array" aca="1" ref="P159" ca="1">IF(ROW()-2&gt;1, (L159/INDIRECT("L"&amp;ROW()-1))-1, "")</f>
        <v>5.0504913666961082E-2</v>
      </c>
      <c r="Q159" s="8" cm="1">
        <f t="array" aca="1" ref="Q159" ca="1">IF(ROW()-2&gt;1, (M159/INDIRECT("M"&amp;ROW()-1))-1, "")</f>
        <v>2.0408478018123288E-2</v>
      </c>
      <c r="R159" s="8" cm="1">
        <f t="array" aca="1" ref="R159" ca="1">IF(ROW()-2&gt;1, (N159/INDIRECT("N"&amp;ROW()-1))-1, "")</f>
        <v>7.2164805169484092E-2</v>
      </c>
      <c r="S159" s="8" cm="1">
        <f t="array" aca="1" ref="S159" ca="1">IF(ROW()-2&gt;1, (O159/INDIRECT("O"&amp;ROW()-1))-1, "")</f>
        <v>3.0303042290071858E-2</v>
      </c>
    </row>
    <row r="160" spans="2:19" x14ac:dyDescent="0.35">
      <c r="B160" s="3">
        <v>43623</v>
      </c>
      <c r="C160" s="4">
        <v>21065820</v>
      </c>
      <c r="D160" s="4">
        <v>5477113</v>
      </c>
      <c r="E160" s="4">
        <v>2278479</v>
      </c>
      <c r="F160" s="4">
        <v>1596758</v>
      </c>
      <c r="G160" s="4">
        <v>1348621</v>
      </c>
      <c r="H160" s="8">
        <f>IF(C160&gt;0, G160/C160, 0)</f>
        <v>6.4019392551536089E-2</v>
      </c>
      <c r="I160" s="8" cm="1">
        <f t="array" aca="1" ref="I160" ca="1">IF(ROW()-2&gt;7, (G160/INDIRECT("G"&amp;ROW()-7))-1, "")</f>
        <v>3.9275462276182838E-2</v>
      </c>
      <c r="J160" s="8" cm="1">
        <f t="array" aca="1" ref="J160" ca="1">IF(ROW()-2&gt;7, (C160/INDIRECT("C"&amp;ROW()-7))-1, "")</f>
        <v>-5.8252409823299045E-2</v>
      </c>
      <c r="K160" s="8" cm="1">
        <f t="array" aca="1" ref="K160" ca="1">IF(ROW()-2&gt;7, (H160/INDIRECT("H"&amp;ROW()-7))-1, "")</f>
        <v>0.10356052207278021</v>
      </c>
      <c r="L160" s="8">
        <f>IF(D160&gt;0, D160/C160, 0)</f>
        <v>0.25999999050594758</v>
      </c>
      <c r="M160" s="8">
        <f>IF(D160&gt;0, E160/D160, 0)</f>
        <v>0.41599999853937647</v>
      </c>
      <c r="N160" s="8">
        <f>IF(E160&gt;0, F160/E160, 0)</f>
        <v>0.7007999634844122</v>
      </c>
      <c r="O160" s="8">
        <f>IF(F160&gt;0, G160/F160, 0)</f>
        <v>0.84459949472618889</v>
      </c>
      <c r="P160" s="8" cm="1">
        <f t="array" aca="1" ref="P160" ca="1">IF(ROW()-2&gt;1, (L160/INDIRECT("L"&amp;ROW()-1))-1, "")</f>
        <v>6.6649816998776146E-8</v>
      </c>
      <c r="Q160" s="8" cm="1">
        <f t="array" aca="1" ref="Q160" ca="1">IF(ROW()-2&gt;1, (M160/INDIRECT("M"&amp;ROW()-1))-1, "")</f>
        <v>4.0000085758467918E-2</v>
      </c>
      <c r="R160" s="8" cm="1">
        <f t="array" aca="1" ref="R160" ca="1">IF(ROW()-2&gt;1, (N160/INDIRECT("N"&amp;ROW()-1))-1, "")</f>
        <v>-7.6922983279916202E-2</v>
      </c>
      <c r="S160" s="8" cm="1">
        <f t="array" aca="1" ref="S160" ca="1">IF(ROW()-2&gt;1, (O160/INDIRECT("O"&amp;ROW()-1))-1, "")</f>
        <v>9.8033839071700601E-3</v>
      </c>
    </row>
    <row r="161" spans="2:19" x14ac:dyDescent="0.35">
      <c r="B161" s="3">
        <v>43624</v>
      </c>
      <c r="C161" s="4">
        <v>42645263</v>
      </c>
      <c r="D161" s="4">
        <v>8597285</v>
      </c>
      <c r="E161" s="4">
        <v>2776923</v>
      </c>
      <c r="F161" s="4">
        <v>1926073</v>
      </c>
      <c r="G161" s="4">
        <v>1427220</v>
      </c>
      <c r="H161" s="8">
        <f>IF(C161&gt;0, G161/C161, 0)</f>
        <v>3.3467257547456095E-2</v>
      </c>
      <c r="I161" s="8" cm="1">
        <f t="array" aca="1" ref="I161" ca="1">IF(ROW()-2&gt;7, (G161/INDIRECT("G"&amp;ROW()-7))-1, "")</f>
        <v>-0.19906978466884373</v>
      </c>
      <c r="J161" s="8" cm="1">
        <f t="array" aca="1" ref="J161" ca="1">IF(ROW()-2&gt;7, (C161/INDIRECT("C"&amp;ROW()-7))-1, "")</f>
        <v>-8.6538450828461344E-2</v>
      </c>
      <c r="K161" s="8" cm="1">
        <f t="array" aca="1" ref="K161" ca="1">IF(ROW()-2&gt;7, (H161/INDIRECT("H"&amp;ROW()-7))-1, "")</f>
        <v>-0.12319219560193007</v>
      </c>
      <c r="L161" s="8">
        <f>IF(D161&gt;0, D161/C161, 0)</f>
        <v>0.20159999951225532</v>
      </c>
      <c r="M161" s="8">
        <f>IF(D161&gt;0, E161/D161, 0)</f>
        <v>0.32299999360263154</v>
      </c>
      <c r="N161" s="8">
        <f>IF(E161&gt;0, F161/E161, 0)</f>
        <v>0.69359971450414726</v>
      </c>
      <c r="O161" s="8">
        <f>IF(F161&gt;0, G161/F161, 0)</f>
        <v>0.7409999517152257</v>
      </c>
      <c r="P161" s="8" cm="1">
        <f t="array" aca="1" ref="P161" ca="1">IF(ROW()-2&gt;1, (L161/INDIRECT("L"&amp;ROW()-1))-1, "")</f>
        <v>-0.22461535817770095</v>
      </c>
      <c r="Q161" s="8" cm="1">
        <f t="array" aca="1" ref="Q161" ca="1">IF(ROW()-2&gt;1, (M161/INDIRECT("M"&amp;ROW()-1))-1, "")</f>
        <v>-0.22355770495980432</v>
      </c>
      <c r="R161" s="8" cm="1">
        <f t="array" aca="1" ref="R161" ca="1">IF(ROW()-2&gt;1, (N161/INDIRECT("N"&amp;ROW()-1))-1, "")</f>
        <v>-1.0274328418147904E-2</v>
      </c>
      <c r="S161" s="8" cm="1">
        <f t="array" aca="1" ref="S161" ca="1">IF(ROW()-2&gt;1, (O161/INDIRECT("O"&amp;ROW()-1))-1, "")</f>
        <v>-0.12266114727495681</v>
      </c>
    </row>
    <row r="162" spans="2:19" x14ac:dyDescent="0.35">
      <c r="B162" s="3">
        <v>43625</v>
      </c>
      <c r="C162" s="4">
        <v>44889750</v>
      </c>
      <c r="D162" s="4">
        <v>9803921</v>
      </c>
      <c r="E162" s="4">
        <v>3333333</v>
      </c>
      <c r="F162" s="4">
        <v>2153333</v>
      </c>
      <c r="G162" s="4">
        <v>1646008</v>
      </c>
      <c r="H162" s="8">
        <f>IF(C162&gt;0, G162/C162, 0)</f>
        <v>3.6667791645086018E-2</v>
      </c>
      <c r="I162" s="8" cm="1">
        <f t="array" aca="1" ref="I162" ca="1">IF(ROW()-2&gt;7, (G162/INDIRECT("G"&amp;ROW()-7))-1, "")</f>
        <v>-3.9550376388225117E-2</v>
      </c>
      <c r="J162" s="8" cm="1">
        <f t="array" aca="1" ref="J162" ca="1">IF(ROW()-2&gt;7, (C162/INDIRECT("C"&amp;ROW()-7))-1, "")</f>
        <v>3.0927823213518835E-2</v>
      </c>
      <c r="K162" s="8" cm="1">
        <f t="array" aca="1" ref="K162" ca="1">IF(ROW()-2&gt;7, (H162/INDIRECT("H"&amp;ROW()-7))-1, "")</f>
        <v>-6.8363854398706181E-2</v>
      </c>
      <c r="L162" s="8">
        <f>IF(D162&gt;0, D162/C162, 0)</f>
        <v>0.21839999108927985</v>
      </c>
      <c r="M162" s="8">
        <f>IF(D162&gt;0, E162/D162, 0)</f>
        <v>0.33999998571999918</v>
      </c>
      <c r="N162" s="8">
        <f>IF(E162&gt;0, F162/E162, 0)</f>
        <v>0.64599996459999642</v>
      </c>
      <c r="O162" s="8">
        <f>IF(F162&gt;0, G162/F162, 0)</f>
        <v>0.76440011832819166</v>
      </c>
      <c r="P162" s="8" cm="1">
        <f t="array" aca="1" ref="P162" ca="1">IF(ROW()-2&gt;1, (L162/INDIRECT("L"&amp;ROW()-1))-1, "")</f>
        <v>8.3333291754315031E-2</v>
      </c>
      <c r="Q162" s="8" cm="1">
        <f t="array" aca="1" ref="Q162" ca="1">IF(ROW()-2&gt;1, (M162/INDIRECT("M"&amp;ROW()-1))-1, "")</f>
        <v>5.2631555585359369E-2</v>
      </c>
      <c r="R162" s="8" cm="1">
        <f t="array" aca="1" ref="R162" ca="1">IF(ROW()-2&gt;1, (N162/INDIRECT("N"&amp;ROW()-1))-1, "")</f>
        <v>-6.8627118651829022E-2</v>
      </c>
      <c r="S162" s="8" cm="1">
        <f t="array" aca="1" ref="S162" ca="1">IF(ROW()-2&gt;1, (O162/INDIRECT("O"&amp;ROW()-1))-1, "")</f>
        <v>3.1579174274978694E-2</v>
      </c>
    </row>
    <row r="163" spans="2:19" x14ac:dyDescent="0.35">
      <c r="B163" s="3">
        <v>43626</v>
      </c>
      <c r="C163" s="4">
        <v>21934513</v>
      </c>
      <c r="D163" s="4">
        <v>5319119</v>
      </c>
      <c r="E163" s="4">
        <v>2212753</v>
      </c>
      <c r="F163" s="4">
        <v>1647616</v>
      </c>
      <c r="G163" s="4">
        <v>1310514</v>
      </c>
      <c r="H163" s="8">
        <f>IF(C163&gt;0, G163/C163, 0)</f>
        <v>5.9746664993200443E-2</v>
      </c>
      <c r="I163" s="8" cm="1">
        <f t="array" aca="1" ref="I163" ca="1">IF(ROW()-2&gt;7, (G163/INDIRECT("G"&amp;ROW()-7))-1, "")</f>
        <v>0.10489427948257268</v>
      </c>
      <c r="J163" s="8" cm="1">
        <f t="array" aca="1" ref="J163" ca="1">IF(ROW()-2&gt;7, (C163/INDIRECT("C"&amp;ROW()-7))-1, "")</f>
        <v>2.0201982617158221E-2</v>
      </c>
      <c r="K163" s="8" cm="1">
        <f t="array" aca="1" ref="K163" ca="1">IF(ROW()-2&gt;7, (H163/INDIRECT("H"&amp;ROW()-7))-1, "")</f>
        <v>8.3015224738292037E-2</v>
      </c>
      <c r="L163" s="8">
        <f>IF(D163&gt;0, D163/C163, 0)</f>
        <v>0.24249998164992312</v>
      </c>
      <c r="M163" s="8">
        <f>IF(D163&gt;0, E163/D163, 0)</f>
        <v>0.41599990524746672</v>
      </c>
      <c r="N163" s="8">
        <f>IF(E163&gt;0, F163/E163, 0)</f>
        <v>0.74460005251376904</v>
      </c>
      <c r="O163" s="8">
        <f>IF(F163&gt;0, G163/F163, 0)</f>
        <v>0.79540014178060903</v>
      </c>
      <c r="P163" s="8" cm="1">
        <f t="array" aca="1" ref="P163" ca="1">IF(ROW()-2&gt;1, (L163/INDIRECT("L"&amp;ROW()-1))-1, "")</f>
        <v>0.11034794662968372</v>
      </c>
      <c r="Q163" s="8" cm="1">
        <f t="array" aca="1" ref="Q163" ca="1">IF(ROW()-2&gt;1, (M163/INDIRECT("M"&amp;ROW()-1))-1, "")</f>
        <v>0.22352918446901326</v>
      </c>
      <c r="R163" s="8" cm="1">
        <f t="array" aca="1" ref="R163" ca="1">IF(ROW()-2&gt;1, (N163/INDIRECT("N"&amp;ROW()-1))-1, "")</f>
        <v>0.15263172340083009</v>
      </c>
      <c r="S163" s="8" cm="1">
        <f t="array" aca="1" ref="S163" ca="1">IF(ROW()-2&gt;1, (O163/INDIRECT("O"&amp;ROW()-1))-1, "")</f>
        <v>4.0554707814824953E-2</v>
      </c>
    </row>
    <row r="164" spans="2:19" x14ac:dyDescent="0.35">
      <c r="B164" s="3">
        <v>43627</v>
      </c>
      <c r="C164" s="4">
        <v>22368860</v>
      </c>
      <c r="D164" s="4">
        <v>5759981</v>
      </c>
      <c r="E164" s="4">
        <v>2350072</v>
      </c>
      <c r="F164" s="4">
        <v>1681241</v>
      </c>
      <c r="G164" s="4">
        <v>1309687</v>
      </c>
      <c r="H164" s="8">
        <f>IF(C164&gt;0, G164/C164, 0)</f>
        <v>5.8549563992085427E-2</v>
      </c>
      <c r="I164" s="8" cm="1">
        <f t="array" aca="1" ref="I164" ca="1">IF(ROW()-2&gt;7, (G164/INDIRECT("G"&amp;ROW()-7))-1, "")</f>
        <v>-5.9319416552465198E-2</v>
      </c>
      <c r="J164" s="8" cm="1">
        <f t="array" aca="1" ref="J164" ca="1">IF(ROW()-2&gt;7, (C164/INDIRECT("C"&amp;ROW()-7))-1, "")</f>
        <v>0</v>
      </c>
      <c r="K164" s="8" cm="1">
        <f t="array" aca="1" ref="K164" ca="1">IF(ROW()-2&gt;7, (H164/INDIRECT("H"&amp;ROW()-7))-1, "")</f>
        <v>-5.9319416552465198E-2</v>
      </c>
      <c r="L164" s="8">
        <f>IF(D164&gt;0, D164/C164, 0)</f>
        <v>0.2574999798827477</v>
      </c>
      <c r="M164" s="8">
        <f>IF(D164&gt;0, E164/D164, 0)</f>
        <v>0.40799995694430241</v>
      </c>
      <c r="N164" s="8">
        <f>IF(E164&gt;0, F164/E164, 0)</f>
        <v>0.71539978349599498</v>
      </c>
      <c r="O164" s="8">
        <f>IF(F164&gt;0, G164/F164, 0)</f>
        <v>0.77900015524246669</v>
      </c>
      <c r="P164" s="8" cm="1">
        <f t="array" aca="1" ref="P164" ca="1">IF(ROW()-2&gt;1, (L164/INDIRECT("L"&amp;ROW()-1))-1, "")</f>
        <v>6.1855667496415911E-2</v>
      </c>
      <c r="Q164" s="8" cm="1">
        <f t="array" aca="1" ref="Q164" ca="1">IF(ROW()-2&gt;1, (M164/INDIRECT("M"&amp;ROW()-1))-1, "")</f>
        <v>-1.923064933970442E-2</v>
      </c>
      <c r="R164" s="8" cm="1">
        <f t="array" aca="1" ref="R164" ca="1">IF(ROW()-2&gt;1, (N164/INDIRECT("N"&amp;ROW()-1))-1, "")</f>
        <v>-3.9216044800418626E-2</v>
      </c>
      <c r="S164" s="8" cm="1">
        <f t="array" aca="1" ref="S164" ca="1">IF(ROW()-2&gt;1, (O164/INDIRECT("O"&amp;ROW()-1))-1, "")</f>
        <v>-2.061853610112363E-2</v>
      </c>
    </row>
    <row r="165" spans="2:19" x14ac:dyDescent="0.35">
      <c r="B165" s="3">
        <v>43628</v>
      </c>
      <c r="C165" s="4">
        <v>21934513</v>
      </c>
      <c r="D165" s="4">
        <v>5757809</v>
      </c>
      <c r="E165" s="4">
        <v>2418280</v>
      </c>
      <c r="F165" s="4">
        <v>1853611</v>
      </c>
      <c r="G165" s="4">
        <v>1443963</v>
      </c>
      <c r="H165" s="8">
        <f>IF(C165&gt;0, G165/C165, 0)</f>
        <v>6.5830638683430087E-2</v>
      </c>
      <c r="I165" s="8" cm="1">
        <f t="array" aca="1" ref="I165" ca="1">IF(ROW()-2&gt;7, (G165/INDIRECT("G"&amp;ROW()-7))-1, "")</f>
        <v>0.1574640307232813</v>
      </c>
      <c r="J165" s="8" cm="1">
        <f t="array" aca="1" ref="J165" ca="1">IF(ROW()-2&gt;7, (C165/INDIRECT("C"&amp;ROW()-7))-1, "")</f>
        <v>-1.9417484842768062E-2</v>
      </c>
      <c r="K165" s="8" cm="1">
        <f t="array" aca="1" ref="K165" ca="1">IF(ROW()-2&gt;7, (H165/INDIRECT("H"&amp;ROW()-7))-1, "")</f>
        <v>0.1803841215113724</v>
      </c>
      <c r="L165" s="8">
        <f>IF(D165&gt;0, D165/C165, 0)</f>
        <v>0.26249996979645729</v>
      </c>
      <c r="M165" s="8">
        <f>IF(D165&gt;0, E165/D165, 0)</f>
        <v>0.42000003820897847</v>
      </c>
      <c r="N165" s="8">
        <f>IF(E165&gt;0, F165/E165, 0)</f>
        <v>0.76649974361943196</v>
      </c>
      <c r="O165" s="8">
        <f>IF(F165&gt;0, G165/F165, 0)</f>
        <v>0.77900001672411312</v>
      </c>
      <c r="P165" s="8" cm="1">
        <f t="array" aca="1" ref="P165" ca="1">IF(ROW()-2&gt;1, (L165/INDIRECT("L"&amp;ROW()-1))-1, "")</f>
        <v>1.9417438075087778E-2</v>
      </c>
      <c r="Q165" s="8" cm="1">
        <f t="array" aca="1" ref="Q165" ca="1">IF(ROW()-2&gt;1, (M165/INDIRECT("M"&amp;ROW()-1))-1, "")</f>
        <v>2.9411966987815674E-2</v>
      </c>
      <c r="R165" s="8" cm="1">
        <f t="array" aca="1" ref="R165" ca="1">IF(ROW()-2&gt;1, (N165/INDIRECT("N"&amp;ROW()-1))-1, "")</f>
        <v>7.142853730500609E-2</v>
      </c>
      <c r="S165" s="8" cm="1">
        <f t="array" aca="1" ref="S165" ca="1">IF(ROW()-2&gt;1, (O165/INDIRECT("O"&amp;ROW()-1))-1, "")</f>
        <v>-1.778155660492331E-7</v>
      </c>
    </row>
    <row r="166" spans="2:19" x14ac:dyDescent="0.35">
      <c r="B166" s="3">
        <v>43629</v>
      </c>
      <c r="C166" s="4">
        <v>21717340</v>
      </c>
      <c r="D166" s="4">
        <v>5483628</v>
      </c>
      <c r="E166" s="4">
        <v>2105713</v>
      </c>
      <c r="F166" s="4">
        <v>1583285</v>
      </c>
      <c r="G166" s="4">
        <v>1350226</v>
      </c>
      <c r="H166" s="8">
        <f>IF(C166&gt;0, G166/C166, 0)</f>
        <v>6.2172715443051495E-2</v>
      </c>
      <c r="I166" s="8" cm="1">
        <f t="array" aca="1" ref="I166" ca="1">IF(ROW()-2&gt;7, (G166/INDIRECT("G"&amp;ROW()-7))-1, "")</f>
        <v>-8.5972568873978084E-2</v>
      </c>
      <c r="J166" s="8" cm="1">
        <f t="array" aca="1" ref="J166" ca="1">IF(ROW()-2&gt;7, (C166/INDIRECT("C"&amp;ROW()-7))-1, "")</f>
        <v>-2.9126204911649523E-2</v>
      </c>
      <c r="K166" s="8" cm="1">
        <f t="array" aca="1" ref="K166" ca="1">IF(ROW()-2&gt;7, (H166/INDIRECT("H"&amp;ROW()-7))-1, "")</f>
        <v>-5.8551754357687225E-2</v>
      </c>
      <c r="L166" s="8">
        <f>IF(D166&gt;0, D166/C166, 0)</f>
        <v>0.25249998388384581</v>
      </c>
      <c r="M166" s="8">
        <f>IF(D166&gt;0, E166/D166, 0)</f>
        <v>0.38399997228112481</v>
      </c>
      <c r="N166" s="8">
        <f>IF(E166&gt;0, F166/E166, 0)</f>
        <v>0.75189971282886126</v>
      </c>
      <c r="O166" s="8">
        <f>IF(F166&gt;0, G166/F166, 0)</f>
        <v>0.85280034864222176</v>
      </c>
      <c r="P166" s="8" cm="1">
        <f t="array" aca="1" ref="P166" ca="1">IF(ROW()-2&gt;1, (L166/INDIRECT("L"&amp;ROW()-1))-1, "")</f>
        <v>-3.809518881227103E-2</v>
      </c>
      <c r="Q166" s="8" cm="1">
        <f t="array" aca="1" ref="Q166" ca="1">IF(ROW()-2&gt;1, (M166/INDIRECT("M"&amp;ROW()-1))-1, "")</f>
        <v>-8.5714434887601554E-2</v>
      </c>
      <c r="R166" s="8" cm="1">
        <f t="array" aca="1" ref="R166" ca="1">IF(ROW()-2&gt;1, (N166/INDIRECT("N"&amp;ROW()-1))-1, "")</f>
        <v>-1.9047665589069784E-2</v>
      </c>
      <c r="S166" s="8" cm="1">
        <f t="array" aca="1" ref="S166" ca="1">IF(ROW()-2&gt;1, (O166/INDIRECT("O"&amp;ROW()-1))-1, "")</f>
        <v>9.4737266153673838E-2</v>
      </c>
    </row>
    <row r="167" spans="2:19" x14ac:dyDescent="0.35">
      <c r="B167" s="3">
        <v>43630</v>
      </c>
      <c r="C167" s="4">
        <v>22368860</v>
      </c>
      <c r="D167" s="4">
        <v>5815903</v>
      </c>
      <c r="E167" s="4">
        <v>2279834</v>
      </c>
      <c r="F167" s="4">
        <v>1647636</v>
      </c>
      <c r="G167" s="4">
        <v>1283508</v>
      </c>
      <c r="H167" s="8">
        <f>IF(C167&gt;0, G167/C167, 0)</f>
        <v>5.7379231664018641E-2</v>
      </c>
      <c r="I167" s="8" cm="1">
        <f t="array" aca="1" ref="I167" ca="1">IF(ROW()-2&gt;7, (G167/INDIRECT("G"&amp;ROW()-7))-1, "")</f>
        <v>-4.8281170173087862E-2</v>
      </c>
      <c r="J167" s="8" cm="1">
        <f t="array" aca="1" ref="J167" ca="1">IF(ROW()-2&gt;7, (C167/INDIRECT("C"&amp;ROW()-7))-1, "")</f>
        <v>6.1855650527727013E-2</v>
      </c>
      <c r="K167" s="8" cm="1">
        <f t="array" aca="1" ref="K167" ca="1">IF(ROW()-2&gt;7, (H167/INDIRECT("H"&amp;ROW()-7))-1, "")</f>
        <v>-0.1037210854847157</v>
      </c>
      <c r="L167" s="8">
        <f>IF(D167&gt;0, D167/C167, 0)</f>
        <v>0.25999997317699697</v>
      </c>
      <c r="M167" s="8">
        <f>IF(D167&gt;0, E167/D167, 0)</f>
        <v>0.39200000412661629</v>
      </c>
      <c r="N167" s="8">
        <f>IF(E167&gt;0, F167/E167, 0)</f>
        <v>0.72269998605161601</v>
      </c>
      <c r="O167" s="8">
        <f>IF(F167&gt;0, G167/F167, 0)</f>
        <v>0.77899973052300386</v>
      </c>
      <c r="P167" s="8" cm="1">
        <f t="array" aca="1" ref="P167" ca="1">IF(ROW()-2&gt;1, (L167/INDIRECT("L"&amp;ROW()-1))-1, "")</f>
        <v>2.9702929789497734E-2</v>
      </c>
      <c r="Q167" s="8" cm="1">
        <f t="array" aca="1" ref="Q167" ca="1">IF(ROW()-2&gt;1, (M167/INDIRECT("M"&amp;ROW()-1))-1, "")</f>
        <v>2.0833417768151952E-2</v>
      </c>
      <c r="R167" s="8" cm="1">
        <f t="array" aca="1" ref="R167" ca="1">IF(ROW()-2&gt;1, (N167/INDIRECT("N"&amp;ROW()-1))-1, "")</f>
        <v>-3.8834602911853144E-2</v>
      </c>
      <c r="S167" s="8" cm="1">
        <f t="array" aca="1" ref="S167" ca="1">IF(ROW()-2&gt;1, (O167/INDIRECT("O"&amp;ROW()-1))-1, "")</f>
        <v>-8.6539150970938117E-2</v>
      </c>
    </row>
    <row r="168" spans="2:19" x14ac:dyDescent="0.35">
      <c r="B168" s="3">
        <v>43631</v>
      </c>
      <c r="C168" s="4">
        <v>44440853</v>
      </c>
      <c r="D168" s="4">
        <v>8865950</v>
      </c>
      <c r="E168" s="4">
        <v>3135000</v>
      </c>
      <c r="F168" s="4">
        <v>2110482</v>
      </c>
      <c r="G168" s="4">
        <v>1613252</v>
      </c>
      <c r="H168" s="8">
        <f>IF(C168&gt;0, G168/C168, 0)</f>
        <v>3.6301103401413112E-2</v>
      </c>
      <c r="I168" s="8" cm="1">
        <f t="array" aca="1" ref="I168" ca="1">IF(ROW()-2&gt;7, (G168/INDIRECT("G"&amp;ROW()-7))-1, "")</f>
        <v>0.13034570703885873</v>
      </c>
      <c r="J168" s="8" cm="1">
        <f t="array" aca="1" ref="J168" ca="1">IF(ROW()-2&gt;7, (C168/INDIRECT("C"&amp;ROW()-7))-1, "")</f>
        <v>4.2105262664225984E-2</v>
      </c>
      <c r="K168" s="8" cm="1">
        <f t="array" aca="1" ref="K168" ca="1">IF(ROW()-2&gt;7, (H168/INDIRECT("H"&amp;ROW()-7))-1, "")</f>
        <v>8.4675173934962045E-2</v>
      </c>
      <c r="L168" s="8">
        <f>IF(D168&gt;0, D168/C168, 0)</f>
        <v>0.19949999609593452</v>
      </c>
      <c r="M168" s="8">
        <f>IF(D168&gt;0, E168/D168, 0)</f>
        <v>0.3536000090232857</v>
      </c>
      <c r="N168" s="8">
        <f>IF(E168&gt;0, F168/E168, 0)</f>
        <v>0.67320000000000002</v>
      </c>
      <c r="O168" s="8">
        <f>IF(F168&gt;0, G168/F168, 0)</f>
        <v>0.76439979113775902</v>
      </c>
      <c r="P168" s="8" cm="1">
        <f t="array" aca="1" ref="P168" ca="1">IF(ROW()-2&gt;1, (L168/INDIRECT("L"&amp;ROW()-1))-1, "")</f>
        <v>-0.2326922435483354</v>
      </c>
      <c r="Q168" s="8" cm="1">
        <f t="array" aca="1" ref="Q168" ca="1">IF(ROW()-2&gt;1, (M168/INDIRECT("M"&amp;ROW()-1))-1, "")</f>
        <v>-9.7959170150741515E-2</v>
      </c>
      <c r="R168" s="8" cm="1">
        <f t="array" aca="1" ref="R168" ca="1">IF(ROW()-2&gt;1, (N168/INDIRECT("N"&amp;ROW()-1))-1, "")</f>
        <v>-6.8493132706495818E-2</v>
      </c>
      <c r="S168" s="8" cm="1">
        <f t="array" aca="1" ref="S168" ca="1">IF(ROW()-2&gt;1, (O168/INDIRECT("O"&amp;ROW()-1))-1, "")</f>
        <v>-1.87419055657988E-2</v>
      </c>
    </row>
    <row r="169" spans="2:19" x14ac:dyDescent="0.35">
      <c r="B169" s="3">
        <v>43632</v>
      </c>
      <c r="C169" s="4">
        <v>45787545</v>
      </c>
      <c r="D169" s="4">
        <v>9230769</v>
      </c>
      <c r="E169" s="4">
        <v>3201230</v>
      </c>
      <c r="F169" s="4">
        <v>2133300</v>
      </c>
      <c r="G169" s="4">
        <v>1697253</v>
      </c>
      <c r="H169" s="8">
        <f>IF(C169&gt;0, G169/C169, 0)</f>
        <v>3.7068006157569708E-2</v>
      </c>
      <c r="I169" s="8" cm="1">
        <f t="array" aca="1" ref="I169" ca="1">IF(ROW()-2&gt;7, (G169/INDIRECT("G"&amp;ROW()-7))-1, "")</f>
        <v>3.113289850353107E-2</v>
      </c>
      <c r="J169" s="8" cm="1">
        <f t="array" aca="1" ref="J169" ca="1">IF(ROW()-2&gt;7, (C169/INDIRECT("C"&amp;ROW()-7))-1, "")</f>
        <v>2.0000000000000018E-2</v>
      </c>
      <c r="K169" s="8" cm="1">
        <f t="array" aca="1" ref="K169" ca="1">IF(ROW()-2&gt;7, (H169/INDIRECT("H"&amp;ROW()-7))-1, "")</f>
        <v>1.0914606376010827E-2</v>
      </c>
      <c r="L169" s="8">
        <f>IF(D169&gt;0, D169/C169, 0)</f>
        <v>0.20159999842751997</v>
      </c>
      <c r="M169" s="8">
        <f>IF(D169&gt;0, E169/D169, 0)</f>
        <v>0.34679992533666482</v>
      </c>
      <c r="N169" s="8">
        <f>IF(E169&gt;0, F169/E169, 0)</f>
        <v>0.66640010246061665</v>
      </c>
      <c r="O169" s="8">
        <f>IF(F169&gt;0, G169/F169, 0)</f>
        <v>0.79559977499648427</v>
      </c>
      <c r="P169" s="8" cm="1">
        <f t="array" aca="1" ref="P169" ca="1">IF(ROW()-2&gt;1, (L169/INDIRECT("L"&amp;ROW()-1))-1, "")</f>
        <v>1.0526327682611081E-2</v>
      </c>
      <c r="Q169" s="8" cm="1">
        <f t="array" aca="1" ref="Q169" ca="1">IF(ROW()-2&gt;1, (M169/INDIRECT("M"&amp;ROW()-1))-1, "")</f>
        <v>-1.9231005410333735E-2</v>
      </c>
      <c r="R169" s="8" cm="1">
        <f t="array" aca="1" ref="R169" ca="1">IF(ROW()-2&gt;1, (N169/INDIRECT("N"&amp;ROW()-1))-1, "")</f>
        <v>-1.0100857901638949E-2</v>
      </c>
      <c r="S169" s="8" cm="1">
        <f t="array" aca="1" ref="S169" ca="1">IF(ROW()-2&gt;1, (O169/INDIRECT("O"&amp;ROW()-1))-1, "")</f>
        <v>4.081631656686624E-2</v>
      </c>
    </row>
    <row r="170" spans="2:19" x14ac:dyDescent="0.35">
      <c r="B170" s="3">
        <v>43633</v>
      </c>
      <c r="C170" s="4">
        <v>22586034</v>
      </c>
      <c r="D170" s="4">
        <v>5928833</v>
      </c>
      <c r="E170" s="4">
        <v>2252956</v>
      </c>
      <c r="F170" s="4">
        <v>1611765</v>
      </c>
      <c r="G170" s="4">
        <v>1361297</v>
      </c>
      <c r="H170" s="8">
        <f>IF(C170&gt;0, G170/C170, 0)</f>
        <v>6.0271626262494778E-2</v>
      </c>
      <c r="I170" s="8" cm="1">
        <f t="array" aca="1" ref="I170" ca="1">IF(ROW()-2&gt;7, (G170/INDIRECT("G"&amp;ROW()-7))-1, "")</f>
        <v>3.8750444482088753E-2</v>
      </c>
      <c r="J170" s="8" cm="1">
        <f t="array" aca="1" ref="J170" ca="1">IF(ROW()-2&gt;7, (C170/INDIRECT("C"&amp;ROW()-7))-1, "")</f>
        <v>2.9703007310898588E-2</v>
      </c>
      <c r="K170" s="8" cm="1">
        <f t="array" aca="1" ref="K170" ca="1">IF(ROW()-2&gt;7, (H170/INDIRECT("H"&amp;ROW()-7))-1, "")</f>
        <v>8.786453090797286E-3</v>
      </c>
      <c r="L170" s="8">
        <f>IF(D170&gt;0, D170/C170, 0)</f>
        <v>0.26249995904548801</v>
      </c>
      <c r="M170" s="8">
        <f>IF(D170&gt;0, E170/D170, 0)</f>
        <v>0.37999990891968116</v>
      </c>
      <c r="N170" s="8">
        <f>IF(E170&gt;0, F170/E170, 0)</f>
        <v>0.71540012321589952</v>
      </c>
      <c r="O170" s="8">
        <f>IF(F170&gt;0, G170/F170, 0)</f>
        <v>0.84460017434303392</v>
      </c>
      <c r="P170" s="8" cm="1">
        <f t="array" aca="1" ref="P170" ca="1">IF(ROW()-2&gt;1, (L170/INDIRECT("L"&amp;ROW()-1))-1, "")</f>
        <v>0.30208314034220107</v>
      </c>
      <c r="Q170" s="8" cm="1">
        <f t="array" aca="1" ref="Q170" ca="1">IF(ROW()-2&gt;1, (M170/INDIRECT("M"&amp;ROW()-1))-1, "")</f>
        <v>9.573238388326244E-2</v>
      </c>
      <c r="R170" s="8" cm="1">
        <f t="array" aca="1" ref="R170" ca="1">IF(ROW()-2&gt;1, (N170/INDIRECT("N"&amp;ROW()-1))-1, "")</f>
        <v>7.3529431604759887E-2</v>
      </c>
      <c r="S170" s="8" cm="1">
        <f t="array" aca="1" ref="S170" ca="1">IF(ROW()-2&gt;1, (O170/INDIRECT("O"&amp;ROW()-1))-1, "")</f>
        <v>6.1589257421253318E-2</v>
      </c>
    </row>
    <row r="171" spans="2:19" x14ac:dyDescent="0.35">
      <c r="B171" s="3">
        <v>43634</v>
      </c>
      <c r="C171" s="4">
        <v>21065820</v>
      </c>
      <c r="D171" s="4">
        <v>5529777</v>
      </c>
      <c r="E171" s="4">
        <v>2101315</v>
      </c>
      <c r="F171" s="4">
        <v>1579979</v>
      </c>
      <c r="G171" s="4">
        <v>1256715</v>
      </c>
      <c r="H171" s="8">
        <f>IF(C171&gt;0, G171/C171, 0)</f>
        <v>5.965659062880059E-2</v>
      </c>
      <c r="I171" s="8" cm="1">
        <f t="array" aca="1" ref="I171" ca="1">IF(ROW()-2&gt;7, (G171/INDIRECT("G"&amp;ROW()-7))-1, "")</f>
        <v>-4.0446305109541392E-2</v>
      </c>
      <c r="J171" s="8" cm="1">
        <f t="array" aca="1" ref="J171" ca="1">IF(ROW()-2&gt;7, (C171/INDIRECT("C"&amp;ROW()-7))-1, "")</f>
        <v>-5.8252409823299045E-2</v>
      </c>
      <c r="K171" s="8" cm="1">
        <f t="array" aca="1" ref="K171" ca="1">IF(ROW()-2&gt;7, (H171/INDIRECT("H"&amp;ROW()-7))-1, "")</f>
        <v>1.8907512904191792E-2</v>
      </c>
      <c r="L171" s="8">
        <f>IF(D171&gt;0, D171/C171, 0)</f>
        <v>0.26249996439730333</v>
      </c>
      <c r="M171" s="8">
        <f>IF(D171&gt;0, E171/D171, 0)</f>
        <v>0.37999995298182909</v>
      </c>
      <c r="N171" s="8">
        <f>IF(E171&gt;0, F171/E171, 0)</f>
        <v>0.75190011968695791</v>
      </c>
      <c r="O171" s="8">
        <f>IF(F171&gt;0, G171/F171, 0)</f>
        <v>0.795399812275986</v>
      </c>
      <c r="P171" s="8" cm="1">
        <f t="array" aca="1" ref="P171" ca="1">IF(ROW()-2&gt;1, (L171/INDIRECT("L"&amp;ROW()-1))-1, "")</f>
        <v>2.0387871169091909E-8</v>
      </c>
      <c r="Q171" s="8" cm="1">
        <f t="array" aca="1" ref="Q171" ca="1">IF(ROW()-2&gt;1, (M171/INDIRECT("M"&amp;ROW()-1))-1, "")</f>
        <v>1.1595304871825363E-7</v>
      </c>
      <c r="R171" s="8" cm="1">
        <f t="array" aca="1" ref="R171" ca="1">IF(ROW()-2&gt;1, (N171/INDIRECT("N"&amp;ROW()-1))-1, "")</f>
        <v>5.1020394443017425E-2</v>
      </c>
      <c r="S171" s="8" cm="1">
        <f t="array" aca="1" ref="S171" ca="1">IF(ROW()-2&gt;1, (O171/INDIRECT("O"&amp;ROW()-1))-1, "")</f>
        <v>-5.8252843844506685E-2</v>
      </c>
    </row>
    <row r="172" spans="2:19" x14ac:dyDescent="0.35">
      <c r="B172" s="3">
        <v>43635</v>
      </c>
      <c r="C172" s="4">
        <v>22151687</v>
      </c>
      <c r="D172" s="4">
        <v>5261025</v>
      </c>
      <c r="E172" s="4">
        <v>2146498</v>
      </c>
      <c r="F172" s="4">
        <v>1519935</v>
      </c>
      <c r="G172" s="4">
        <v>1296201</v>
      </c>
      <c r="H172" s="8">
        <f>IF(C172&gt;0, G172/C172, 0)</f>
        <v>5.8514775872374865E-2</v>
      </c>
      <c r="I172" s="8" cm="1">
        <f t="array" aca="1" ref="I172" ca="1">IF(ROW()-2&gt;7, (G172/INDIRECT("G"&amp;ROW()-7))-1, "")</f>
        <v>-0.10233087689920028</v>
      </c>
      <c r="J172" s="8" cm="1">
        <f t="array" aca="1" ref="J172" ca="1">IF(ROW()-2&gt;7, (C172/INDIRECT("C"&amp;ROW()-7))-1, "")</f>
        <v>9.9010176337173128E-3</v>
      </c>
      <c r="K172" s="8" cm="1">
        <f t="array" aca="1" ref="K172" ca="1">IF(ROW()-2&gt;7, (H172/INDIRECT("H"&amp;ROW()-7))-1, "")</f>
        <v>-0.11113157881144275</v>
      </c>
      <c r="L172" s="8">
        <f>IF(D172&gt;0, D172/C172, 0)</f>
        <v>0.23749997009257129</v>
      </c>
      <c r="M172" s="8">
        <f>IF(D172&gt;0, E172/D172, 0)</f>
        <v>0.40799996198459426</v>
      </c>
      <c r="N172" s="8">
        <f>IF(E172&gt;0, F172/E172, 0)</f>
        <v>0.70809989107839844</v>
      </c>
      <c r="O172" s="8">
        <f>IF(F172&gt;0, G172/F172, 0)</f>
        <v>0.85280028422268062</v>
      </c>
      <c r="P172" s="8" cm="1">
        <f t="array" aca="1" ref="P172" ca="1">IF(ROW()-2&gt;1, (L172/INDIRECT("L"&amp;ROW()-1))-1, "")</f>
        <v>-9.5238086458913296E-2</v>
      </c>
      <c r="Q172" s="8" cm="1">
        <f t="array" aca="1" ref="Q172" ca="1">IF(ROW()-2&gt;1, (M172/INDIRECT("M"&amp;ROW()-1))-1, "")</f>
        <v>7.3684243334904087E-2</v>
      </c>
      <c r="R172" s="8" cm="1">
        <f t="array" aca="1" ref="R172" ca="1">IF(ROW()-2&gt;1, (N172/INDIRECT("N"&amp;ROW()-1))-1, "")</f>
        <v>-5.8252721953010234E-2</v>
      </c>
      <c r="S172" s="8" cm="1">
        <f t="array" aca="1" ref="S172" ca="1">IF(ROW()-2&gt;1, (O172/INDIRECT("O"&amp;ROW()-1))-1, "")</f>
        <v>7.2165558830655119E-2</v>
      </c>
    </row>
    <row r="173" spans="2:19" x14ac:dyDescent="0.35">
      <c r="B173" s="3">
        <v>43636</v>
      </c>
      <c r="C173" s="4">
        <v>10207150</v>
      </c>
      <c r="D173" s="4">
        <v>2526269</v>
      </c>
      <c r="E173" s="4">
        <v>1040823</v>
      </c>
      <c r="F173" s="4">
        <v>729408</v>
      </c>
      <c r="G173" s="4">
        <v>616058</v>
      </c>
      <c r="H173" s="8">
        <f>IF(C173&gt;0, G173/C173, 0)</f>
        <v>6.035553509059826E-2</v>
      </c>
      <c r="I173" s="8" cm="1">
        <f t="array" aca="1" ref="I173" ca="1">IF(ROW()-2&gt;7, (G173/INDIRECT("G"&amp;ROW()-7))-1, "")</f>
        <v>-0.54373712252615491</v>
      </c>
      <c r="J173" s="8" cm="1">
        <f t="array" aca="1" ref="J173" ca="1">IF(ROW()-2&gt;7, (C173/INDIRECT("C"&amp;ROW()-7))-1, "")</f>
        <v>-0.52999999079076909</v>
      </c>
      <c r="K173" s="8" cm="1">
        <f t="array" aca="1" ref="K173" ca="1">IF(ROW()-2&gt;7, (H173/INDIRECT("H"&amp;ROW()-7))-1, "")</f>
        <v>-2.9227939289827587E-2</v>
      </c>
      <c r="L173" s="8">
        <f>IF(D173&gt;0, D173/C173, 0)</f>
        <v>0.24749993876841234</v>
      </c>
      <c r="M173" s="8">
        <f>IF(D173&gt;0, E173/D173, 0)</f>
        <v>0.41200006808459433</v>
      </c>
      <c r="N173" s="8">
        <f>IF(E173&gt;0, F173/E173, 0)</f>
        <v>0.70079927134584841</v>
      </c>
      <c r="O173" s="8">
        <f>IF(F173&gt;0, G173/F173, 0)</f>
        <v>0.84460000438711946</v>
      </c>
      <c r="P173" s="8" cm="1">
        <f t="array" aca="1" ref="P173" ca="1">IF(ROW()-2&gt;1, (L173/INDIRECT("L"&amp;ROW()-1))-1, "")</f>
        <v>4.2105136568831192E-2</v>
      </c>
      <c r="Q173" s="8" cm="1">
        <f t="array" aca="1" ref="Q173" ca="1">IF(ROW()-2&gt;1, (M173/INDIRECT("M"&amp;ROW()-1))-1, "")</f>
        <v>9.8041825311521169E-3</v>
      </c>
      <c r="R173" s="8" cm="1">
        <f t="array" aca="1" ref="R173" ca="1">IF(ROW()-2&gt;1, (N173/INDIRECT("N"&amp;ROW()-1))-1, "")</f>
        <v>-1.0310155141291633E-2</v>
      </c>
      <c r="S173" s="8" cm="1">
        <f t="array" aca="1" ref="S173" ca="1">IF(ROW()-2&gt;1, (O173/INDIRECT("O"&amp;ROW()-1))-1, "")</f>
        <v>-9.6157095480281507E-3</v>
      </c>
    </row>
    <row r="174" spans="2:19" x14ac:dyDescent="0.35">
      <c r="B174" s="3">
        <v>43637</v>
      </c>
      <c r="C174" s="4">
        <v>21065820</v>
      </c>
      <c r="D174" s="4">
        <v>5108461</v>
      </c>
      <c r="E174" s="4">
        <v>2104686</v>
      </c>
      <c r="F174" s="4">
        <v>1613241</v>
      </c>
      <c r="G174" s="4">
        <v>1336086</v>
      </c>
      <c r="H174" s="8">
        <f>IF(C174&gt;0, G174/C174, 0)</f>
        <v>6.342435281417956E-2</v>
      </c>
      <c r="I174" s="8" cm="1">
        <f t="array" aca="1" ref="I174" ca="1">IF(ROW()-2&gt;7, (G174/INDIRECT("G"&amp;ROW()-7))-1, "")</f>
        <v>4.0964294729756157E-2</v>
      </c>
      <c r="J174" s="8" cm="1">
        <f t="array" aca="1" ref="J174" ca="1">IF(ROW()-2&gt;7, (C174/INDIRECT("C"&amp;ROW()-7))-1, "")</f>
        <v>-5.8252409823299045E-2</v>
      </c>
      <c r="K174" s="8" cm="1">
        <f t="array" aca="1" ref="K174" ca="1">IF(ROW()-2&gt;7, (H174/INDIRECT("H"&amp;ROW()-7))-1, "")</f>
        <v>0.10535381835640178</v>
      </c>
      <c r="L174" s="8">
        <f>IF(D174&gt;0, D174/C174, 0)</f>
        <v>0.24249998338540821</v>
      </c>
      <c r="M174" s="8">
        <f>IF(D174&gt;0, E174/D174, 0)</f>
        <v>0.41200001331124969</v>
      </c>
      <c r="N174" s="8">
        <f>IF(E174&gt;0, F174/E174, 0)</f>
        <v>0.76649961086831953</v>
      </c>
      <c r="O174" s="8">
        <f>IF(F174&gt;0, G174/F174, 0)</f>
        <v>0.82819987838146936</v>
      </c>
      <c r="P174" s="8" cm="1">
        <f t="array" aca="1" ref="P174" ca="1">IF(ROW()-2&gt;1, (L174/INDIRECT("L"&amp;ROW()-1))-1, "")</f>
        <v>-2.0201844929273349E-2</v>
      </c>
      <c r="Q174" s="8" cm="1">
        <f t="array" aca="1" ref="Q174" ca="1">IF(ROW()-2&gt;1, (M174/INDIRECT("M"&amp;ROW()-1))-1, "")</f>
        <v>-1.3294498923954734E-7</v>
      </c>
      <c r="R174" s="8" cm="1">
        <f t="array" aca="1" ref="R174" ca="1">IF(ROW()-2&gt;1, (N174/INDIRECT("N"&amp;ROW()-1))-1, "")</f>
        <v>9.3750581955225343E-2</v>
      </c>
      <c r="S174" s="8" cm="1">
        <f t="array" aca="1" ref="S174" ca="1">IF(ROW()-2&gt;1, (O174/INDIRECT("O"&amp;ROW()-1))-1, "")</f>
        <v>-1.9417624817029022E-2</v>
      </c>
    </row>
    <row r="175" spans="2:19" x14ac:dyDescent="0.35">
      <c r="B175" s="3">
        <v>43638</v>
      </c>
      <c r="C175" s="4">
        <v>44889750</v>
      </c>
      <c r="D175" s="4">
        <v>9332579</v>
      </c>
      <c r="E175" s="4">
        <v>3014423</v>
      </c>
      <c r="F175" s="4">
        <v>2131800</v>
      </c>
      <c r="G175" s="4">
        <v>1579663</v>
      </c>
      <c r="H175" s="8">
        <f>IF(C175&gt;0, G175/C175, 0)</f>
        <v>3.51898373236652E-2</v>
      </c>
      <c r="I175" s="8" cm="1">
        <f t="array" aca="1" ref="I175" ca="1">IF(ROW()-2&gt;7, (G175/INDIRECT("G"&amp;ROW()-7))-1, "")</f>
        <v>-2.0820677736646198E-2</v>
      </c>
      <c r="J175" s="8" cm="1">
        <f t="array" aca="1" ref="J175" ca="1">IF(ROW()-2&gt;7, (C175/INDIRECT("C"&amp;ROW()-7))-1, "")</f>
        <v>1.0100998736455313E-2</v>
      </c>
      <c r="K175" s="8" cm="1">
        <f t="array" aca="1" ref="K175" ca="1">IF(ROW()-2&gt;7, (H175/INDIRECT("H"&amp;ROW()-7))-1, "")</f>
        <v>-3.0612460052788726E-2</v>
      </c>
      <c r="L175" s="8">
        <f>IF(D175&gt;0, D175/C175, 0)</f>
        <v>0.20789999944307999</v>
      </c>
      <c r="M175" s="8">
        <f>IF(D175&gt;0, E175/D175, 0)</f>
        <v>0.32299999817842423</v>
      </c>
      <c r="N175" s="8">
        <f>IF(E175&gt;0, F175/E175, 0)</f>
        <v>0.7072000180465714</v>
      </c>
      <c r="O175" s="8">
        <f>IF(F175&gt;0, G175/F175, 0)</f>
        <v>0.74099962473027492</v>
      </c>
      <c r="P175" s="8" cm="1">
        <f t="array" aca="1" ref="P175" ca="1">IF(ROW()-2&gt;1, (L175/INDIRECT("L"&amp;ROW()-1))-1, "")</f>
        <v>-0.14268035592950135</v>
      </c>
      <c r="Q175" s="8" cm="1">
        <f t="array" aca="1" ref="Q175" ca="1">IF(ROW()-2&gt;1, (M175/INDIRECT("M"&amp;ROW()-1))-1, "")</f>
        <v>-0.21601944722654531</v>
      </c>
      <c r="R175" s="8" cm="1">
        <f t="array" aca="1" ref="R175" ca="1">IF(ROW()-2&gt;1, (N175/INDIRECT("N"&amp;ROW()-1))-1, "")</f>
        <v>-7.7364152546106735E-2</v>
      </c>
      <c r="S175" s="8" cm="1">
        <f t="array" aca="1" ref="S175" ca="1">IF(ROW()-2&gt;1, (O175/INDIRECT("O"&amp;ROW()-1))-1, "")</f>
        <v>-0.10528889936763541</v>
      </c>
    </row>
    <row r="176" spans="2:19" x14ac:dyDescent="0.35">
      <c r="B176" s="3">
        <v>43639</v>
      </c>
      <c r="C176" s="4">
        <v>43543058</v>
      </c>
      <c r="D176" s="4">
        <v>8869720</v>
      </c>
      <c r="E176" s="4">
        <v>3136333</v>
      </c>
      <c r="F176" s="4">
        <v>2068725</v>
      </c>
      <c r="G176" s="4">
        <v>1662014</v>
      </c>
      <c r="H176" s="8">
        <f>IF(C176&gt;0, G176/C176, 0)</f>
        <v>3.8169436790590136E-2</v>
      </c>
      <c r="I176" s="8" cm="1">
        <f t="array" aca="1" ref="I176" ca="1">IF(ROW()-2&gt;7, (G176/INDIRECT("G"&amp;ROW()-7))-1, "")</f>
        <v>-2.0762373081679608E-2</v>
      </c>
      <c r="J176" s="8" cm="1">
        <f t="array" aca="1" ref="J176" ca="1">IF(ROW()-2&gt;7, (C176/INDIRECT("C"&amp;ROW()-7))-1, "")</f>
        <v>-4.9019596923137065E-2</v>
      </c>
      <c r="K176" s="8" cm="1">
        <f t="array" aca="1" ref="K176" ca="1">IF(ROW()-2&gt;7, (H176/INDIRECT("H"&amp;ROW()-7))-1, "")</f>
        <v>2.9713781430229513E-2</v>
      </c>
      <c r="L176" s="8">
        <f>IF(D176&gt;0, D176/C176, 0)</f>
        <v>0.20369997899550371</v>
      </c>
      <c r="M176" s="8">
        <f>IF(D176&gt;0, E176/D176, 0)</f>
        <v>0.35360000090194504</v>
      </c>
      <c r="N176" s="8">
        <f>IF(E176&gt;0, F176/E176, 0)</f>
        <v>0.65959992130937628</v>
      </c>
      <c r="O176" s="8">
        <f>IF(F176&gt;0, G176/F176, 0)</f>
        <v>0.80340016193549169</v>
      </c>
      <c r="P176" s="8" cm="1">
        <f t="array" aca="1" ref="P176" ca="1">IF(ROW()-2&gt;1, (L176/INDIRECT("L"&amp;ROW()-1))-1, "")</f>
        <v>-2.0202118609077613E-2</v>
      </c>
      <c r="Q176" s="8" cm="1">
        <f t="array" aca="1" ref="Q176" ca="1">IF(ROW()-2&gt;1, (M176/INDIRECT("M"&amp;ROW()-1))-1, "")</f>
        <v>9.4736851071489658E-2</v>
      </c>
      <c r="R176" s="8" cm="1">
        <f t="array" aca="1" ref="R176" ca="1">IF(ROW()-2&gt;1, (N176/INDIRECT("N"&amp;ROW()-1))-1, "")</f>
        <v>-6.7307827379128438E-2</v>
      </c>
      <c r="S176" s="8" cm="1">
        <f t="array" aca="1" ref="S176" ca="1">IF(ROW()-2&gt;1, (O176/INDIRECT("O"&amp;ROW()-1))-1, "")</f>
        <v>8.421129393679605E-2</v>
      </c>
    </row>
    <row r="177" spans="2:19" x14ac:dyDescent="0.35">
      <c r="B177" s="3">
        <v>43640</v>
      </c>
      <c r="C177" s="4">
        <v>21282993</v>
      </c>
      <c r="D177" s="4">
        <v>5054710</v>
      </c>
      <c r="E177" s="4">
        <v>2042103</v>
      </c>
      <c r="F177" s="4">
        <v>1460920</v>
      </c>
      <c r="G177" s="4">
        <v>1233893</v>
      </c>
      <c r="H177" s="8">
        <f>IF(C177&gt;0, G177/C177, 0)</f>
        <v>5.7975539436582062E-2</v>
      </c>
      <c r="I177" s="8" cm="1">
        <f t="array" aca="1" ref="I177" ca="1">IF(ROW()-2&gt;7, (G177/INDIRECT("G"&amp;ROW()-7))-1, "")</f>
        <v>-9.3590157034063814E-2</v>
      </c>
      <c r="J177" s="8" cm="1">
        <f t="array" aca="1" ref="J177" ca="1">IF(ROW()-2&gt;7, (C177/INDIRECT("C"&amp;ROW()-7))-1, "")</f>
        <v>-5.7692333235662363E-2</v>
      </c>
      <c r="K177" s="8" cm="1">
        <f t="array" aca="1" ref="K177" ca="1">IF(ROW()-2&gt;7, (H177/INDIRECT("H"&amp;ROW()-7))-1, "")</f>
        <v>-3.8095650777910106E-2</v>
      </c>
      <c r="L177" s="8">
        <f>IF(D177&gt;0, D177/C177, 0)</f>
        <v>0.2374999606493316</v>
      </c>
      <c r="M177" s="8">
        <f>IF(D177&gt;0, E177/D177, 0)</f>
        <v>0.40400003165364579</v>
      </c>
      <c r="N177" s="8">
        <f>IF(E177&gt;0, F177/E177, 0)</f>
        <v>0.7153997619121073</v>
      </c>
      <c r="O177" s="8">
        <f>IF(F177&gt;0, G177/F177, 0)</f>
        <v>0.8445999780959943</v>
      </c>
      <c r="P177" s="8" cm="1">
        <f t="array" aca="1" ref="P177" ca="1">IF(ROW()-2&gt;1, (L177/INDIRECT("L"&amp;ROW()-1))-1, "")</f>
        <v>0.16593021668683616</v>
      </c>
      <c r="Q177" s="8" cm="1">
        <f t="array" aca="1" ref="Q177" ca="1">IF(ROW()-2&gt;1, (M177/INDIRECT("M"&amp;ROW()-1))-1, "")</f>
        <v>0.14253402325549458</v>
      </c>
      <c r="R177" s="8" cm="1">
        <f t="array" aca="1" ref="R177" ca="1">IF(ROW()-2&gt;1, (N177/INDIRECT("N"&amp;ROW()-1))-1, "")</f>
        <v>8.4596493722986388E-2</v>
      </c>
      <c r="S177" s="8" cm="1">
        <f t="array" aca="1" ref="S177" ca="1">IF(ROW()-2&gt;1, (O177/INDIRECT("O"&amp;ROW()-1))-1, "")</f>
        <v>5.1281812118691983E-2</v>
      </c>
    </row>
    <row r="178" spans="2:19" x14ac:dyDescent="0.35">
      <c r="B178" s="3">
        <v>43641</v>
      </c>
      <c r="C178" s="4">
        <v>22586034</v>
      </c>
      <c r="D178" s="4">
        <v>5646508</v>
      </c>
      <c r="E178" s="4">
        <v>2236017</v>
      </c>
      <c r="F178" s="4">
        <v>1632292</v>
      </c>
      <c r="G178" s="4">
        <v>1271556</v>
      </c>
      <c r="H178" s="8">
        <f>IF(C178&gt;0, G178/C178, 0)</f>
        <v>5.6298330198210095E-2</v>
      </c>
      <c r="I178" s="8" cm="1">
        <f t="array" aca="1" ref="I178" ca="1">IF(ROW()-2&gt;7, (G178/INDIRECT("G"&amp;ROW()-7))-1, "")</f>
        <v>1.1809360117449152E-2</v>
      </c>
      <c r="J178" s="8" cm="1">
        <f t="array" aca="1" ref="J178" ca="1">IF(ROW()-2&gt;7, (C178/INDIRECT("C"&amp;ROW()-7))-1, "")</f>
        <v>7.2164957262522922E-2</v>
      </c>
      <c r="K178" s="8" cm="1">
        <f t="array" aca="1" ref="K178" ca="1">IF(ROW()-2&gt;7, (H178/INDIRECT("H"&amp;ROW()-7))-1, "")</f>
        <v>-5.6293200720880954E-2</v>
      </c>
      <c r="L178" s="8">
        <f>IF(D178&gt;0, D178/C178, 0)</f>
        <v>0.24999997786242595</v>
      </c>
      <c r="M178" s="8">
        <f>IF(D178&gt;0, E178/D178, 0)</f>
        <v>0.39599997024709788</v>
      </c>
      <c r="N178" s="8">
        <f>IF(E178&gt;0, F178/E178, 0)</f>
        <v>0.72999981663824565</v>
      </c>
      <c r="O178" s="8">
        <f>IF(F178&gt;0, G178/F178, 0)</f>
        <v>0.77900032592207769</v>
      </c>
      <c r="P178" s="8" cm="1">
        <f t="array" aca="1" ref="P178" ca="1">IF(ROW()-2&gt;1, (L178/INDIRECT("L"&amp;ROW()-1))-1, "")</f>
        <v>5.2631660143938275E-2</v>
      </c>
      <c r="Q178" s="8" cm="1">
        <f t="array" aca="1" ref="Q178" ca="1">IF(ROW()-2&gt;1, (M178/INDIRECT("M"&amp;ROW()-1))-1, "")</f>
        <v>-1.9802130642916582E-2</v>
      </c>
      <c r="R178" s="8" cm="1">
        <f t="array" aca="1" ref="R178" ca="1">IF(ROW()-2&gt;1, (N178/INDIRECT("N"&amp;ROW()-1))-1, "")</f>
        <v>2.0408246554507681E-2</v>
      </c>
      <c r="S178" s="8" cm="1">
        <f t="array" aca="1" ref="S178" ca="1">IF(ROW()-2&gt;1, (O178/INDIRECT("O"&amp;ROW()-1))-1, "")</f>
        <v>-7.7669493103468712E-2</v>
      </c>
    </row>
    <row r="179" spans="2:19" x14ac:dyDescent="0.35">
      <c r="B179" s="3">
        <v>43642</v>
      </c>
      <c r="C179" s="4">
        <v>22368860</v>
      </c>
      <c r="D179" s="4">
        <v>5759981</v>
      </c>
      <c r="E179" s="4">
        <v>2234872</v>
      </c>
      <c r="F179" s="4">
        <v>1615142</v>
      </c>
      <c r="G179" s="4">
        <v>1324416</v>
      </c>
      <c r="H179" s="8">
        <f>IF(C179&gt;0, G179/C179, 0)</f>
        <v>5.9208024011952333E-2</v>
      </c>
      <c r="I179" s="8" cm="1">
        <f t="array" aca="1" ref="I179" ca="1">IF(ROW()-2&gt;7, (G179/INDIRECT("G"&amp;ROW()-7))-1, "")</f>
        <v>2.1767457361936859E-2</v>
      </c>
      <c r="J179" s="8" cm="1">
        <f t="array" aca="1" ref="J179" ca="1">IF(ROW()-2&gt;7, (C179/INDIRECT("C"&amp;ROW()-7))-1, "")</f>
        <v>9.80390342279569E-3</v>
      </c>
      <c r="K179" s="8" cm="1">
        <f t="array" aca="1" ref="K179" ca="1">IF(ROW()-2&gt;7, (H179/INDIRECT("H"&amp;ROW()-7))-1, "")</f>
        <v>1.1847403142917212E-2</v>
      </c>
      <c r="L179" s="8">
        <f>IF(D179&gt;0, D179/C179, 0)</f>
        <v>0.2574999798827477</v>
      </c>
      <c r="M179" s="8">
        <f>IF(D179&gt;0, E179/D179, 0)</f>
        <v>0.3879998909718626</v>
      </c>
      <c r="N179" s="8">
        <f>IF(E179&gt;0, F179/E179, 0)</f>
        <v>0.72270000250573629</v>
      </c>
      <c r="O179" s="8">
        <f>IF(F179&gt;0, G179/F179, 0)</f>
        <v>0.81999972757813244</v>
      </c>
      <c r="P179" s="8" cm="1">
        <f t="array" aca="1" ref="P179" ca="1">IF(ROW()-2&gt;1, (L179/INDIRECT("L"&amp;ROW()-1))-1, "")</f>
        <v>3.0000010737796901E-2</v>
      </c>
      <c r="Q179" s="8" cm="1">
        <f t="array" aca="1" ref="Q179" ca="1">IF(ROW()-2&gt;1, (M179/INDIRECT("M"&amp;ROW()-1))-1, "")</f>
        <v>-2.0202221909873752E-2</v>
      </c>
      <c r="R179" s="8" cm="1">
        <f t="array" aca="1" ref="R179" ca="1">IF(ROW()-2&gt;1, (N179/INDIRECT("N"&amp;ROW()-1))-1, "")</f>
        <v>-9.9997478987406963E-3</v>
      </c>
      <c r="S179" s="8" cm="1">
        <f t="array" aca="1" ref="S179" ca="1">IF(ROW()-2&gt;1, (O179/INDIRECT("O"&amp;ROW()-1))-1, "")</f>
        <v>5.2630788835068998E-2</v>
      </c>
    </row>
    <row r="180" spans="2:19" x14ac:dyDescent="0.35">
      <c r="B180" s="3">
        <v>43643</v>
      </c>
      <c r="C180" s="4">
        <v>22368860</v>
      </c>
      <c r="D180" s="4">
        <v>5759981</v>
      </c>
      <c r="E180" s="4">
        <v>2234872</v>
      </c>
      <c r="F180" s="4">
        <v>1680400</v>
      </c>
      <c r="G180" s="4">
        <v>1322811</v>
      </c>
      <c r="H180" s="8">
        <f>IF(C180&gt;0, G180/C180, 0)</f>
        <v>5.9136272478794182E-2</v>
      </c>
      <c r="I180" s="8" cm="1">
        <f t="array" aca="1" ref="I180" ca="1">IF(ROW()-2&gt;7, (G180/INDIRECT("G"&amp;ROW()-7))-1, "")</f>
        <v>1.1472182813955829</v>
      </c>
      <c r="J180" s="8" cm="1">
        <f t="array" aca="1" ref="J180" ca="1">IF(ROW()-2&gt;7, (C180/INDIRECT("C"&amp;ROW()-7))-1, "")</f>
        <v>1.1914892991677402</v>
      </c>
      <c r="K180" s="8" cm="1">
        <f t="array" aca="1" ref="K180" ca="1">IF(ROW()-2&gt;7, (H180/INDIRECT("H"&amp;ROW()-7))-1, "")</f>
        <v>-2.0201338783159994E-2</v>
      </c>
      <c r="L180" s="8">
        <f>IF(D180&gt;0, D180/C180, 0)</f>
        <v>0.2574999798827477</v>
      </c>
      <c r="M180" s="8">
        <f>IF(D180&gt;0, E180/D180, 0)</f>
        <v>0.3879998909718626</v>
      </c>
      <c r="N180" s="8">
        <f>IF(E180&gt;0, F180/E180, 0)</f>
        <v>0.75189988509409045</v>
      </c>
      <c r="O180" s="8">
        <f>IF(F180&gt;0, G180/F180, 0)</f>
        <v>0.78720007141156867</v>
      </c>
      <c r="P180" s="8" cm="1">
        <f t="array" aca="1" ref="P180" ca="1">IF(ROW()-2&gt;1, (L180/INDIRECT("L"&amp;ROW()-1))-1, "")</f>
        <v>0</v>
      </c>
      <c r="Q180" s="8" cm="1">
        <f t="array" aca="1" ref="Q180" ca="1">IF(ROW()-2&gt;1, (M180/INDIRECT("M"&amp;ROW()-1))-1, "")</f>
        <v>0</v>
      </c>
      <c r="R180" s="8" cm="1">
        <f t="array" aca="1" ref="R180" ca="1">IF(ROW()-2&gt;1, (N180/INDIRECT("N"&amp;ROW()-1))-1, "")</f>
        <v>4.04038778014566E-2</v>
      </c>
      <c r="S180" s="8" cm="1">
        <f t="array" aca="1" ref="S180" ca="1">IF(ROW()-2&gt;1, (O180/INDIRECT("O"&amp;ROW()-1))-1, "")</f>
        <v>-3.9999593979668124E-2</v>
      </c>
    </row>
    <row r="181" spans="2:19" x14ac:dyDescent="0.35">
      <c r="B181" s="3">
        <v>43644</v>
      </c>
      <c r="C181" s="4">
        <v>21282993</v>
      </c>
      <c r="D181" s="4">
        <v>5373955</v>
      </c>
      <c r="E181" s="4">
        <v>2063599</v>
      </c>
      <c r="F181" s="4">
        <v>1461234</v>
      </c>
      <c r="G181" s="4">
        <v>1234158</v>
      </c>
      <c r="H181" s="8">
        <f>IF(C181&gt;0, G181/C181, 0)</f>
        <v>5.7987990692850391E-2</v>
      </c>
      <c r="I181" s="8" cm="1">
        <f t="array" aca="1" ref="I181" ca="1">IF(ROW()-2&gt;7, (G181/INDIRECT("G"&amp;ROW()-7))-1, "")</f>
        <v>-7.6288502386822388E-2</v>
      </c>
      <c r="J181" s="8" cm="1">
        <f t="array" aca="1" ref="J181" ca="1">IF(ROW()-2&gt;7, (C181/INDIRECT("C"&amp;ROW()-7))-1, "")</f>
        <v>1.0309259264533743E-2</v>
      </c>
      <c r="K181" s="8" cm="1">
        <f t="array" aca="1" ref="K181" ca="1">IF(ROW()-2&gt;7, (H181/INDIRECT("H"&amp;ROW()-7))-1, "")</f>
        <v>-8.5714112641505413E-2</v>
      </c>
      <c r="L181" s="8">
        <f>IF(D181&gt;0, D181/C181, 0)</f>
        <v>0.25249996558284826</v>
      </c>
      <c r="M181" s="8">
        <f>IF(D181&gt;0, E181/D181, 0)</f>
        <v>0.38400005210315308</v>
      </c>
      <c r="N181" s="8">
        <f>IF(E181&gt;0, F181/E181, 0)</f>
        <v>0.70809978101365623</v>
      </c>
      <c r="O181" s="8">
        <f>IF(F181&gt;0, G181/F181, 0)</f>
        <v>0.84459983821893003</v>
      </c>
      <c r="P181" s="8" cm="1">
        <f t="array" aca="1" ref="P181" ca="1">IF(ROW()-2&gt;1, (L181/INDIRECT("L"&amp;ROW()-1))-1, "")</f>
        <v>-1.9417532778745028E-2</v>
      </c>
      <c r="Q181" s="8" cm="1">
        <f t="array" aca="1" ref="Q181" ca="1">IF(ROW()-2&gt;1, (M181/INDIRECT("M"&amp;ROW()-1))-1, "")</f>
        <v>-1.0308865960479308E-2</v>
      </c>
      <c r="R181" s="8" cm="1">
        <f t="array" aca="1" ref="R181" ca="1">IF(ROW()-2&gt;1, (N181/INDIRECT("N"&amp;ROW()-1))-1, "")</f>
        <v>-5.8252574509907284E-2</v>
      </c>
      <c r="S181" s="8" cm="1">
        <f t="array" aca="1" ref="S181" ca="1">IF(ROW()-2&gt;1, (O181/INDIRECT("O"&amp;ROW()-1))-1, "")</f>
        <v>7.2916363821505792E-2</v>
      </c>
    </row>
    <row r="182" spans="2:19" x14ac:dyDescent="0.35">
      <c r="B182" s="3">
        <v>43645</v>
      </c>
      <c r="C182" s="4">
        <v>46685340</v>
      </c>
      <c r="D182" s="4">
        <v>9999999</v>
      </c>
      <c r="E182" s="4">
        <v>3502000</v>
      </c>
      <c r="F182" s="4">
        <v>2286105</v>
      </c>
      <c r="G182" s="4">
        <v>1729667</v>
      </c>
      <c r="H182" s="8">
        <f>IF(C182&gt;0, G182/C182, 0)</f>
        <v>3.7049467777250843E-2</v>
      </c>
      <c r="I182" s="8" cm="1">
        <f t="array" aca="1" ref="I182" ca="1">IF(ROW()-2&gt;7, (G182/INDIRECT("G"&amp;ROW()-7))-1, "")</f>
        <v>9.4959494525097998E-2</v>
      </c>
      <c r="J182" s="8" cm="1">
        <f t="array" aca="1" ref="J182" ca="1">IF(ROW()-2&gt;7, (C182/INDIRECT("C"&amp;ROW()-7))-1, "")</f>
        <v>4.0000000000000036E-2</v>
      </c>
      <c r="K182" s="8" cm="1">
        <f t="array" aca="1" ref="K182" ca="1">IF(ROW()-2&gt;7, (H182/INDIRECT("H"&amp;ROW()-7))-1, "")</f>
        <v>5.2845667812594366E-2</v>
      </c>
      <c r="L182" s="8">
        <f>IF(D182&gt;0, D182/C182, 0)</f>
        <v>0.2141999822642397</v>
      </c>
      <c r="M182" s="8">
        <f>IF(D182&gt;0, E182/D182, 0)</f>
        <v>0.35020003502000352</v>
      </c>
      <c r="N182" s="8">
        <f>IF(E182&gt;0, F182/E182, 0)</f>
        <v>0.65279982866933184</v>
      </c>
      <c r="O182" s="8">
        <f>IF(F182&gt;0, G182/F182, 0)</f>
        <v>0.75659998119071525</v>
      </c>
      <c r="P182" s="8" cm="1">
        <f t="array" aca="1" ref="P182" ca="1">IF(ROW()-2&gt;1, (L182/INDIRECT("L"&amp;ROW()-1))-1, "")</f>
        <v>-0.15168312292716679</v>
      </c>
      <c r="Q182" s="8" cm="1">
        <f t="array" aca="1" ref="Q182" ca="1">IF(ROW()-2&gt;1, (M182/INDIRECT("M"&amp;ROW()-1))-1, "")</f>
        <v>-8.8020865877564858E-2</v>
      </c>
      <c r="R182" s="8" cm="1">
        <f t="array" aca="1" ref="R182" ca="1">IF(ROW()-2&gt;1, (N182/INDIRECT("N"&amp;ROW()-1))-1, "")</f>
        <v>-7.8096270931141354E-2</v>
      </c>
      <c r="S182" s="8" cm="1">
        <f t="array" aca="1" ref="S182" ca="1">IF(ROW()-2&gt;1, (O182/INDIRECT("O"&amp;ROW()-1))-1, "")</f>
        <v>-0.10419118385552451</v>
      </c>
    </row>
    <row r="183" spans="2:19" x14ac:dyDescent="0.35">
      <c r="B183" s="3">
        <v>43646</v>
      </c>
      <c r="C183" s="4">
        <v>43991955</v>
      </c>
      <c r="D183" s="4">
        <v>8776395</v>
      </c>
      <c r="E183" s="4">
        <v>3133173</v>
      </c>
      <c r="F183" s="4">
        <v>2066640</v>
      </c>
      <c r="G183" s="4">
        <v>1692578</v>
      </c>
      <c r="H183" s="8">
        <f>IF(C183&gt;0, G183/C183, 0)</f>
        <v>3.8474716570336555E-2</v>
      </c>
      <c r="I183" s="8" cm="1">
        <f t="array" aca="1" ref="I183" ca="1">IF(ROW()-2&gt;7, (G183/INDIRECT("G"&amp;ROW()-7))-1, "")</f>
        <v>1.8389736789220734E-2</v>
      </c>
      <c r="J183" s="8" cm="1">
        <f t="array" aca="1" ref="J183" ca="1">IF(ROW()-2&gt;7, (C183/INDIRECT("C"&amp;ROW()-7))-1, "")</f>
        <v>1.0309266749248591E-2</v>
      </c>
      <c r="K183" s="8" cm="1">
        <f t="array" aca="1" ref="K183" ca="1">IF(ROW()-2&gt;7, (H183/INDIRECT("H"&amp;ROW()-7))-1, "")</f>
        <v>7.9980163558943662E-3</v>
      </c>
      <c r="L183" s="8">
        <f>IF(D183&gt;0, D183/C183, 0)</f>
        <v>0.19949999948854286</v>
      </c>
      <c r="M183" s="8">
        <f>IF(D183&gt;0, E183/D183, 0)</f>
        <v>0.35699999829086998</v>
      </c>
      <c r="N183" s="8">
        <f>IF(E183&gt;0, F183/E183, 0)</f>
        <v>0.65959970930427403</v>
      </c>
      <c r="O183" s="8">
        <f>IF(F183&gt;0, G183/F183, 0)</f>
        <v>0.81899992257964616</v>
      </c>
      <c r="P183" s="8" cm="1">
        <f t="array" aca="1" ref="P183" ca="1">IF(ROW()-2&gt;1, (L183/INDIRECT("L"&amp;ROW()-1))-1, "")</f>
        <v>-6.8627376250492644E-2</v>
      </c>
      <c r="Q183" s="8" cm="1">
        <f t="array" aca="1" ref="Q183" ca="1">IF(ROW()-2&gt;1, (M183/INDIRECT("M"&amp;ROW()-1))-1, "")</f>
        <v>1.9417368905968457E-2</v>
      </c>
      <c r="R183" s="8" cm="1">
        <f t="array" aca="1" ref="R183" ca="1">IF(ROW()-2&gt;1, (N183/INDIRECT("N"&amp;ROW()-1))-1, "")</f>
        <v>1.0416486549641224E-2</v>
      </c>
      <c r="S183" s="8" cm="1">
        <f t="array" aca="1" ref="S183" ca="1">IF(ROW()-2&gt;1, (O183/INDIRECT("O"&amp;ROW()-1))-1, "")</f>
        <v>8.2474151388066019E-2</v>
      </c>
    </row>
    <row r="184" spans="2:19" x14ac:dyDescent="0.35">
      <c r="B184" s="3">
        <v>43647</v>
      </c>
      <c r="C184" s="4">
        <v>21500167</v>
      </c>
      <c r="D184" s="4">
        <v>5213790</v>
      </c>
      <c r="E184" s="4">
        <v>2189792</v>
      </c>
      <c r="F184" s="4">
        <v>1582562</v>
      </c>
      <c r="G184" s="4">
        <v>1297701</v>
      </c>
      <c r="H184" s="8">
        <f>IF(C184&gt;0, G184/C184, 0)</f>
        <v>6.0357717221452278E-2</v>
      </c>
      <c r="I184" s="8" cm="1">
        <f t="array" aca="1" ref="I184" ca="1">IF(ROW()-2&gt;7, (G184/INDIRECT("G"&amp;ROW()-7))-1, "")</f>
        <v>5.171274980893803E-2</v>
      </c>
      <c r="J184" s="8" cm="1">
        <f t="array" aca="1" ref="J184" ca="1">IF(ROW()-2&gt;7, (C184/INDIRECT("C"&amp;ROW()-7))-1, "")</f>
        <v>1.0204109920066262E-2</v>
      </c>
      <c r="K184" s="8" cm="1">
        <f t="array" aca="1" ref="K184" ca="1">IF(ROW()-2&gt;7, (H184/INDIRECT("H"&amp;ROW()-7))-1, "")</f>
        <v>4.1089359547503923E-2</v>
      </c>
      <c r="L184" s="8">
        <f>IF(D184&gt;0, D184/C184, 0)</f>
        <v>0.24249997686064484</v>
      </c>
      <c r="M184" s="8">
        <f>IF(D184&gt;0, E184/D184, 0)</f>
        <v>0.4200000383598112</v>
      </c>
      <c r="N184" s="8">
        <f>IF(E184&gt;0, F184/E184, 0)</f>
        <v>0.72269969019888647</v>
      </c>
      <c r="O184" s="8">
        <f>IF(F184&gt;0, G184/F184, 0)</f>
        <v>0.82000010110188415</v>
      </c>
      <c r="P184" s="8" cm="1">
        <f t="array" aca="1" ref="P184" ca="1">IF(ROW()-2&gt;1, (L184/INDIRECT("L"&amp;ROW()-1))-1, "")</f>
        <v>0.21553873424732228</v>
      </c>
      <c r="Q184" s="8" cm="1">
        <f t="array" aca="1" ref="Q184" ca="1">IF(ROW()-2&gt;1, (M184/INDIRECT("M"&amp;ROW()-1))-1, "")</f>
        <v>0.17647070131807441</v>
      </c>
      <c r="R184" s="8" cm="1">
        <f t="array" aca="1" ref="R184" ca="1">IF(ROW()-2&gt;1, (N184/INDIRECT("N"&amp;ROW()-1))-1, "")</f>
        <v>9.5664052006888323E-2</v>
      </c>
      <c r="S184" s="8" cm="1">
        <f t="array" aca="1" ref="S184" ca="1">IF(ROW()-2&gt;1, (O184/INDIRECT("O"&amp;ROW()-1))-1, "")</f>
        <v>1.2212193123140036E-3</v>
      </c>
    </row>
    <row r="185" spans="2:19" x14ac:dyDescent="0.35">
      <c r="B185" s="3">
        <v>43648</v>
      </c>
      <c r="C185" s="4">
        <v>21934513</v>
      </c>
      <c r="D185" s="4">
        <v>5264283</v>
      </c>
      <c r="E185" s="4">
        <v>2105713</v>
      </c>
      <c r="F185" s="4">
        <v>1583285</v>
      </c>
      <c r="G185" s="4">
        <v>1311277</v>
      </c>
      <c r="H185" s="8">
        <f>IF(C185&gt;0, G185/C185, 0)</f>
        <v>5.9781450356340256E-2</v>
      </c>
      <c r="I185" s="8" cm="1">
        <f t="array" aca="1" ref="I185" ca="1">IF(ROW()-2&gt;7, (G185/INDIRECT("G"&amp;ROW()-7))-1, "")</f>
        <v>3.1238105124744786E-2</v>
      </c>
      <c r="J185" s="8" cm="1">
        <f t="array" aca="1" ref="J185" ca="1">IF(ROW()-2&gt;7, (C185/INDIRECT("C"&amp;ROW()-7))-1, "")</f>
        <v>-2.8846188755405233E-2</v>
      </c>
      <c r="K185" s="8" cm="1">
        <f t="array" aca="1" ref="K185" ca="1">IF(ROW()-2&gt;7, (H185/INDIRECT("H"&amp;ROW()-7))-1, "")</f>
        <v>6.1868978100542371E-2</v>
      </c>
      <c r="L185" s="8">
        <f>IF(D185&gt;0, D185/C185, 0)</f>
        <v>0.23999999452916962</v>
      </c>
      <c r="M185" s="8">
        <f>IF(D185&gt;0, E185/D185, 0)</f>
        <v>0.39999996200812155</v>
      </c>
      <c r="N185" s="8">
        <f>IF(E185&gt;0, F185/E185, 0)</f>
        <v>0.75189971282886126</v>
      </c>
      <c r="O185" s="8">
        <f>IF(F185&gt;0, G185/F185, 0)</f>
        <v>0.82820022927015668</v>
      </c>
      <c r="P185" s="8" cm="1">
        <f t="array" aca="1" ref="P185" ca="1">IF(ROW()-2&gt;1, (L185/INDIRECT("L"&amp;ROW()-1))-1, "")</f>
        <v>-1.0309206474324206E-2</v>
      </c>
      <c r="Q185" s="8" cm="1">
        <f t="array" aca="1" ref="Q185" ca="1">IF(ROW()-2&gt;1, (M185/INDIRECT("M"&amp;ROW()-1))-1, "")</f>
        <v>-4.7619225059583714E-2</v>
      </c>
      <c r="R185" s="8" cm="1">
        <f t="array" aca="1" ref="R185" ca="1">IF(ROW()-2&gt;1, (N185/INDIRECT("N"&amp;ROW()-1))-1, "")</f>
        <v>4.0404089037230584E-2</v>
      </c>
      <c r="S185" s="8" cm="1">
        <f t="array" aca="1" ref="S185" ca="1">IF(ROW()-2&gt;1, (O185/INDIRECT("O"&amp;ROW()-1))-1, "")</f>
        <v>1.0000155069802563E-2</v>
      </c>
    </row>
    <row r="186" spans="2:19" x14ac:dyDescent="0.35">
      <c r="B186" s="3">
        <v>43649</v>
      </c>
      <c r="C186" s="4">
        <v>22151687</v>
      </c>
      <c r="D186" s="4">
        <v>5814817</v>
      </c>
      <c r="E186" s="4">
        <v>2302667</v>
      </c>
      <c r="F186" s="4">
        <v>1731375</v>
      </c>
      <c r="G186" s="4">
        <v>1462320</v>
      </c>
      <c r="H186" s="8">
        <f>IF(C186&gt;0, G186/C186, 0)</f>
        <v>6.6013933837183597E-2</v>
      </c>
      <c r="I186" s="8" cm="1">
        <f t="array" aca="1" ref="I186" ca="1">IF(ROW()-2&gt;7, (G186/INDIRECT("G"&amp;ROW()-7))-1, "")</f>
        <v>0.10412438387938527</v>
      </c>
      <c r="J186" s="8" cm="1">
        <f t="array" aca="1" ref="J186" ca="1">IF(ROW()-2&gt;7, (C186/INDIRECT("C"&amp;ROW()-7))-1, "")</f>
        <v>-9.7087200688814601E-3</v>
      </c>
      <c r="K186" s="8" cm="1">
        <f t="array" aca="1" ref="K186" ca="1">IF(ROW()-2&gt;7, (H186/INDIRECT("H"&amp;ROW()-7))-1, "")</f>
        <v>0.11494911270569252</v>
      </c>
      <c r="L186" s="8">
        <f>IF(D186&gt;0, D186/C186, 0)</f>
        <v>0.26249996219249577</v>
      </c>
      <c r="M186" s="8">
        <f>IF(D186&gt;0, E186/D186, 0)</f>
        <v>0.39599990850958855</v>
      </c>
      <c r="N186" s="8">
        <f>IF(E186&gt;0, F186/E186, 0)</f>
        <v>0.75189986220326255</v>
      </c>
      <c r="O186" s="8">
        <f>IF(F186&gt;0, G186/F186, 0)</f>
        <v>0.8446003898635478</v>
      </c>
      <c r="P186" s="8" cm="1">
        <f t="array" aca="1" ref="P186" ca="1">IF(ROW()-2&gt;1, (L186/INDIRECT("L"&amp;ROW()-1))-1, "")</f>
        <v>9.3749867400898967E-2</v>
      </c>
      <c r="Q186" s="8" cm="1">
        <f t="array" aca="1" ref="Q186" ca="1">IF(ROW()-2&gt;1, (M186/INDIRECT("M"&amp;ROW()-1))-1, "")</f>
        <v>-1.0000134696142249E-2</v>
      </c>
      <c r="R186" s="8" cm="1">
        <f t="array" aca="1" ref="R186" ca="1">IF(ROW()-2&gt;1, (N186/INDIRECT("N"&amp;ROW()-1))-1, "")</f>
        <v>1.9866266565138346E-7</v>
      </c>
      <c r="S186" s="8" cm="1">
        <f t="array" aca="1" ref="S186" ca="1">IF(ROW()-2&gt;1, (O186/INDIRECT("O"&amp;ROW()-1))-1, "")</f>
        <v>1.9802168622729877E-2</v>
      </c>
    </row>
    <row r="187" spans="2:19" x14ac:dyDescent="0.35">
      <c r="B187" s="3">
        <v>43650</v>
      </c>
      <c r="C187" s="4">
        <v>22368860</v>
      </c>
      <c r="D187" s="4">
        <v>5759981</v>
      </c>
      <c r="E187" s="4">
        <v>2373112</v>
      </c>
      <c r="F187" s="4">
        <v>1645753</v>
      </c>
      <c r="G187" s="4">
        <v>1349517</v>
      </c>
      <c r="H187" s="8">
        <f>IF(C187&gt;0, G187/C187, 0)</f>
        <v>6.0330164344539687E-2</v>
      </c>
      <c r="I187" s="8" cm="1">
        <f t="array" aca="1" ref="I187" ca="1">IF(ROW()-2&gt;7, (G187/INDIRECT("G"&amp;ROW()-7))-1, "")</f>
        <v>2.0188825160964097E-2</v>
      </c>
      <c r="J187" s="8" cm="1">
        <f t="array" aca="1" ref="J187" ca="1">IF(ROW()-2&gt;7, (C187/INDIRECT("C"&amp;ROW()-7))-1, "")</f>
        <v>0</v>
      </c>
      <c r="K187" s="8" cm="1">
        <f t="array" aca="1" ref="K187" ca="1">IF(ROW()-2&gt;7, (H187/INDIRECT("H"&amp;ROW()-7))-1, "")</f>
        <v>2.0188825160964097E-2</v>
      </c>
      <c r="L187" s="8">
        <f>IF(D187&gt;0, D187/C187, 0)</f>
        <v>0.2574999798827477</v>
      </c>
      <c r="M187" s="8">
        <f>IF(D187&gt;0, E187/D187, 0)</f>
        <v>0.41199997013879036</v>
      </c>
      <c r="N187" s="8">
        <f>IF(E187&gt;0, F187/E187, 0)</f>
        <v>0.69349992752133061</v>
      </c>
      <c r="O187" s="8">
        <f>IF(F187&gt;0, G187/F187, 0)</f>
        <v>0.81999972049268632</v>
      </c>
      <c r="P187" s="8" cm="1">
        <f t="array" aca="1" ref="P187" ca="1">IF(ROW()-2&gt;1, (L187/INDIRECT("L"&amp;ROW()-1))-1, "")</f>
        <v>-1.9047554399575506E-2</v>
      </c>
      <c r="Q187" s="8" cm="1">
        <f t="array" aca="1" ref="Q187" ca="1">IF(ROW()-2&gt;1, (M187/INDIRECT("M"&amp;ROW()-1))-1, "")</f>
        <v>4.040420536817968E-2</v>
      </c>
      <c r="R187" s="8" cm="1">
        <f t="array" aca="1" ref="R187" ca="1">IF(ROW()-2&gt;1, (N187/INDIRECT("N"&amp;ROW()-1))-1, "")</f>
        <v>-7.7669830276075436E-2</v>
      </c>
      <c r="S187" s="8" cm="1">
        <f t="array" aca="1" ref="S187" ca="1">IF(ROW()-2&gt;1, (O187/INDIRECT("O"&amp;ROW()-1))-1, "")</f>
        <v>-2.9126992677372399E-2</v>
      </c>
    </row>
    <row r="188" spans="2:19" x14ac:dyDescent="0.35">
      <c r="B188" s="3">
        <v>43651</v>
      </c>
      <c r="C188" s="4">
        <v>20631473</v>
      </c>
      <c r="D188" s="4">
        <v>4899974</v>
      </c>
      <c r="E188" s="4">
        <v>2038389</v>
      </c>
      <c r="F188" s="4">
        <v>1562425</v>
      </c>
      <c r="G188" s="4">
        <v>1255565</v>
      </c>
      <c r="H188" s="8">
        <f>IF(C188&gt;0, G188/C188, 0)</f>
        <v>6.0856779348716403E-2</v>
      </c>
      <c r="I188" s="8" cm="1">
        <f t="array" aca="1" ref="I188" ca="1">IF(ROW()-2&gt;7, (G188/INDIRECT("G"&amp;ROW()-7))-1, "")</f>
        <v>1.7345429029346215E-2</v>
      </c>
      <c r="J188" s="8" cm="1">
        <f t="array" aca="1" ref="J188" ca="1">IF(ROW()-2&gt;7, (C188/INDIRECT("C"&amp;ROW()-7))-1, "")</f>
        <v>-3.061223578845329E-2</v>
      </c>
      <c r="K188" s="8" cm="1">
        <f t="array" aca="1" ref="K188" ca="1">IF(ROW()-2&gt;7, (H188/INDIRECT("H"&amp;ROW()-7))-1, "")</f>
        <v>4.9472116926095211E-2</v>
      </c>
      <c r="L188" s="8">
        <f>IF(D188&gt;0, D188/C188, 0)</f>
        <v>0.23749995940667931</v>
      </c>
      <c r="M188" s="8">
        <f>IF(D188&gt;0, E188/D188, 0)</f>
        <v>0.41599996244878035</v>
      </c>
      <c r="N188" s="8">
        <f>IF(E188&gt;0, F188/E188, 0)</f>
        <v>0.7664999173366811</v>
      </c>
      <c r="O188" s="8">
        <f>IF(F188&gt;0, G188/F188, 0)</f>
        <v>0.80360017280829477</v>
      </c>
      <c r="P188" s="8" cm="1">
        <f t="array" aca="1" ref="P188" ca="1">IF(ROW()-2&gt;1, (L188/INDIRECT("L"&amp;ROW()-1))-1, "")</f>
        <v>-7.7669988499320941E-2</v>
      </c>
      <c r="Q188" s="8" cm="1">
        <f t="array" aca="1" ref="Q188" ca="1">IF(ROW()-2&gt;1, (M188/INDIRECT("M"&amp;ROW()-1))-1, "")</f>
        <v>9.7087199026799631E-3</v>
      </c>
      <c r="R188" s="8" cm="1">
        <f t="array" aca="1" ref="R188" ca="1">IF(ROW()-2&gt;1, (N188/INDIRECT("N"&amp;ROW()-1))-1, "")</f>
        <v>0.10526315421007038</v>
      </c>
      <c r="S188" s="8" cm="1">
        <f t="array" aca="1" ref="S188" ca="1">IF(ROW()-2&gt;1, (O188/INDIRECT("O"&amp;ROW()-1))-1, "")</f>
        <v>-1.9999455212665329E-2</v>
      </c>
    </row>
    <row r="189" spans="2:19" x14ac:dyDescent="0.35">
      <c r="B189" s="3">
        <v>43652</v>
      </c>
      <c r="C189" s="4">
        <v>44889750</v>
      </c>
      <c r="D189" s="4">
        <v>9332579</v>
      </c>
      <c r="E189" s="4">
        <v>3204807</v>
      </c>
      <c r="F189" s="4">
        <v>2179269</v>
      </c>
      <c r="G189" s="4">
        <v>1750824</v>
      </c>
      <c r="H189" s="8">
        <f>IF(C189&gt;0, G189/C189, 0)</f>
        <v>3.9002756754047414E-2</v>
      </c>
      <c r="I189" s="8" cm="1">
        <f t="array" aca="1" ref="I189" ca="1">IF(ROW()-2&gt;7, (G189/INDIRECT("G"&amp;ROW()-7))-1, "")</f>
        <v>1.2231834220112869E-2</v>
      </c>
      <c r="J189" s="8" cm="1">
        <f t="array" aca="1" ref="J189" ca="1">IF(ROW()-2&gt;7, (C189/INDIRECT("C"&amp;ROW()-7))-1, "")</f>
        <v>-3.8461538461538436E-2</v>
      </c>
      <c r="K189" s="8" cm="1">
        <f t="array" aca="1" ref="K189" ca="1">IF(ROW()-2&gt;7, (H189/INDIRECT("H"&amp;ROW()-7))-1, "")</f>
        <v>5.2721107588917349E-2</v>
      </c>
      <c r="L189" s="8">
        <f>IF(D189&gt;0, D189/C189, 0)</f>
        <v>0.20789999944307999</v>
      </c>
      <c r="M189" s="8">
        <f>IF(D189&gt;0, E189/D189, 0)</f>
        <v>0.34339993264455626</v>
      </c>
      <c r="N189" s="8">
        <f>IF(E189&gt;0, F189/E189, 0)</f>
        <v>0.68000007488750491</v>
      </c>
      <c r="O189" s="8">
        <f>IF(F189&gt;0, G189/F189, 0)</f>
        <v>0.80339967209188035</v>
      </c>
      <c r="P189" s="8" cm="1">
        <f t="array" aca="1" ref="P189" ca="1">IF(ROW()-2&gt;1, (L189/INDIRECT("L"&amp;ROW()-1))-1, "")</f>
        <v>-0.12463143167495994</v>
      </c>
      <c r="Q189" s="8" cm="1">
        <f t="array" aca="1" ref="Q189" ca="1">IF(ROW()-2&gt;1, (M189/INDIRECT("M"&amp;ROW()-1))-1, "")</f>
        <v>-0.17451931816739741</v>
      </c>
      <c r="R189" s="8" cm="1">
        <f t="array" aca="1" ref="R189" ca="1">IF(ROW()-2&gt;1, (N189/INDIRECT("N"&amp;ROW()-1))-1, "")</f>
        <v>-0.11285042632454922</v>
      </c>
      <c r="S189" s="8" cm="1">
        <f t="array" aca="1" ref="S189" ca="1">IF(ROW()-2&gt;1, (O189/INDIRECT("O"&amp;ROW()-1))-1, "")</f>
        <v>-2.4950307777282799E-4</v>
      </c>
    </row>
    <row r="190" spans="2:19" x14ac:dyDescent="0.35">
      <c r="B190" s="3">
        <v>43653</v>
      </c>
      <c r="C190" s="4">
        <v>43543058</v>
      </c>
      <c r="D190" s="4">
        <v>9144042</v>
      </c>
      <c r="E190" s="4">
        <v>3140064</v>
      </c>
      <c r="F190" s="4">
        <v>2135243</v>
      </c>
      <c r="G190" s="4">
        <v>1632180</v>
      </c>
      <c r="H190" s="8">
        <f>IF(C190&gt;0, G190/C190, 0)</f>
        <v>3.748427590914722E-2</v>
      </c>
      <c r="I190" s="8" cm="1">
        <f t="array" aca="1" ref="I190" ca="1">IF(ROW()-2&gt;7, (G190/INDIRECT("G"&amp;ROW()-7))-1, "")</f>
        <v>-3.5684027560325182E-2</v>
      </c>
      <c r="J190" s="8" cm="1">
        <f t="array" aca="1" ref="J190" ca="1">IF(ROW()-2&gt;7, (C190/INDIRECT("C"&amp;ROW()-7))-1, "")</f>
        <v>-1.0204070266938592E-2</v>
      </c>
      <c r="K190" s="8" cm="1">
        <f t="array" aca="1" ref="K190" ca="1">IF(ROW()-2&gt;7, (H190/INDIRECT("H"&amp;ROW()-7))-1, "")</f>
        <v>-2.5742636969883437E-2</v>
      </c>
      <c r="L190" s="8">
        <f>IF(D190&gt;0, D190/C190, 0)</f>
        <v>0.2099999958661608</v>
      </c>
      <c r="M190" s="8">
        <f>IF(D190&gt;0, E190/D190, 0)</f>
        <v>0.34339999750657313</v>
      </c>
      <c r="N190" s="8">
        <f>IF(E190&gt;0, F190/E190, 0)</f>
        <v>0.67999983439827982</v>
      </c>
      <c r="O190" s="8">
        <f>IF(F190&gt;0, G190/F190, 0)</f>
        <v>0.76440011745735736</v>
      </c>
      <c r="P190" s="8" cm="1">
        <f t="array" aca="1" ref="P190" ca="1">IF(ROW()-2&gt;1, (L190/INDIRECT("L"&amp;ROW()-1))-1, "")</f>
        <v>1.0100992923069985E-2</v>
      </c>
      <c r="Q190" s="8" cm="1">
        <f t="array" aca="1" ref="Q190" ca="1">IF(ROW()-2&gt;1, (M190/INDIRECT("M"&amp;ROW()-1))-1, "")</f>
        <v>1.8888185659982071E-7</v>
      </c>
      <c r="R190" s="8" cm="1">
        <f t="array" aca="1" ref="R190" ca="1">IF(ROW()-2&gt;1, (N190/INDIRECT("N"&amp;ROW()-1))-1, "")</f>
        <v>-3.5366058614982876E-7</v>
      </c>
      <c r="S190" s="8" cm="1">
        <f t="array" aca="1" ref="S190" ca="1">IF(ROW()-2&gt;1, (O190/INDIRECT("O"&amp;ROW()-1))-1, "")</f>
        <v>-4.854315478244664E-2</v>
      </c>
    </row>
    <row r="191" spans="2:19" x14ac:dyDescent="0.35">
      <c r="B191" s="3">
        <v>43654</v>
      </c>
      <c r="C191" s="4">
        <v>21282993</v>
      </c>
      <c r="D191" s="4">
        <v>5267540</v>
      </c>
      <c r="E191" s="4">
        <v>2022735</v>
      </c>
      <c r="F191" s="4">
        <v>1535660</v>
      </c>
      <c r="G191" s="4">
        <v>1284426</v>
      </c>
      <c r="H191" s="8">
        <f>IF(C191&gt;0, G191/C191, 0)</f>
        <v>6.0349876542270156E-2</v>
      </c>
      <c r="I191" s="8" cm="1">
        <f t="array" aca="1" ref="I191" ca="1">IF(ROW()-2&gt;7, (G191/INDIRECT("G"&amp;ROW()-7))-1, "")</f>
        <v>-1.0229629167273546E-2</v>
      </c>
      <c r="J191" s="8" cm="1">
        <f t="array" aca="1" ref="J191" ca="1">IF(ROW()-2&gt;7, (C191/INDIRECT("C"&amp;ROW()-7))-1, "")</f>
        <v>-1.0101037819845726E-2</v>
      </c>
      <c r="K191" s="8" cm="1">
        <f t="array" aca="1" ref="K191" ca="1">IF(ROW()-2&gt;7, (H191/INDIRECT("H"&amp;ROW()-7))-1, "")</f>
        <v>-1.2990350767172476E-4</v>
      </c>
      <c r="L191" s="8">
        <f>IF(D191&gt;0, D191/C191, 0)</f>
        <v>0.2474999639383427</v>
      </c>
      <c r="M191" s="8">
        <f>IF(D191&gt;0, E191/D191, 0)</f>
        <v>0.38399993165690244</v>
      </c>
      <c r="N191" s="8">
        <f>IF(E191&gt;0, F191/E191, 0)</f>
        <v>0.75919979631538481</v>
      </c>
      <c r="O191" s="8">
        <f>IF(F191&gt;0, G191/F191, 0)</f>
        <v>0.83639998437154062</v>
      </c>
      <c r="P191" s="8" cm="1">
        <f t="array" aca="1" ref="P191" ca="1">IF(ROW()-2&gt;1, (L191/INDIRECT("L"&amp;ROW()-1))-1, "")</f>
        <v>0.17857128004936595</v>
      </c>
      <c r="Q191" s="8" cm="1">
        <f t="array" aca="1" ref="Q191" ca="1">IF(ROW()-2&gt;1, (M191/INDIRECT("M"&amp;ROW()-1))-1, "")</f>
        <v>0.11822927910636394</v>
      </c>
      <c r="R191" s="8" cm="1">
        <f t="array" aca="1" ref="R191" ca="1">IF(ROW()-2&gt;1, (N191/INDIRECT("N"&amp;ROW()-1))-1, "")</f>
        <v>0.11647056059533845</v>
      </c>
      <c r="S191" s="8" cm="1">
        <f t="array" aca="1" ref="S191" ca="1">IF(ROW()-2&gt;1, (O191/INDIRECT("O"&amp;ROW()-1))-1, "")</f>
        <v>9.4191334184612785E-2</v>
      </c>
    </row>
    <row r="192" spans="2:19" x14ac:dyDescent="0.35">
      <c r="B192" s="3">
        <v>43655</v>
      </c>
      <c r="C192" s="4">
        <v>22803207</v>
      </c>
      <c r="D192" s="4">
        <v>5643793</v>
      </c>
      <c r="E192" s="4">
        <v>2234942</v>
      </c>
      <c r="F192" s="4">
        <v>1647823</v>
      </c>
      <c r="G192" s="4">
        <v>1351214</v>
      </c>
      <c r="H192" s="8">
        <f>IF(C192&gt;0, G192/C192, 0)</f>
        <v>5.9255437184778437E-2</v>
      </c>
      <c r="I192" s="8" cm="1">
        <f t="array" aca="1" ref="I192" ca="1">IF(ROW()-2&gt;7, (G192/INDIRECT("G"&amp;ROW()-7))-1, "")</f>
        <v>3.0456570198363897E-2</v>
      </c>
      <c r="J192" s="8" cm="1">
        <f t="array" aca="1" ref="J192" ca="1">IF(ROW()-2&gt;7, (C192/INDIRECT("C"&amp;ROW()-7))-1, "")</f>
        <v>3.9603979354362773E-2</v>
      </c>
      <c r="K192" s="8" cm="1">
        <f t="array" aca="1" ref="K192" ca="1">IF(ROW()-2&gt;7, (H192/INDIRECT("H"&amp;ROW()-7))-1, "")</f>
        <v>-8.7989362657882042E-3</v>
      </c>
      <c r="L192" s="8">
        <f>IF(D192&gt;0, D192/C192, 0)</f>
        <v>0.24749996787732534</v>
      </c>
      <c r="M192" s="8">
        <f>IF(D192&gt;0, E192/D192, 0)</f>
        <v>0.39599999503879751</v>
      </c>
      <c r="N192" s="8">
        <f>IF(E192&gt;0, F192/E192, 0)</f>
        <v>0.73730011785540739</v>
      </c>
      <c r="O192" s="8">
        <f>IF(F192&gt;0, G192/F192, 0)</f>
        <v>0.81999947809928619</v>
      </c>
      <c r="P192" s="8" cm="1">
        <f t="array" aca="1" ref="P192" ca="1">IF(ROW()-2&gt;1, (L192/INDIRECT("L"&amp;ROW()-1))-1, "")</f>
        <v>1.5915083695361432E-8</v>
      </c>
      <c r="Q192" s="8" cm="1">
        <f t="array" aca="1" ref="Q192" ca="1">IF(ROW()-2&gt;1, (M192/INDIRECT("M"&amp;ROW()-1))-1, "")</f>
        <v>3.1250170618824402E-2</v>
      </c>
      <c r="R192" s="8" cm="1">
        <f t="array" aca="1" ref="R192" ca="1">IF(ROW()-2&gt;1, (N192/INDIRECT("N"&amp;ROW()-1))-1, "")</f>
        <v>-2.8845738060340409E-2</v>
      </c>
      <c r="S192" s="8" cm="1">
        <f t="array" aca="1" ref="S192" ca="1">IF(ROW()-2&gt;1, (O192/INDIRECT("O"&amp;ROW()-1))-1, "")</f>
        <v>-1.960844880285062E-2</v>
      </c>
    </row>
    <row r="193" spans="2:19" x14ac:dyDescent="0.35">
      <c r="B193" s="3">
        <v>43656</v>
      </c>
      <c r="C193" s="4">
        <v>22803207</v>
      </c>
      <c r="D193" s="4">
        <v>5814817</v>
      </c>
      <c r="E193" s="4">
        <v>2395704</v>
      </c>
      <c r="F193" s="4">
        <v>1818819</v>
      </c>
      <c r="G193" s="4">
        <v>1506346</v>
      </c>
      <c r="H193" s="8">
        <f>IF(C193&gt;0, G193/C193, 0)</f>
        <v>6.6058515365843062E-2</v>
      </c>
      <c r="I193" s="8" cm="1">
        <f t="array" aca="1" ref="I193" ca="1">IF(ROW()-2&gt;7, (G193/INDIRECT("G"&amp;ROW()-7))-1, "")</f>
        <v>3.0106953334427589E-2</v>
      </c>
      <c r="J193" s="8" cm="1">
        <f t="array" aca="1" ref="J193" ca="1">IF(ROW()-2&gt;7, (C193/INDIRECT("C"&amp;ROW()-7))-1, "")</f>
        <v>2.9411755411675955E-2</v>
      </c>
      <c r="K193" s="8" cm="1">
        <f t="array" aca="1" ref="K193" ca="1">IF(ROW()-2&gt;7, (H193/INDIRECT("H"&amp;ROW()-7))-1, "")</f>
        <v>6.7533513105622056E-4</v>
      </c>
      <c r="L193" s="8">
        <f>IF(D193&gt;0, D193/C193, 0)</f>
        <v>0.25499996557501758</v>
      </c>
      <c r="M193" s="8">
        <f>IF(D193&gt;0, E193/D193, 0)</f>
        <v>0.41199989612742755</v>
      </c>
      <c r="N193" s="8">
        <f>IF(E193&gt;0, F193/E193, 0)</f>
        <v>0.75920021839091978</v>
      </c>
      <c r="O193" s="8">
        <f>IF(F193&gt;0, G193/F193, 0)</f>
        <v>0.82820005728992274</v>
      </c>
      <c r="P193" s="8" cm="1">
        <f t="array" aca="1" ref="P193" ca="1">IF(ROW()-2&gt;1, (L193/INDIRECT("L"&amp;ROW()-1))-1, "")</f>
        <v>3.0303024933763467E-2</v>
      </c>
      <c r="Q193" s="8" cm="1">
        <f t="array" aca="1" ref="Q193" ca="1">IF(ROW()-2&gt;1, (M193/INDIRECT("M"&amp;ROW()-1))-1, "")</f>
        <v>4.040379113404402E-2</v>
      </c>
      <c r="R193" s="8" cm="1">
        <f t="array" aca="1" ref="R193" ca="1">IF(ROW()-2&gt;1, (N193/INDIRECT("N"&amp;ROW()-1))-1, "")</f>
        <v>2.9703101905386164E-2</v>
      </c>
      <c r="S193" s="8" cm="1">
        <f t="array" aca="1" ref="S193" ca="1">IF(ROW()-2&gt;1, (O193/INDIRECT("O"&amp;ROW()-1))-1, "")</f>
        <v>1.0000712695141134E-2</v>
      </c>
    </row>
    <row r="194" spans="2:19" x14ac:dyDescent="0.35">
      <c r="B194" s="3">
        <v>43657</v>
      </c>
      <c r="C194" s="4">
        <v>21500167</v>
      </c>
      <c r="D194" s="4">
        <v>5321291</v>
      </c>
      <c r="E194" s="4">
        <v>2149801</v>
      </c>
      <c r="F194" s="4">
        <v>1600742</v>
      </c>
      <c r="G194" s="4">
        <v>1338860</v>
      </c>
      <c r="H194" s="8">
        <f>IF(C194&gt;0, G194/C194, 0)</f>
        <v>6.2272074444817103E-2</v>
      </c>
      <c r="I194" s="8" cm="1">
        <f t="array" aca="1" ref="I194" ca="1">IF(ROW()-2&gt;7, (G194/INDIRECT("G"&amp;ROW()-7))-1, "")</f>
        <v>-7.8968994091960232E-3</v>
      </c>
      <c r="J194" s="8" cm="1">
        <f t="array" aca="1" ref="J194" ca="1">IF(ROW()-2&gt;7, (C194/INDIRECT("C"&amp;ROW()-7))-1, "")</f>
        <v>-3.8834924980530983E-2</v>
      </c>
      <c r="K194" s="8" cm="1">
        <f t="array" aca="1" ref="K194" ca="1">IF(ROW()-2&gt;7, (H194/INDIRECT("H"&amp;ROW()-7))-1, "")</f>
        <v>3.2188045919904207E-2</v>
      </c>
      <c r="L194" s="8">
        <f>IF(D194&gt;0, D194/C194, 0)</f>
        <v>0.24749998453500385</v>
      </c>
      <c r="M194" s="8">
        <f>IF(D194&gt;0, E194/D194, 0)</f>
        <v>0.40399989401068276</v>
      </c>
      <c r="N194" s="8">
        <f>IF(E194&gt;0, F194/E194, 0)</f>
        <v>0.74460008158894708</v>
      </c>
      <c r="O194" s="8">
        <f>IF(F194&gt;0, G194/F194, 0)</f>
        <v>0.83639961967637511</v>
      </c>
      <c r="P194" s="8" cm="1">
        <f t="array" aca="1" ref="P194" ca="1">IF(ROW()-2&gt;1, (L194/INDIRECT("L"&amp;ROW()-1))-1, "")</f>
        <v>-2.9411694323571713E-2</v>
      </c>
      <c r="Q194" s="8" cm="1">
        <f t="array" aca="1" ref="Q194" ca="1">IF(ROW()-2&gt;1, (M194/INDIRECT("M"&amp;ROW()-1))-1, "")</f>
        <v>-1.9417485761381026E-2</v>
      </c>
      <c r="R194" s="8" cm="1">
        <f t="array" aca="1" ref="R194" ca="1">IF(ROW()-2&gt;1, (N194/INDIRECT("N"&amp;ROW()-1))-1, "")</f>
        <v>-1.9230943891081598E-2</v>
      </c>
      <c r="S194" s="8" cm="1">
        <f t="array" aca="1" ref="S194" ca="1">IF(ROW()-2&gt;1, (O194/INDIRECT("O"&amp;ROW()-1))-1, "")</f>
        <v>9.9004610230086776E-3</v>
      </c>
    </row>
    <row r="195" spans="2:19" x14ac:dyDescent="0.35">
      <c r="B195" s="3">
        <v>43658</v>
      </c>
      <c r="C195" s="4">
        <v>20848646</v>
      </c>
      <c r="D195" s="4">
        <v>5160040</v>
      </c>
      <c r="E195" s="4">
        <v>2125936</v>
      </c>
      <c r="F195" s="4">
        <v>1598491</v>
      </c>
      <c r="G195" s="4">
        <v>1376301</v>
      </c>
      <c r="H195" s="8">
        <f>IF(C195&gt;0, G195/C195, 0)</f>
        <v>6.6013927235370584E-2</v>
      </c>
      <c r="I195" s="8" cm="1">
        <f t="array" aca="1" ref="I195" ca="1">IF(ROW()-2&gt;7, (G195/INDIRECT("G"&amp;ROW()-7))-1, "")</f>
        <v>9.6160692596560127E-2</v>
      </c>
      <c r="J195" s="8" cm="1">
        <f t="array" aca="1" ref="J195" ca="1">IF(ROW()-2&gt;7, (C195/INDIRECT("C"&amp;ROW()-7))-1, "")</f>
        <v>1.0526296401619062E-2</v>
      </c>
      <c r="K195" s="8" cm="1">
        <f t="array" aca="1" ref="K195" ca="1">IF(ROW()-2&gt;7, (H195/INDIRECT("H"&amp;ROW()-7))-1, "")</f>
        <v>8.4742372860435511E-2</v>
      </c>
      <c r="L195" s="8">
        <f>IF(D195&gt;0, D195/C195, 0)</f>
        <v>0.24750000551594573</v>
      </c>
      <c r="M195" s="8">
        <f>IF(D195&gt;0, E195/D195, 0)</f>
        <v>0.4119999069774653</v>
      </c>
      <c r="N195" s="8">
        <f>IF(E195&gt;0, F195/E195, 0)</f>
        <v>0.75189986904591677</v>
      </c>
      <c r="O195" s="8">
        <f>IF(F195&gt;0, G195/F195, 0)</f>
        <v>0.86100015577191236</v>
      </c>
      <c r="P195" s="8" cm="1">
        <f t="array" aca="1" ref="P195" ca="1">IF(ROW()-2&gt;1, (L195/INDIRECT("L"&amp;ROW()-1))-1, "")</f>
        <v>8.477148760732689E-8</v>
      </c>
      <c r="Q195" s="8" cm="1">
        <f t="array" aca="1" ref="Q195" ca="1">IF(ROW()-2&gt;1, (M195/INDIRECT("M"&amp;ROW()-1))-1, "")</f>
        <v>1.98020174890714E-2</v>
      </c>
      <c r="R195" s="8" cm="1">
        <f t="array" aca="1" ref="R195" ca="1">IF(ROW()-2&gt;1, (N195/INDIRECT("N"&amp;ROW()-1))-1, "")</f>
        <v>9.8036350484842494E-3</v>
      </c>
      <c r="S195" s="8" cm="1">
        <f t="array" aca="1" ref="S195" ca="1">IF(ROW()-2&gt;1, (O195/INDIRECT("O"&amp;ROW()-1))-1, "")</f>
        <v>2.9412419036077386E-2</v>
      </c>
    </row>
    <row r="196" spans="2:19" x14ac:dyDescent="0.35">
      <c r="B196" s="3">
        <v>43659</v>
      </c>
      <c r="C196" s="4">
        <v>44889750</v>
      </c>
      <c r="D196" s="4">
        <v>9898190</v>
      </c>
      <c r="E196" s="4">
        <v>3466346</v>
      </c>
      <c r="F196" s="4">
        <v>2404257</v>
      </c>
      <c r="G196" s="4">
        <v>1912827</v>
      </c>
      <c r="H196" s="8">
        <f>IF(C196&gt;0, G196/C196, 0)</f>
        <v>4.2611665246520644E-2</v>
      </c>
      <c r="I196" s="8" cm="1">
        <f t="array" aca="1" ref="I196" ca="1">IF(ROW()-2&gt;7, (G196/INDIRECT("G"&amp;ROW()-7))-1, "")</f>
        <v>9.2529574645995316E-2</v>
      </c>
      <c r="J196" s="8" cm="1">
        <f t="array" aca="1" ref="J196" ca="1">IF(ROW()-2&gt;7, (C196/INDIRECT("C"&amp;ROW()-7))-1, "")</f>
        <v>0</v>
      </c>
      <c r="K196" s="8" cm="1">
        <f t="array" aca="1" ref="K196" ca="1">IF(ROW()-2&gt;7, (H196/INDIRECT("H"&amp;ROW()-7))-1, "")</f>
        <v>9.2529574645995316E-2</v>
      </c>
      <c r="L196" s="8">
        <f>IF(D196&gt;0, D196/C196, 0)</f>
        <v>0.22050000278460005</v>
      </c>
      <c r="M196" s="8">
        <f>IF(D196&gt;0, E196/D196, 0)</f>
        <v>0.35019998605805708</v>
      </c>
      <c r="N196" s="8">
        <f>IF(E196&gt;0, F196/E196, 0)</f>
        <v>0.6935998310612963</v>
      </c>
      <c r="O196" s="8">
        <f>IF(F196&gt;0, G196/F196, 0)</f>
        <v>0.79560005440350179</v>
      </c>
      <c r="P196" s="8" cm="1">
        <f t="array" aca="1" ref="P196" ca="1">IF(ROW()-2&gt;1, (L196/INDIRECT("L"&amp;ROW()-1))-1, "")</f>
        <v>-0.10909091769537815</v>
      </c>
      <c r="Q196" s="8" cm="1">
        <f t="array" aca="1" ref="Q196" ca="1">IF(ROW()-2&gt;1, (M196/INDIRECT("M"&amp;ROW()-1))-1, "")</f>
        <v>-0.14999984192420812</v>
      </c>
      <c r="R196" s="8" cm="1">
        <f t="array" aca="1" ref="R196" ca="1">IF(ROW()-2&gt;1, (N196/INDIRECT("N"&amp;ROW()-1))-1, "")</f>
        <v>-7.7536970525872273E-2</v>
      </c>
      <c r="S196" s="8" cm="1">
        <f t="array" aca="1" ref="S196" ca="1">IF(ROW()-2&gt;1, (O196/INDIRECT("O"&amp;ROW()-1))-1, "")</f>
        <v>-7.5958292144299833E-2</v>
      </c>
    </row>
    <row r="197" spans="2:19" x14ac:dyDescent="0.35">
      <c r="B197" s="3">
        <v>43660</v>
      </c>
      <c r="C197" s="4">
        <v>43094160</v>
      </c>
      <c r="D197" s="4">
        <v>9230769</v>
      </c>
      <c r="E197" s="4">
        <v>3232615</v>
      </c>
      <c r="F197" s="4">
        <v>2264123</v>
      </c>
      <c r="G197" s="4">
        <v>1801336</v>
      </c>
      <c r="H197" s="8">
        <f>IF(C197&gt;0, G197/C197, 0)</f>
        <v>4.1800002598960044E-2</v>
      </c>
      <c r="I197" s="8" cm="1">
        <f t="array" aca="1" ref="I197" ca="1">IF(ROW()-2&gt;7, (G197/INDIRECT("G"&amp;ROW()-7))-1, "")</f>
        <v>0.10363807913342882</v>
      </c>
      <c r="J197" s="8" cm="1">
        <f t="array" aca="1" ref="J197" ca="1">IF(ROW()-2&gt;7, (C197/INDIRECT("C"&amp;ROW()-7))-1, "")</f>
        <v>-1.0309289715021874E-2</v>
      </c>
      <c r="K197" s="8" cm="1">
        <f t="array" aca="1" ref="K197" ca="1">IF(ROW()-2&gt;7, (H197/INDIRECT("H"&amp;ROW()-7))-1, "")</f>
        <v>0.11513432192936301</v>
      </c>
      <c r="L197" s="8">
        <f>IF(D197&gt;0, D197/C197, 0)</f>
        <v>0.21419999832923997</v>
      </c>
      <c r="M197" s="8">
        <f>IF(D197&gt;0, E197/D197, 0)</f>
        <v>0.35019996708833251</v>
      </c>
      <c r="N197" s="8">
        <f>IF(E197&gt;0, F197/E197, 0)</f>
        <v>0.70039983109649617</v>
      </c>
      <c r="O197" s="8">
        <f>IF(F197&gt;0, G197/F197, 0)</f>
        <v>0.79559988569525597</v>
      </c>
      <c r="P197" s="8" cm="1">
        <f t="array" aca="1" ref="P197" ca="1">IF(ROW()-2&gt;1, (L197/INDIRECT("L"&amp;ROW()-1))-1, "")</f>
        <v>-2.8571448416326639E-2</v>
      </c>
      <c r="Q197" s="8" cm="1">
        <f t="array" aca="1" ref="Q197" ca="1">IF(ROW()-2&gt;1, (M197/INDIRECT("M"&amp;ROW()-1))-1, "")</f>
        <v>-5.4168261875986445E-8</v>
      </c>
      <c r="R197" s="8" cm="1">
        <f t="array" aca="1" ref="R197" ca="1">IF(ROW()-2&gt;1, (N197/INDIRECT("N"&amp;ROW()-1))-1, "")</f>
        <v>9.803924007298237E-3</v>
      </c>
      <c r="S197" s="8" cm="1">
        <f t="array" aca="1" ref="S197" ca="1">IF(ROW()-2&gt;1, (O197/INDIRECT("O"&amp;ROW()-1))-1, "")</f>
        <v>-2.1205157652026685E-7</v>
      </c>
    </row>
    <row r="198" spans="2:19" x14ac:dyDescent="0.35">
      <c r="B198" s="3">
        <v>43661</v>
      </c>
      <c r="C198" s="4">
        <v>21500167</v>
      </c>
      <c r="D198" s="4">
        <v>5590043</v>
      </c>
      <c r="E198" s="4">
        <v>2236017</v>
      </c>
      <c r="F198" s="4">
        <v>1599646</v>
      </c>
      <c r="G198" s="4">
        <v>1298593</v>
      </c>
      <c r="H198" s="8">
        <f>IF(C198&gt;0, G198/C198, 0)</f>
        <v>6.0399205271289287E-2</v>
      </c>
      <c r="I198" s="8" cm="1">
        <f t="array" aca="1" ref="I198" ca="1">IF(ROW()-2&gt;7, (G198/INDIRECT("G"&amp;ROW()-7))-1, "")</f>
        <v>1.1029829667104307E-2</v>
      </c>
      <c r="J198" s="8" cm="1">
        <f t="array" aca="1" ref="J198" ca="1">IF(ROW()-2&gt;7, (C198/INDIRECT("C"&amp;ROW()-7))-1, "")</f>
        <v>1.0204109920066262E-2</v>
      </c>
      <c r="K198" s="8" cm="1">
        <f t="array" aca="1" ref="K198" ca="1">IF(ROW()-2&gt;7, (H198/INDIRECT("H"&amp;ROW()-7))-1, "")</f>
        <v>8.1737912064450136E-4</v>
      </c>
      <c r="L198" s="8">
        <f>IF(D198&gt;0, D198/C198, 0)</f>
        <v>0.25999998046526801</v>
      </c>
      <c r="M198" s="8">
        <f>IF(D198&gt;0, E198/D198, 0)</f>
        <v>0.39999996422209988</v>
      </c>
      <c r="N198" s="8">
        <f>IF(E198&gt;0, F198/E198, 0)</f>
        <v>0.71539974874967405</v>
      </c>
      <c r="O198" s="8">
        <f>IF(F198&gt;0, G198/F198, 0)</f>
        <v>0.8118002358021712</v>
      </c>
      <c r="P198" s="8" cm="1">
        <f t="array" aca="1" ref="P198" ca="1">IF(ROW()-2&gt;1, (L198/INDIRECT("L"&amp;ROW()-1))-1, "")</f>
        <v>0.21381877914690905</v>
      </c>
      <c r="Q198" s="8" cm="1">
        <f t="array" aca="1" ref="Q198" ca="1">IF(ROW()-2&gt;1, (M198/INDIRECT("M"&amp;ROW()-1))-1, "")</f>
        <v>0.14220445977713658</v>
      </c>
      <c r="R198" s="8" cm="1">
        <f t="array" aca="1" ref="R198" ca="1">IF(ROW()-2&gt;1, (N198/INDIRECT("N"&amp;ROW()-1))-1, "")</f>
        <v>2.1416221117151135E-2</v>
      </c>
      <c r="S198" s="8" cm="1">
        <f t="array" aca="1" ref="S198" ca="1">IF(ROW()-2&gt;1, (O198/INDIRECT("O"&amp;ROW()-1))-1, "")</f>
        <v>2.0362433929660639E-2</v>
      </c>
    </row>
    <row r="199" spans="2:19" x14ac:dyDescent="0.35">
      <c r="B199" s="3">
        <v>43662</v>
      </c>
      <c r="C199" s="4">
        <v>20631473</v>
      </c>
      <c r="D199" s="4">
        <v>2063147</v>
      </c>
      <c r="E199" s="4">
        <v>817006</v>
      </c>
      <c r="F199" s="4">
        <v>596414</v>
      </c>
      <c r="G199" s="4">
        <v>498841</v>
      </c>
      <c r="H199" s="8">
        <f>IF(C199&gt;0, G199/C199, 0)</f>
        <v>2.4178642019404045E-2</v>
      </c>
      <c r="I199" s="8" cm="1">
        <f t="array" aca="1" ref="I199" ca="1">IF(ROW()-2&gt;7, (G199/INDIRECT("G"&amp;ROW()-7))-1, "")</f>
        <v>-0.63082013655867986</v>
      </c>
      <c r="J199" s="8" cm="1">
        <f t="array" aca="1" ref="J199" ca="1">IF(ROW()-2&gt;7, (C199/INDIRECT("C"&amp;ROW()-7))-1, "")</f>
        <v>-9.5238095238095233E-2</v>
      </c>
      <c r="K199" s="8" cm="1">
        <f t="array" aca="1" ref="K199" ca="1">IF(ROW()-2&gt;7, (H199/INDIRECT("H"&amp;ROW()-7))-1, "")</f>
        <v>-0.59195909830169868</v>
      </c>
      <c r="L199" s="8">
        <f>IF(D199&gt;0, D199/C199, 0)</f>
        <v>9.9999985459109E-2</v>
      </c>
      <c r="M199" s="8">
        <f>IF(D199&gt;0, E199/D199, 0)</f>
        <v>0.39599989724435536</v>
      </c>
      <c r="N199" s="8">
        <f>IF(E199&gt;0, F199/E199, 0)</f>
        <v>0.72999953488713665</v>
      </c>
      <c r="O199" s="8">
        <f>IF(F199&gt;0, G199/F199, 0)</f>
        <v>0.83640055397760615</v>
      </c>
      <c r="P199" s="8" cm="1">
        <f t="array" aca="1" ref="P199" ca="1">IF(ROW()-2&gt;1, (L199/INDIRECT("L"&amp;ROW()-1))-1, "")</f>
        <v>-0.6153846424135887</v>
      </c>
      <c r="Q199" s="8" cm="1">
        <f t="array" aca="1" ref="Q199" ca="1">IF(ROW()-2&gt;1, (M199/INDIRECT("M"&amp;ROW()-1))-1, "")</f>
        <v>-1.0000168338823889E-2</v>
      </c>
      <c r="R199" s="8" cm="1">
        <f t="array" aca="1" ref="R199" ca="1">IF(ROW()-2&gt;1, (N199/INDIRECT("N"&amp;ROW()-1))-1, "")</f>
        <v>2.040787149139911E-2</v>
      </c>
      <c r="S199" s="8" cm="1">
        <f t="array" aca="1" ref="S199" ca="1">IF(ROW()-2&gt;1, (O199/INDIRECT("O"&amp;ROW()-1))-1, "")</f>
        <v>3.0303413439054294E-2</v>
      </c>
    </row>
    <row r="200" spans="2:19" x14ac:dyDescent="0.35">
      <c r="B200" s="3">
        <v>43663</v>
      </c>
      <c r="C200" s="4">
        <v>21500167</v>
      </c>
      <c r="D200" s="4">
        <v>5267540</v>
      </c>
      <c r="E200" s="4">
        <v>2064876</v>
      </c>
      <c r="F200" s="4">
        <v>1552580</v>
      </c>
      <c r="G200" s="4">
        <v>1285847</v>
      </c>
      <c r="H200" s="8">
        <f>IF(C200&gt;0, G200/C200, 0)</f>
        <v>5.9806372666779753E-2</v>
      </c>
      <c r="I200" s="8" cm="1">
        <f t="array" aca="1" ref="I200" ca="1">IF(ROW()-2&gt;7, (G200/INDIRECT("G"&amp;ROW()-7))-1, "")</f>
        <v>-0.14638004814298977</v>
      </c>
      <c r="J200" s="8" cm="1">
        <f t="array" aca="1" ref="J200" ca="1">IF(ROW()-2&gt;7, (C200/INDIRECT("C"&amp;ROW()-7))-1, "")</f>
        <v>-5.7142839601464823E-2</v>
      </c>
      <c r="K200" s="8" cm="1">
        <f t="array" aca="1" ref="K200" ca="1">IF(ROW()-2&gt;7, (H200/INDIRECT("H"&amp;ROW()-7))-1, "")</f>
        <v>-9.4645522449875008E-2</v>
      </c>
      <c r="L200" s="8">
        <f>IF(D200&gt;0, D200/C200, 0)</f>
        <v>0.24499995744219102</v>
      </c>
      <c r="M200" s="8">
        <f>IF(D200&gt;0, E200/D200, 0)</f>
        <v>0.39200006074942001</v>
      </c>
      <c r="N200" s="8">
        <f>IF(E200&gt;0, F200/E200, 0)</f>
        <v>0.75189987195357011</v>
      </c>
      <c r="O200" s="8">
        <f>IF(F200&gt;0, G200/F200, 0)</f>
        <v>0.82820015715776318</v>
      </c>
      <c r="P200" s="8" cm="1">
        <f t="array" aca="1" ref="P200" ca="1">IF(ROW()-2&gt;1, (L200/INDIRECT("L"&amp;ROW()-1))-1, "")</f>
        <v>1.4499999306737297</v>
      </c>
      <c r="Q200" s="8" cm="1">
        <f t="array" aca="1" ref="Q200" ca="1">IF(ROW()-2&gt;1, (M200/INDIRECT("M"&amp;ROW()-1))-1, "")</f>
        <v>-1.0100599830376256E-2</v>
      </c>
      <c r="R200" s="8" cm="1">
        <f t="array" aca="1" ref="R200" ca="1">IF(ROW()-2&gt;1, (N200/INDIRECT("N"&amp;ROW()-1))-1, "")</f>
        <v>3.0000480849373901E-2</v>
      </c>
      <c r="S200" s="8" cm="1">
        <f t="array" aca="1" ref="S200" ca="1">IF(ROW()-2&gt;1, (O200/INDIRECT("O"&amp;ROW()-1))-1, "")</f>
        <v>-9.804389512710121E-3</v>
      </c>
    </row>
    <row r="201" spans="2:19" x14ac:dyDescent="0.35">
      <c r="B201" s="3">
        <v>43664</v>
      </c>
      <c r="C201" s="4">
        <v>22151687</v>
      </c>
      <c r="D201" s="4">
        <v>5759438</v>
      </c>
      <c r="E201" s="4">
        <v>2211624</v>
      </c>
      <c r="F201" s="4">
        <v>1695210</v>
      </c>
      <c r="G201" s="4">
        <v>1445675</v>
      </c>
      <c r="H201" s="8">
        <f>IF(C201&gt;0, G201/C201, 0)</f>
        <v>6.5262523797848901E-2</v>
      </c>
      <c r="I201" s="8" cm="1">
        <f t="array" aca="1" ref="I201" ca="1">IF(ROW()-2&gt;7, (G201/INDIRECT("G"&amp;ROW()-7))-1, "")</f>
        <v>7.9780559580538757E-2</v>
      </c>
      <c r="J201" s="8" cm="1">
        <f t="array" aca="1" ref="J201" ca="1">IF(ROW()-2&gt;7, (C201/INDIRECT("C"&amp;ROW()-7))-1, "")</f>
        <v>3.0303020437004058E-2</v>
      </c>
      <c r="K201" s="8" cm="1">
        <f t="array" aca="1" ref="K201" ca="1">IF(ROW()-2&gt;7, (H201/INDIRECT("H"&amp;ROW()-7))-1, "")</f>
        <v>4.8022317863873454E-2</v>
      </c>
      <c r="L201" s="8">
        <f>IF(D201&gt;0, D201/C201, 0)</f>
        <v>0.25999997201116104</v>
      </c>
      <c r="M201" s="8">
        <f>IF(D201&gt;0, E201/D201, 0)</f>
        <v>0.38399996666341402</v>
      </c>
      <c r="N201" s="8">
        <f>IF(E201&gt;0, F201/E201, 0)</f>
        <v>0.76650009223991056</v>
      </c>
      <c r="O201" s="8">
        <f>IF(F201&gt;0, G201/F201, 0)</f>
        <v>0.85279994808902737</v>
      </c>
      <c r="P201" s="8" cm="1">
        <f t="array" aca="1" ref="P201" ca="1">IF(ROW()-2&gt;1, (L201/INDIRECT("L"&amp;ROW()-1))-1, "")</f>
        <v>6.1224559896135178E-2</v>
      </c>
      <c r="Q201" s="8" cm="1">
        <f t="array" aca="1" ref="Q201" ca="1">IF(ROW()-2&gt;1, (M201/INDIRECT("M"&amp;ROW()-1))-1, "")</f>
        <v>-2.0408400117876369E-2</v>
      </c>
      <c r="R201" s="8" cm="1">
        <f t="array" aca="1" ref="R201" ca="1">IF(ROW()-2&gt;1, (N201/INDIRECT("N"&amp;ROW()-1))-1, "")</f>
        <v>1.9417772007869205E-2</v>
      </c>
      <c r="S201" s="8" cm="1">
        <f t="array" aca="1" ref="S201" ca="1">IF(ROW()-2&gt;1, (O201/INDIRECT("O"&amp;ROW()-1))-1, "")</f>
        <v>2.9702712223197647E-2</v>
      </c>
    </row>
    <row r="202" spans="2:19" x14ac:dyDescent="0.35">
      <c r="B202" s="3">
        <v>43665</v>
      </c>
      <c r="C202" s="4">
        <v>22586034</v>
      </c>
      <c r="D202" s="4">
        <v>5872368</v>
      </c>
      <c r="E202" s="4">
        <v>2442905</v>
      </c>
      <c r="F202" s="4">
        <v>1783320</v>
      </c>
      <c r="G202" s="4">
        <v>1491569</v>
      </c>
      <c r="H202" s="8">
        <f>IF(C202&gt;0, G202/C202, 0)</f>
        <v>6.6039438353807489E-2</v>
      </c>
      <c r="I202" s="8" cm="1">
        <f t="array" aca="1" ref="I202" ca="1">IF(ROW()-2&gt;7, (G202/INDIRECT("G"&amp;ROW()-7))-1, "")</f>
        <v>8.3752028081066632E-2</v>
      </c>
      <c r="J202" s="8" cm="1">
        <f t="array" aca="1" ref="J202" ca="1">IF(ROW()-2&gt;7, (C202/INDIRECT("C"&amp;ROW()-7))-1, "")</f>
        <v>8.3333373303954517E-2</v>
      </c>
      <c r="K202" s="8" cm="1">
        <f t="array" aca="1" ref="K202" ca="1">IF(ROW()-2&gt;7, (H202/INDIRECT("H"&amp;ROW()-7))-1, "")</f>
        <v>3.8645054922947786E-4</v>
      </c>
      <c r="L202" s="8">
        <f>IF(D202&gt;0, D202/C202, 0)</f>
        <v>0.25999996280887561</v>
      </c>
      <c r="M202" s="8">
        <f>IF(D202&gt;0, E202/D202, 0)</f>
        <v>0.41599998501456315</v>
      </c>
      <c r="N202" s="8">
        <f>IF(E202&gt;0, F202/E202, 0)</f>
        <v>0.72999973392334128</v>
      </c>
      <c r="O202" s="8">
        <f>IF(F202&gt;0, G202/F202, 0)</f>
        <v>0.83640008523428211</v>
      </c>
      <c r="P202" s="8" cm="1">
        <f t="array" aca="1" ref="P202" ca="1">IF(ROW()-2&gt;1, (L202/INDIRECT("L"&amp;ROW()-1))-1, "")</f>
        <v>-3.5393409314465885E-8</v>
      </c>
      <c r="Q202" s="8" cm="1">
        <f t="array" aca="1" ref="Q202" ca="1">IF(ROW()-2&gt;1, (M202/INDIRECT("M"&amp;ROW()-1))-1, "")</f>
        <v>8.3333388357291094E-2</v>
      </c>
      <c r="R202" s="8" cm="1">
        <f t="array" aca="1" ref="R202" ca="1">IF(ROW()-2&gt;1, (N202/INDIRECT("N"&amp;ROW()-1))-1, "")</f>
        <v>-4.761950935962167E-2</v>
      </c>
      <c r="S202" s="8" cm="1">
        <f t="array" aca="1" ref="S202" ca="1">IF(ROW()-2&gt;1, (O202/INDIRECT("O"&amp;ROW()-1))-1, "")</f>
        <v>-1.9230609583753444E-2</v>
      </c>
    </row>
    <row r="203" spans="2:19" x14ac:dyDescent="0.35">
      <c r="B203" s="3">
        <v>43666</v>
      </c>
      <c r="C203" s="4">
        <v>44440853</v>
      </c>
      <c r="D203" s="4">
        <v>9332579</v>
      </c>
      <c r="E203" s="4">
        <v>3331730</v>
      </c>
      <c r="F203" s="4">
        <v>2152298</v>
      </c>
      <c r="G203" s="4">
        <v>1729156</v>
      </c>
      <c r="H203" s="8">
        <f>IF(C203&gt;0, G203/C203, 0)</f>
        <v>3.8909154151474099E-2</v>
      </c>
      <c r="I203" s="8" cm="1">
        <f t="array" aca="1" ref="I203" ca="1">IF(ROW()-2&gt;7, (G203/INDIRECT("G"&amp;ROW()-7))-1, "")</f>
        <v>-9.6020706524949762E-2</v>
      </c>
      <c r="J203" s="8" cm="1">
        <f t="array" aca="1" ref="J203" ca="1">IF(ROW()-2&gt;7, (C203/INDIRECT("C"&amp;ROW()-7))-1, "")</f>
        <v>-9.9999888615998067E-3</v>
      </c>
      <c r="K203" s="8" cm="1">
        <f t="array" aca="1" ref="K203" ca="1">IF(ROW()-2&gt;7, (H203/INDIRECT("H"&amp;ROW()-7))-1, "")</f>
        <v>-8.6889612823776385E-2</v>
      </c>
      <c r="L203" s="8">
        <f>IF(D203&gt;0, D203/C203, 0)</f>
        <v>0.20999999707476361</v>
      </c>
      <c r="M203" s="8">
        <f>IF(D203&gt;0, E203/D203, 0)</f>
        <v>0.35699992467248337</v>
      </c>
      <c r="N203" s="8">
        <f>IF(E203&gt;0, F203/E203, 0)</f>
        <v>0.64600012606063517</v>
      </c>
      <c r="O203" s="8">
        <f>IF(F203&gt;0, G203/F203, 0)</f>
        <v>0.803399900943085</v>
      </c>
      <c r="P203" s="8" cm="1">
        <f t="array" aca="1" ref="P203" ca="1">IF(ROW()-2&gt;1, (L203/INDIRECT("L"&amp;ROW()-1))-1, "")</f>
        <v>-0.19230758802402859</v>
      </c>
      <c r="Q203" s="8" cm="1">
        <f t="array" aca="1" ref="Q203" ca="1">IF(ROW()-2&gt;1, (M203/INDIRECT("M"&amp;ROW()-1))-1, "")</f>
        <v>-0.14182707323899135</v>
      </c>
      <c r="R203" s="8" cm="1">
        <f t="array" aca="1" ref="R203" ca="1">IF(ROW()-2&gt;1, (N203/INDIRECT("N"&amp;ROW()-1))-1, "")</f>
        <v>-0.11506799791728017</v>
      </c>
      <c r="S203" s="8" cm="1">
        <f t="array" aca="1" ref="S203" ca="1">IF(ROW()-2&gt;1, (O203/INDIRECT("O"&amp;ROW()-1))-1, "")</f>
        <v>-3.9455022630651149E-2</v>
      </c>
    </row>
    <row r="204" spans="2:19" x14ac:dyDescent="0.35">
      <c r="B204" s="3">
        <v>43667</v>
      </c>
      <c r="C204" s="4">
        <v>42645263</v>
      </c>
      <c r="D204" s="4">
        <v>9134615</v>
      </c>
      <c r="E204" s="4">
        <v>2950480</v>
      </c>
      <c r="F204" s="4">
        <v>1926073</v>
      </c>
      <c r="G204" s="4">
        <v>1547407</v>
      </c>
      <c r="H204" s="8">
        <f>IF(C204&gt;0, G204/C204, 0)</f>
        <v>3.6285554154045198E-2</v>
      </c>
      <c r="I204" s="8" cm="1">
        <f t="array" aca="1" ref="I204" ca="1">IF(ROW()-2&gt;7, (G204/INDIRECT("G"&amp;ROW()-7))-1, "")</f>
        <v>-0.14096703779861175</v>
      </c>
      <c r="J204" s="8" cm="1">
        <f t="array" aca="1" ref="J204" ca="1">IF(ROW()-2&gt;7, (C204/INDIRECT("C"&amp;ROW()-7))-1, "")</f>
        <v>-1.0416655064166447E-2</v>
      </c>
      <c r="K204" s="8" cm="1">
        <f t="array" aca="1" ref="K204" ca="1">IF(ROW()-2&gt;7, (H204/INDIRECT("H"&amp;ROW()-7))-1, "")</f>
        <v>-0.13192459574277737</v>
      </c>
      <c r="L204" s="8">
        <f>IF(D204&gt;0, D204/C204, 0)</f>
        <v>0.2141999921538765</v>
      </c>
      <c r="M204" s="8">
        <f>IF(D204&gt;0, E204/D204, 0)</f>
        <v>0.3229999293894707</v>
      </c>
      <c r="N204" s="8">
        <f>IF(E204&gt;0, F204/E204, 0)</f>
        <v>0.65279988340880124</v>
      </c>
      <c r="O204" s="8">
        <f>IF(F204&gt;0, G204/F204, 0)</f>
        <v>0.80339997497498794</v>
      </c>
      <c r="P204" s="8" cm="1">
        <f t="array" aca="1" ref="P204" ca="1">IF(ROW()-2&gt;1, (L204/INDIRECT("L"&amp;ROW()-1))-1, "")</f>
        <v>1.9999976845797907E-2</v>
      </c>
      <c r="Q204" s="8" cm="1">
        <f t="array" aca="1" ref="Q204" ca="1">IF(ROW()-2&gt;1, (M204/INDIRECT("M"&amp;ROW()-1))-1, "")</f>
        <v>-9.5238102120623003E-2</v>
      </c>
      <c r="R204" s="8" cm="1">
        <f t="array" aca="1" ref="R204" ca="1">IF(ROW()-2&gt;1, (N204/INDIRECT("N"&amp;ROW()-1))-1, "")</f>
        <v>1.0525938113405076E-2</v>
      </c>
      <c r="S204" s="8" cm="1">
        <f t="array" aca="1" ref="S204" ca="1">IF(ROW()-2&gt;1, (O204/INDIRECT("O"&amp;ROW()-1))-1, "")</f>
        <v>9.2148259911439823E-8</v>
      </c>
    </row>
    <row r="205" spans="2:19" x14ac:dyDescent="0.35">
      <c r="B205" s="3">
        <v>43668</v>
      </c>
      <c r="C205" s="4">
        <v>21500167</v>
      </c>
      <c r="D205" s="4">
        <v>5321291</v>
      </c>
      <c r="E205" s="4">
        <v>2128516</v>
      </c>
      <c r="F205" s="4">
        <v>1553817</v>
      </c>
      <c r="G205" s="4">
        <v>1286871</v>
      </c>
      <c r="H205" s="8">
        <f>IF(C205&gt;0, G205/C205, 0)</f>
        <v>5.9854000203812367E-2</v>
      </c>
      <c r="I205" s="8" cm="1">
        <f t="array" aca="1" ref="I205" ca="1">IF(ROW()-2&gt;7, (G205/INDIRECT("G"&amp;ROW()-7))-1, "")</f>
        <v>-9.0266927359072824E-3</v>
      </c>
      <c r="J205" s="8" cm="1">
        <f t="array" aca="1" ref="J205" ca="1">IF(ROW()-2&gt;7, (C205/INDIRECT("C"&amp;ROW()-7))-1, "")</f>
        <v>0</v>
      </c>
      <c r="K205" s="8" cm="1">
        <f t="array" aca="1" ref="K205" ca="1">IF(ROW()-2&gt;7, (H205/INDIRECT("H"&amp;ROW()-7))-1, "")</f>
        <v>-9.0266927359072824E-3</v>
      </c>
      <c r="L205" s="8">
        <f>IF(D205&gt;0, D205/C205, 0)</f>
        <v>0.24749998453500385</v>
      </c>
      <c r="M205" s="8">
        <f>IF(D205&gt;0, E205/D205, 0)</f>
        <v>0.39999992483027147</v>
      </c>
      <c r="N205" s="8">
        <f>IF(E205&gt;0, F205/E205, 0)</f>
        <v>0.7300001503394854</v>
      </c>
      <c r="O205" s="8">
        <f>IF(F205&gt;0, G205/F205, 0)</f>
        <v>0.82819984592780227</v>
      </c>
      <c r="P205" s="8" cm="1">
        <f t="array" aca="1" ref="P205" ca="1">IF(ROW()-2&gt;1, (L205/INDIRECT("L"&amp;ROW()-1))-1, "")</f>
        <v>0.15546215499954541</v>
      </c>
      <c r="Q205" s="8" cm="1">
        <f t="array" aca="1" ref="Q205" ca="1">IF(ROW()-2&gt;1, (M205/INDIRECT("M"&amp;ROW()-1))-1, "")</f>
        <v>0.23839013087818595</v>
      </c>
      <c r="R205" s="8" cm="1">
        <f t="array" aca="1" ref="R205" ca="1">IF(ROW()-2&gt;1, (N205/INDIRECT("N"&amp;ROW()-1))-1, "")</f>
        <v>0.11826023394421958</v>
      </c>
      <c r="S205" s="8" cm="1">
        <f t="array" aca="1" ref="S205" ca="1">IF(ROW()-2&gt;1, (O205/INDIRECT("O"&amp;ROW()-1))-1, "")</f>
        <v>3.0868647903040447E-2</v>
      </c>
    </row>
    <row r="206" spans="2:19" x14ac:dyDescent="0.35">
      <c r="B206" s="3">
        <v>43669</v>
      </c>
      <c r="C206" s="4">
        <v>21282993</v>
      </c>
      <c r="D206" s="4">
        <v>5054710</v>
      </c>
      <c r="E206" s="4">
        <v>2001665</v>
      </c>
      <c r="F206" s="4">
        <v>1505052</v>
      </c>
      <c r="G206" s="4">
        <v>1172435</v>
      </c>
      <c r="H206" s="8">
        <f>IF(C206&gt;0, G206/C206, 0)</f>
        <v>5.5087881671529941E-2</v>
      </c>
      <c r="I206" s="8" cm="1">
        <f t="array" aca="1" ref="I206" ca="1">IF(ROW()-2&gt;7, (G206/INDIRECT("G"&amp;ROW()-7))-1, "")</f>
        <v>1.3503180372102532</v>
      </c>
      <c r="J206" s="8" cm="1">
        <f t="array" aca="1" ref="J206" ca="1">IF(ROW()-2&gt;7, (C206/INDIRECT("C"&amp;ROW()-7))-1, "")</f>
        <v>3.1578937674493712E-2</v>
      </c>
      <c r="K206" s="8" cm="1">
        <f t="array" aca="1" ref="K206" ca="1">IF(ROW()-2&gt;7, (H206/INDIRECT("H"&amp;ROW()-7))-1, "")</f>
        <v>1.2783695472773182</v>
      </c>
      <c r="L206" s="8">
        <f>IF(D206&gt;0, D206/C206, 0)</f>
        <v>0.2374999606493316</v>
      </c>
      <c r="M206" s="8">
        <f>IF(D206&gt;0, E206/D206, 0)</f>
        <v>0.3959999683463542</v>
      </c>
      <c r="N206" s="8">
        <f>IF(E206&gt;0, F206/E206, 0)</f>
        <v>0.75190004321402437</v>
      </c>
      <c r="O206" s="8">
        <f>IF(F206&gt;0, G206/F206, 0)</f>
        <v>0.77899966247013397</v>
      </c>
      <c r="P206" s="8" cm="1">
        <f t="array" aca="1" ref="P206" ca="1">IF(ROW()-2&gt;1, (L206/INDIRECT("L"&amp;ROW()-1))-1, "")</f>
        <v>-4.0404139436453046E-2</v>
      </c>
      <c r="Q206" s="8" cm="1">
        <f t="array" aca="1" ref="Q206" ca="1">IF(ROW()-2&gt;1, (M206/INDIRECT("M"&amp;ROW()-1))-1, "")</f>
        <v>-9.9998930890162763E-3</v>
      </c>
      <c r="R206" s="8" cm="1">
        <f t="array" aca="1" ref="R206" ca="1">IF(ROW()-2&gt;1, (N206/INDIRECT("N"&amp;ROW()-1))-1, "")</f>
        <v>2.999984707448955E-2</v>
      </c>
      <c r="S206" s="8" cm="1">
        <f t="array" aca="1" ref="S206" ca="1">IF(ROW()-2&gt;1, (O206/INDIRECT("O"&amp;ROW()-1))-1, "")</f>
        <v>-5.9406173159270659E-2</v>
      </c>
    </row>
    <row r="207" spans="2:19" x14ac:dyDescent="0.35">
      <c r="B207" s="3">
        <v>43670</v>
      </c>
      <c r="C207" s="4">
        <v>21934513</v>
      </c>
      <c r="D207" s="4">
        <v>5593301</v>
      </c>
      <c r="E207" s="4">
        <v>2192574</v>
      </c>
      <c r="F207" s="4">
        <v>1536555</v>
      </c>
      <c r="G207" s="4">
        <v>1297775</v>
      </c>
      <c r="H207" s="8">
        <f>IF(C207&gt;0, G207/C207, 0)</f>
        <v>5.9165890758550235E-2</v>
      </c>
      <c r="I207" s="8" cm="1">
        <f t="array" aca="1" ref="I207" ca="1">IF(ROW()-2&gt;7, (G207/INDIRECT("G"&amp;ROW()-7))-1, "")</f>
        <v>9.2763758052085699E-3</v>
      </c>
      <c r="J207" s="8" cm="1">
        <f t="array" aca="1" ref="J207" ca="1">IF(ROW()-2&gt;7, (C207/INDIRECT("C"&amp;ROW()-7))-1, "")</f>
        <v>2.0201982617158221E-2</v>
      </c>
      <c r="K207" s="8" cm="1">
        <f t="array" aca="1" ref="K207" ca="1">IF(ROW()-2&gt;7, (H207/INDIRECT("H"&amp;ROW()-7))-1, "")</f>
        <v>-1.0709258556743761E-2</v>
      </c>
      <c r="L207" s="8">
        <f>IF(D207&gt;0, D207/C207, 0)</f>
        <v>0.25500000843419685</v>
      </c>
      <c r="M207" s="8">
        <f>IF(D207&gt;0, E207/D207, 0)</f>
        <v>0.39200000143028241</v>
      </c>
      <c r="N207" s="8">
        <f>IF(E207&gt;0, F207/E207, 0)</f>
        <v>0.70079960813181219</v>
      </c>
      <c r="O207" s="8">
        <f>IF(F207&gt;0, G207/F207, 0)</f>
        <v>0.84460042107181321</v>
      </c>
      <c r="P207" s="8" cm="1">
        <f t="array" aca="1" ref="P207" ca="1">IF(ROW()-2&gt;1, (L207/INDIRECT("L"&amp;ROW()-1))-1, "")</f>
        <v>7.3684423934301302E-2</v>
      </c>
      <c r="Q207" s="8" cm="1">
        <f t="array" aca="1" ref="Q207" ca="1">IF(ROW()-2&gt;1, (M207/INDIRECT("M"&amp;ROW()-1))-1, "")</f>
        <v>-1.0100927363138834E-2</v>
      </c>
      <c r="R207" s="8" cm="1">
        <f t="array" aca="1" ref="R207" ca="1">IF(ROW()-2&gt;1, (N207/INDIRECT("N"&amp;ROW()-1))-1, "")</f>
        <v>-6.7961739786290609E-2</v>
      </c>
      <c r="S207" s="8" cm="1">
        <f t="array" aca="1" ref="S207" ca="1">IF(ROW()-2&gt;1, (O207/INDIRECT("O"&amp;ROW()-1))-1, "")</f>
        <v>8.4211536618213012E-2</v>
      </c>
    </row>
    <row r="208" spans="2:19" x14ac:dyDescent="0.35">
      <c r="B208" s="3">
        <v>43671</v>
      </c>
      <c r="C208" s="4">
        <v>20631473</v>
      </c>
      <c r="D208" s="4">
        <v>5415761</v>
      </c>
      <c r="E208" s="4">
        <v>2122978</v>
      </c>
      <c r="F208" s="4">
        <v>1580769</v>
      </c>
      <c r="G208" s="4">
        <v>1296231</v>
      </c>
      <c r="H208" s="8">
        <f>IF(C208&gt;0, G208/C208, 0)</f>
        <v>6.2827845592992801E-2</v>
      </c>
      <c r="I208" s="8" cm="1">
        <f t="array" aca="1" ref="I208" ca="1">IF(ROW()-2&gt;7, (G208/INDIRECT("G"&amp;ROW()-7))-1, "")</f>
        <v>-0.10337316478461622</v>
      </c>
      <c r="J208" s="8" cm="1">
        <f t="array" aca="1" ref="J208" ca="1">IF(ROW()-2&gt;7, (C208/INDIRECT("C"&amp;ROW()-7))-1, "")</f>
        <v>-6.8627459389436152E-2</v>
      </c>
      <c r="K208" s="8" cm="1">
        <f t="array" aca="1" ref="K208" ca="1">IF(ROW()-2&gt;7, (H208/INDIRECT("H"&amp;ROW()-7))-1, "")</f>
        <v>-3.730591560322627E-2</v>
      </c>
      <c r="L208" s="8">
        <f>IF(D208&gt;0, D208/C208, 0)</f>
        <v>0.2624999678888657</v>
      </c>
      <c r="M208" s="8">
        <f>IF(D208&gt;0, E208/D208, 0)</f>
        <v>0.39199994239036767</v>
      </c>
      <c r="N208" s="8">
        <f>IF(E208&gt;0, F208/E208, 0)</f>
        <v>0.74459980272993875</v>
      </c>
      <c r="O208" s="8">
        <f>IF(F208&gt;0, G208/F208, 0)</f>
        <v>0.8200002656934694</v>
      </c>
      <c r="P208" s="8" cm="1">
        <f t="array" aca="1" ref="P208" ca="1">IF(ROW()-2&gt;1, (L208/INDIRECT("L"&amp;ROW()-1))-1, "")</f>
        <v>2.9411604731786722E-2</v>
      </c>
      <c r="Q208" s="8" cm="1">
        <f t="array" aca="1" ref="Q208" ca="1">IF(ROW()-2&gt;1, (M208/INDIRECT("M"&amp;ROW()-1))-1, "")</f>
        <v>-1.5061202685018316E-7</v>
      </c>
      <c r="R208" s="8" cm="1">
        <f t="array" aca="1" ref="R208" ca="1">IF(ROW()-2&gt;1, (N208/INDIRECT("N"&amp;ROW()-1))-1, "")</f>
        <v>6.2500312628440025E-2</v>
      </c>
      <c r="S208" s="8" cm="1">
        <f t="array" aca="1" ref="S208" ca="1">IF(ROW()-2&gt;1, (O208/INDIRECT("O"&amp;ROW()-1))-1, "")</f>
        <v>-2.9126383038177717E-2</v>
      </c>
    </row>
    <row r="209" spans="2:19" x14ac:dyDescent="0.35">
      <c r="B209" s="3">
        <v>43672</v>
      </c>
      <c r="C209" s="4">
        <v>21065820</v>
      </c>
      <c r="D209" s="4">
        <v>5319119</v>
      </c>
      <c r="E209" s="4">
        <v>2063818</v>
      </c>
      <c r="F209" s="4">
        <v>1566850</v>
      </c>
      <c r="G209" s="4">
        <v>1246273</v>
      </c>
      <c r="H209" s="8">
        <f>IF(C209&gt;0, G209/C209, 0)</f>
        <v>5.916090615034212E-2</v>
      </c>
      <c r="I209" s="8" cm="1">
        <f t="array" aca="1" ref="I209" ca="1">IF(ROW()-2&gt;7, (G209/INDIRECT("G"&amp;ROW()-7))-1, "")</f>
        <v>-0.16445501347909486</v>
      </c>
      <c r="J209" s="8" cm="1">
        <f t="array" aca="1" ref="J209" ca="1">IF(ROW()-2&gt;7, (C209/INDIRECT("C"&amp;ROW()-7))-1, "")</f>
        <v>-6.7307699970698742E-2</v>
      </c>
      <c r="K209" s="8" cm="1">
        <f t="array" aca="1" ref="K209" ca="1">IF(ROW()-2&gt;7, (H209/INDIRECT("H"&amp;ROW()-7))-1, "")</f>
        <v>-0.10415794523589839</v>
      </c>
      <c r="L209" s="8">
        <f>IF(D209&gt;0, D209/C209, 0)</f>
        <v>0.25249997389135576</v>
      </c>
      <c r="M209" s="8">
        <f>IF(D209&gt;0, E209/D209, 0)</f>
        <v>0.387999967663818</v>
      </c>
      <c r="N209" s="8">
        <f>IF(E209&gt;0, F209/E209, 0)</f>
        <v>0.75919969687249556</v>
      </c>
      <c r="O209" s="8">
        <f>IF(F209&gt;0, G209/F209, 0)</f>
        <v>0.79540032549382522</v>
      </c>
      <c r="P209" s="8" cm="1">
        <f t="array" aca="1" ref="P209" ca="1">IF(ROW()-2&gt;1, (L209/INDIRECT("L"&amp;ROW()-1))-1, "")</f>
        <v>-3.8095219888726328E-2</v>
      </c>
      <c r="Q209" s="8" cm="1">
        <f t="array" aca="1" ref="Q209" ca="1">IF(ROW()-2&gt;1, (M209/INDIRECT("M"&amp;ROW()-1))-1, "")</f>
        <v>-1.020401865918219E-2</v>
      </c>
      <c r="R209" s="8" cm="1">
        <f t="array" aca="1" ref="R209" ca="1">IF(ROW()-2&gt;1, (N209/INDIRECT("N"&amp;ROW()-1))-1, "")</f>
        <v>1.9607706165149397E-2</v>
      </c>
      <c r="S209" s="8" cm="1">
        <f t="array" aca="1" ref="S209" ca="1">IF(ROW()-2&gt;1, (O209/INDIRECT("O"&amp;ROW()-1))-1, "")</f>
        <v>-2.9999917352270811E-2</v>
      </c>
    </row>
    <row r="210" spans="2:19" x14ac:dyDescent="0.35">
      <c r="B210" s="3">
        <v>43673</v>
      </c>
      <c r="C210" s="4">
        <v>44889750</v>
      </c>
      <c r="D210" s="4">
        <v>9615384</v>
      </c>
      <c r="E210" s="4">
        <v>3171153</v>
      </c>
      <c r="F210" s="4">
        <v>2156384</v>
      </c>
      <c r="G210" s="4">
        <v>1698799</v>
      </c>
      <c r="H210" s="8">
        <f>IF(C210&gt;0, G210/C210, 0)</f>
        <v>3.7843806214113464E-2</v>
      </c>
      <c r="I210" s="8" cm="1">
        <f t="array" aca="1" ref="I210" ca="1">IF(ROW()-2&gt;7, (G210/INDIRECT("G"&amp;ROW()-7))-1, "")</f>
        <v>-1.7555963718715928E-2</v>
      </c>
      <c r="J210" s="8" cm="1">
        <f t="array" aca="1" ref="J210" ca="1">IF(ROW()-2&gt;7, (C210/INDIRECT("C"&amp;ROW()-7))-1, "")</f>
        <v>1.0100998736455313E-2</v>
      </c>
      <c r="K210" s="8" cm="1">
        <f t="array" aca="1" ref="K210" ca="1">IF(ROW()-2&gt;7, (H210/INDIRECT("H"&amp;ROW()-7))-1, "")</f>
        <v>-2.7380393138674131E-2</v>
      </c>
      <c r="L210" s="8">
        <f>IF(D210&gt;0, D210/C210, 0)</f>
        <v>0.21419998997543982</v>
      </c>
      <c r="M210" s="8">
        <f>IF(D210&gt;0, E210/D210, 0)</f>
        <v>0.32979993310719574</v>
      </c>
      <c r="N210" s="8">
        <f>IF(E210&gt;0, F210/E210, 0)</f>
        <v>0.6799999873862913</v>
      </c>
      <c r="O210" s="8">
        <f>IF(F210&gt;0, G210/F210, 0)</f>
        <v>0.78779985382937356</v>
      </c>
      <c r="P210" s="8" cm="1">
        <f t="array" aca="1" ref="P210" ca="1">IF(ROW()-2&gt;1, (L210/INDIRECT("L"&amp;ROW()-1))-1, "")</f>
        <v>-0.15168312030161013</v>
      </c>
      <c r="Q210" s="8" cm="1">
        <f t="array" aca="1" ref="Q210" ca="1">IF(ROW()-2&gt;1, (M210/INDIRECT("M"&amp;ROW()-1))-1, "")</f>
        <v>-0.15000010156456922</v>
      </c>
      <c r="R210" s="8" cm="1">
        <f t="array" aca="1" ref="R210" ca="1">IF(ROW()-2&gt;1, (N210/INDIRECT("N"&amp;ROW()-1))-1, "")</f>
        <v>-0.10431999619133869</v>
      </c>
      <c r="S210" s="8" cm="1">
        <f t="array" aca="1" ref="S210" ca="1">IF(ROW()-2&gt;1, (O210/INDIRECT("O"&amp;ROW()-1))-1, "")</f>
        <v>-9.5555299901756152E-3</v>
      </c>
    </row>
    <row r="211" spans="2:19" x14ac:dyDescent="0.35">
      <c r="B211" s="3">
        <v>43674</v>
      </c>
      <c r="C211" s="4">
        <v>43543058</v>
      </c>
      <c r="D211" s="4">
        <v>8778280</v>
      </c>
      <c r="E211" s="4">
        <v>3074153</v>
      </c>
      <c r="F211" s="4">
        <v>2027711</v>
      </c>
      <c r="G211" s="4">
        <v>1660696</v>
      </c>
      <c r="H211" s="8">
        <f>IF(C211&gt;0, G211/C211, 0)</f>
        <v>3.8139167901344917E-2</v>
      </c>
      <c r="I211" s="8" cm="1">
        <f t="array" aca="1" ref="I211" ca="1">IF(ROW()-2&gt;7, (G211/INDIRECT("G"&amp;ROW()-7))-1, "")</f>
        <v>7.3212154268398777E-2</v>
      </c>
      <c r="J211" s="8" cm="1">
        <f t="array" aca="1" ref="J211" ca="1">IF(ROW()-2&gt;7, (C211/INDIRECT("C"&amp;ROW()-7))-1, "")</f>
        <v>2.1052631332113103E-2</v>
      </c>
      <c r="K211" s="8" cm="1">
        <f t="array" aca="1" ref="K211" ca="1">IF(ROW()-2&gt;7, (H211/INDIRECT("H"&amp;ROW()-7))-1, "")</f>
        <v>5.1084068867474519E-2</v>
      </c>
      <c r="L211" s="8">
        <f>IF(D211&gt;0, D211/C211, 0)</f>
        <v>0.2015999886824669</v>
      </c>
      <c r="M211" s="8">
        <f>IF(D211&gt;0, E211/D211, 0)</f>
        <v>0.35019992527009847</v>
      </c>
      <c r="N211" s="8">
        <f>IF(E211&gt;0, F211/E211, 0)</f>
        <v>0.65959989629663851</v>
      </c>
      <c r="O211" s="8">
        <f>IF(F211&gt;0, G211/F211, 0)</f>
        <v>0.8190003407783456</v>
      </c>
      <c r="P211" s="8" cm="1">
        <f t="array" aca="1" ref="P211" ca="1">IF(ROW()-2&gt;1, (L211/INDIRECT("L"&amp;ROW()-1))-1, "")</f>
        <v>-5.8823538200994507E-2</v>
      </c>
      <c r="Q211" s="8" cm="1">
        <f t="array" aca="1" ref="Q211" ca="1">IF(ROW()-2&gt;1, (M211/INDIRECT("M"&amp;ROW()-1))-1, "")</f>
        <v>6.1855658885995091E-2</v>
      </c>
      <c r="R211" s="8" cm="1">
        <f t="array" aca="1" ref="R211" ca="1">IF(ROW()-2&gt;1, (N211/INDIRECT("N"&amp;ROW()-1))-1, "")</f>
        <v>-3.0000134511861454E-2</v>
      </c>
      <c r="S211" s="8" cm="1">
        <f t="array" aca="1" ref="S211" ca="1">IF(ROW()-2&gt;1, (O211/INDIRECT("O"&amp;ROW()-1))-1, "")</f>
        <v>3.9604585856815477E-2</v>
      </c>
    </row>
    <row r="212" spans="2:19" x14ac:dyDescent="0.35">
      <c r="B212" s="3">
        <v>43675</v>
      </c>
      <c r="C212" s="4">
        <v>21500167</v>
      </c>
      <c r="D212" s="4">
        <v>5536293</v>
      </c>
      <c r="E212" s="4">
        <v>2214517</v>
      </c>
      <c r="F212" s="4">
        <v>1551933</v>
      </c>
      <c r="G212" s="4">
        <v>1298037</v>
      </c>
      <c r="H212" s="8">
        <f>IF(C212&gt;0, G212/C212, 0)</f>
        <v>6.0373345007041106E-2</v>
      </c>
      <c r="I212" s="8" cm="1">
        <f t="array" aca="1" ref="I212" ca="1">IF(ROW()-2&gt;7, (G212/INDIRECT("G"&amp;ROW()-7))-1, "")</f>
        <v>8.6768603846072434E-3</v>
      </c>
      <c r="J212" s="8" cm="1">
        <f t="array" aca="1" ref="J212" ca="1">IF(ROW()-2&gt;7, (C212/INDIRECT("C"&amp;ROW()-7))-1, "")</f>
        <v>0</v>
      </c>
      <c r="K212" s="8" cm="1">
        <f t="array" aca="1" ref="K212" ca="1">IF(ROW()-2&gt;7, (H212/INDIRECT("H"&amp;ROW()-7))-1, "")</f>
        <v>8.6768603846072434E-3</v>
      </c>
      <c r="L212" s="8">
        <f>IF(D212&gt;0, D212/C212, 0)</f>
        <v>0.25749999988372185</v>
      </c>
      <c r="M212" s="8">
        <f>IF(D212&gt;0, E212/D212, 0)</f>
        <v>0.39999996387474435</v>
      </c>
      <c r="N212" s="8">
        <f>IF(E212&gt;0, F212/E212, 0)</f>
        <v>0.70079976807583777</v>
      </c>
      <c r="O212" s="8">
        <f>IF(F212&gt;0, G212/F212, 0)</f>
        <v>0.83640015387262212</v>
      </c>
      <c r="P212" s="8" cm="1">
        <f t="array" aca="1" ref="P212" ca="1">IF(ROW()-2&gt;1, (L212/INDIRECT("L"&amp;ROW()-1))-1, "")</f>
        <v>0.27728181715972777</v>
      </c>
      <c r="Q212" s="8" cm="1">
        <f t="array" aca="1" ref="Q212" ca="1">IF(ROW()-2&gt;1, (M212/INDIRECT("M"&amp;ROW()-1))-1, "")</f>
        <v>0.14220459517870143</v>
      </c>
      <c r="R212" s="8" cm="1">
        <f t="array" aca="1" ref="R212" ca="1">IF(ROW()-2&gt;1, (N212/INDIRECT("N"&amp;ROW()-1))-1, "")</f>
        <v>6.2461913669966229E-2</v>
      </c>
      <c r="S212" s="8" cm="1">
        <f t="array" aca="1" ref="S212" ca="1">IF(ROW()-2&gt;1, (O212/INDIRECT("O"&amp;ROW()-1))-1, "")</f>
        <v>2.1245184193379396E-2</v>
      </c>
    </row>
    <row r="213" spans="2:19" x14ac:dyDescent="0.35">
      <c r="B213" s="3">
        <v>43676</v>
      </c>
      <c r="C213" s="4">
        <v>20848646</v>
      </c>
      <c r="D213" s="4">
        <v>5212161</v>
      </c>
      <c r="E213" s="4">
        <v>2043167</v>
      </c>
      <c r="F213" s="4">
        <v>1416936</v>
      </c>
      <c r="G213" s="4">
        <v>1208363</v>
      </c>
      <c r="H213" s="8">
        <f>IF(C213&gt;0, G213/C213, 0)</f>
        <v>5.7958823800835793E-2</v>
      </c>
      <c r="I213" s="8" cm="1">
        <f t="array" aca="1" ref="I213" ca="1">IF(ROW()-2&gt;7, (G213/INDIRECT("G"&amp;ROW()-7))-1, "")</f>
        <v>3.064391629386698E-2</v>
      </c>
      <c r="J213" s="8" cm="1">
        <f t="array" aca="1" ref="J213" ca="1">IF(ROW()-2&gt;7, (C213/INDIRECT("C"&amp;ROW()-7))-1, "")</f>
        <v>-2.0408172854259776E-2</v>
      </c>
      <c r="K213" s="8" cm="1">
        <f t="array" aca="1" ref="K213" ca="1">IF(ROW()-2&gt;7, (H213/INDIRECT("H"&amp;ROW()-7))-1, "")</f>
        <v>5.2115674848858706E-2</v>
      </c>
      <c r="L213" s="8">
        <f>IF(D213&gt;0, D213/C213, 0)</f>
        <v>0.24999997601762725</v>
      </c>
      <c r="M213" s="8">
        <f>IF(D213&gt;0, E213/D213, 0)</f>
        <v>0.39199997851179197</v>
      </c>
      <c r="N213" s="8">
        <f>IF(E213&gt;0, F213/E213, 0)</f>
        <v>0.69349984607229853</v>
      </c>
      <c r="O213" s="8">
        <f>IF(F213&gt;0, G213/F213, 0)</f>
        <v>0.85279998532043788</v>
      </c>
      <c r="P213" s="8" cm="1">
        <f t="array" aca="1" ref="P213" ca="1">IF(ROW()-2&gt;1, (L213/INDIRECT("L"&amp;ROW()-1))-1, "")</f>
        <v>-2.912630628924795E-2</v>
      </c>
      <c r="Q213" s="8" cm="1">
        <f t="array" aca="1" ref="Q213" ca="1">IF(ROW()-2&gt;1, (M213/INDIRECT("M"&amp;ROW()-1))-1, "")</f>
        <v>-1.9999965213640558E-2</v>
      </c>
      <c r="R213" s="8" cm="1">
        <f t="array" aca="1" ref="R213" ca="1">IF(ROW()-2&gt;1, (N213/INDIRECT("N"&amp;ROW()-1))-1, "")</f>
        <v>-1.0416558817624044E-2</v>
      </c>
      <c r="S213" s="8" cm="1">
        <f t="array" aca="1" ref="S213" ca="1">IF(ROW()-2&gt;1, (O213/INDIRECT("O"&amp;ROW()-1))-1, "")</f>
        <v>1.960763800901133E-2</v>
      </c>
    </row>
    <row r="214" spans="2:19" x14ac:dyDescent="0.35">
      <c r="B214" s="3">
        <v>43677</v>
      </c>
      <c r="C214" s="4">
        <v>22368860</v>
      </c>
      <c r="D214" s="4">
        <v>5592215</v>
      </c>
      <c r="E214" s="4">
        <v>2214517</v>
      </c>
      <c r="F214" s="4">
        <v>1535767</v>
      </c>
      <c r="G214" s="4">
        <v>1322295</v>
      </c>
      <c r="H214" s="8">
        <f>IF(C214&gt;0, G214/C214, 0)</f>
        <v>5.9113204696171373E-2</v>
      </c>
      <c r="I214" s="8" cm="1">
        <f t="array" aca="1" ref="I214" ca="1">IF(ROW()-2&gt;7, (G214/INDIRECT("G"&amp;ROW()-7))-1, "")</f>
        <v>1.8893876057097803E-2</v>
      </c>
      <c r="J214" s="8" cm="1">
        <f t="array" aca="1" ref="J214" ca="1">IF(ROW()-2&gt;7, (C214/INDIRECT("C"&amp;ROW()-7))-1, "")</f>
        <v>1.9801989677181275E-2</v>
      </c>
      <c r="K214" s="8" cm="1">
        <f t="array" aca="1" ref="K214" ca="1">IF(ROW()-2&gt;7, (H214/INDIRECT("H"&amp;ROW()-7))-1, "")</f>
        <v>-8.9048033763017287E-4</v>
      </c>
      <c r="L214" s="8">
        <f>IF(D214&gt;0, D214/C214, 0)</f>
        <v>0.25</v>
      </c>
      <c r="M214" s="8">
        <f>IF(D214&gt;0, E214/D214, 0)</f>
        <v>0.39599997496519718</v>
      </c>
      <c r="N214" s="8">
        <f>IF(E214&gt;0, F214/E214, 0)</f>
        <v>0.69349975638028516</v>
      </c>
      <c r="O214" s="8">
        <f>IF(F214&gt;0, G214/F214, 0)</f>
        <v>0.86099974800864976</v>
      </c>
      <c r="P214" s="8" cm="1">
        <f t="array" aca="1" ref="P214" ca="1">IF(ROW()-2&gt;1, (L214/INDIRECT("L"&amp;ROW()-1))-1, "")</f>
        <v>9.5929500121272326E-8</v>
      </c>
      <c r="Q214" s="8" cm="1">
        <f t="array" aca="1" ref="Q214" ca="1">IF(ROW()-2&gt;1, (M214/INDIRECT("M"&amp;ROW()-1))-1, "")</f>
        <v>1.0204073144572501E-2</v>
      </c>
      <c r="R214" s="8" cm="1">
        <f t="array" aca="1" ref="R214" ca="1">IF(ROW()-2&gt;1, (N214/INDIRECT("N"&amp;ROW()-1))-1, "")</f>
        <v>-1.2933241999579792E-7</v>
      </c>
      <c r="S214" s="8" cm="1">
        <f t="array" aca="1" ref="S214" ca="1">IF(ROW()-2&gt;1, (O214/INDIRECT("O"&amp;ROW()-1))-1, "")</f>
        <v>9.6151065072203057E-3</v>
      </c>
    </row>
    <row r="215" spans="2:19" x14ac:dyDescent="0.35">
      <c r="B215" s="3">
        <v>43678</v>
      </c>
      <c r="C215" s="4">
        <v>22151687</v>
      </c>
      <c r="D215" s="4">
        <v>5704059</v>
      </c>
      <c r="E215" s="4">
        <v>2327256</v>
      </c>
      <c r="F215" s="4">
        <v>1749863</v>
      </c>
      <c r="G215" s="4">
        <v>1506632</v>
      </c>
      <c r="H215" s="8">
        <f>IF(C215&gt;0, G215/C215, 0)</f>
        <v>6.8014323243191371E-2</v>
      </c>
      <c r="I215" s="8" cm="1">
        <f t="array" aca="1" ref="I215" ca="1">IF(ROW()-2&gt;7, (G215/INDIRECT("G"&amp;ROW()-7))-1, "")</f>
        <v>0.16231751902245817</v>
      </c>
      <c r="J215" s="8" cm="1">
        <f t="array" aca="1" ref="J215" ca="1">IF(ROW()-2&gt;7, (C215/INDIRECT("C"&amp;ROW()-7))-1, "")</f>
        <v>7.3684220220243013E-2</v>
      </c>
      <c r="K215" s="8" cm="1">
        <f t="array" aca="1" ref="K215" ca="1">IF(ROW()-2&gt;7, (H215/INDIRECT("H"&amp;ROW()-7))-1, "")</f>
        <v>8.2550620688114362E-2</v>
      </c>
      <c r="L215" s="8">
        <f>IF(D215&gt;0, D215/C215, 0)</f>
        <v>0.25749998182982631</v>
      </c>
      <c r="M215" s="8">
        <f>IF(D215&gt;0, E215/D215, 0)</f>
        <v>0.40799998737740967</v>
      </c>
      <c r="N215" s="8">
        <f>IF(E215&gt;0, F215/E215, 0)</f>
        <v>0.75189966209132131</v>
      </c>
      <c r="O215" s="8">
        <f>IF(F215&gt;0, G215/F215, 0)</f>
        <v>0.86099997542664763</v>
      </c>
      <c r="P215" s="8" cm="1">
        <f t="array" aca="1" ref="P215" ca="1">IF(ROW()-2&gt;1, (L215/INDIRECT("L"&amp;ROW()-1))-1, "")</f>
        <v>2.9999927319305231E-2</v>
      </c>
      <c r="Q215" s="8" cm="1">
        <f t="array" aca="1" ref="Q215" ca="1">IF(ROW()-2&gt;1, (M215/INDIRECT("M"&amp;ROW()-1))-1, "")</f>
        <v>3.0303063562736599E-2</v>
      </c>
      <c r="R215" s="8" cm="1">
        <f t="array" aca="1" ref="R215" ca="1">IF(ROW()-2&gt;1, (N215/INDIRECT("N"&amp;ROW()-1))-1, "")</f>
        <v>8.4210419937065017E-2</v>
      </c>
      <c r="S215" s="8" cm="1">
        <f t="array" aca="1" ref="S215" ca="1">IF(ROW()-2&gt;1, (O215/INDIRECT("O"&amp;ROW()-1))-1, "")</f>
        <v>2.6413247899981229E-7</v>
      </c>
    </row>
    <row r="216" spans="2:19" x14ac:dyDescent="0.35">
      <c r="B216" s="3">
        <v>43679</v>
      </c>
      <c r="C216" s="4">
        <v>22803207</v>
      </c>
      <c r="D216" s="4">
        <v>5814817</v>
      </c>
      <c r="E216" s="4">
        <v>2256149</v>
      </c>
      <c r="F216" s="4">
        <v>1581109</v>
      </c>
      <c r="G216" s="4">
        <v>1322439</v>
      </c>
      <c r="H216" s="8">
        <f>IF(C216&gt;0, G216/C216, 0)</f>
        <v>5.7993553275203794E-2</v>
      </c>
      <c r="I216" s="8" cm="1">
        <f t="array" aca="1" ref="I216" ca="1">IF(ROW()-2&gt;7, (G216/INDIRECT("G"&amp;ROW()-7))-1, "")</f>
        <v>6.1115020545257748E-2</v>
      </c>
      <c r="J216" s="8" cm="1">
        <f t="array" aca="1" ref="J216" ca="1">IF(ROW()-2&gt;7, (C216/INDIRECT("C"&amp;ROW()-7))-1, "")</f>
        <v>8.2474216527056665E-2</v>
      </c>
      <c r="K216" s="8" cm="1">
        <f t="array" aca="1" ref="K216" ca="1">IF(ROW()-2&gt;7, (H216/INDIRECT("H"&amp;ROW()-7))-1, "")</f>
        <v>-1.9731828856234923E-2</v>
      </c>
      <c r="L216" s="8">
        <f>IF(D216&gt;0, D216/C216, 0)</f>
        <v>0.25499996557501758</v>
      </c>
      <c r="M216" s="8">
        <f>IF(D216&gt;0, E216/D216, 0)</f>
        <v>0.38800000068789781</v>
      </c>
      <c r="N216" s="8">
        <f>IF(E216&gt;0, F216/E216, 0)</f>
        <v>0.7007999028432963</v>
      </c>
      <c r="O216" s="8">
        <f>IF(F216&gt;0, G216/F216, 0)</f>
        <v>0.83639964101146724</v>
      </c>
      <c r="P216" s="8" cm="1">
        <f t="array" aca="1" ref="P216" ca="1">IF(ROW()-2&gt;1, (L216/INDIRECT("L"&amp;ROW()-1))-1, "")</f>
        <v>-9.7088016746381678E-3</v>
      </c>
      <c r="Q216" s="8" cm="1">
        <f t="array" aca="1" ref="Q216" ca="1">IF(ROW()-2&gt;1, (M216/INDIRECT("M"&amp;ROW()-1))-1, "")</f>
        <v>-4.9019576735945813E-2</v>
      </c>
      <c r="R216" s="8" cm="1">
        <f t="array" aca="1" ref="R216" ca="1">IF(ROW()-2&gt;1, (N216/INDIRECT("N"&amp;ROW()-1))-1, "")</f>
        <v>-6.7960875399115106E-2</v>
      </c>
      <c r="S216" s="8" cm="1">
        <f t="array" aca="1" ref="S216" ca="1">IF(ROW()-2&gt;1, (O216/INDIRECT("O"&amp;ROW()-1))-1, "")</f>
        <v>-2.8571817790111198E-2</v>
      </c>
    </row>
    <row r="217" spans="2:19" x14ac:dyDescent="0.35">
      <c r="B217" s="3">
        <v>43680</v>
      </c>
      <c r="C217" s="4">
        <v>45338648</v>
      </c>
      <c r="D217" s="4">
        <v>9045060</v>
      </c>
      <c r="E217" s="4">
        <v>3167580</v>
      </c>
      <c r="F217" s="4">
        <v>2240112</v>
      </c>
      <c r="G217" s="4">
        <v>1782233</v>
      </c>
      <c r="H217" s="8">
        <f>IF(C217&gt;0, G217/C217, 0)</f>
        <v>3.930935479152356E-2</v>
      </c>
      <c r="I217" s="8" cm="1">
        <f t="array" aca="1" ref="I217" ca="1">IF(ROW()-2&gt;7, (G217/INDIRECT("G"&amp;ROW()-7))-1, "")</f>
        <v>4.9113520787332776E-2</v>
      </c>
      <c r="J217" s="8" cm="1">
        <f t="array" aca="1" ref="J217" ca="1">IF(ROW()-2&gt;7, (C217/INDIRECT("C"&amp;ROW()-7))-1, "")</f>
        <v>1.0000011138400211E-2</v>
      </c>
      <c r="K217" s="8" cm="1">
        <f t="array" aca="1" ref="K217" ca="1">IF(ROW()-2&gt;7, (H217/INDIRECT("H"&amp;ROW()-7))-1, "")</f>
        <v>3.8726246750083293E-2</v>
      </c>
      <c r="L217" s="8">
        <f>IF(D217&gt;0, D217/C217, 0)</f>
        <v>0.19949999391247838</v>
      </c>
      <c r="M217" s="8">
        <f>IF(D217&gt;0, E217/D217, 0)</f>
        <v>0.35019999867330898</v>
      </c>
      <c r="N217" s="8">
        <f>IF(E217&gt;0, F217/E217, 0)</f>
        <v>0.70719981815771027</v>
      </c>
      <c r="O217" s="8">
        <f>IF(F217&gt;0, G217/F217, 0)</f>
        <v>0.79559995214524992</v>
      </c>
      <c r="P217" s="8" cm="1">
        <f t="array" aca="1" ref="P217" ca="1">IF(ROW()-2&gt;1, (L217/INDIRECT("L"&amp;ROW()-1))-1, "")</f>
        <v>-0.21764697707855907</v>
      </c>
      <c r="Q217" s="8" cm="1">
        <f t="array" aca="1" ref="Q217" ca="1">IF(ROW()-2&gt;1, (M217/INDIRECT("M"&amp;ROW()-1))-1, "")</f>
        <v>-9.7422685431886591E-2</v>
      </c>
      <c r="R217" s="8" cm="1">
        <f t="array" aca="1" ref="R217" ca="1">IF(ROW()-2&gt;1, (N217/INDIRECT("N"&amp;ROW()-1))-1, "")</f>
        <v>9.1323005160932613E-3</v>
      </c>
      <c r="S217" s="8" cm="1">
        <f t="array" aca="1" ref="S217" ca="1">IF(ROW()-2&gt;1, (O217/INDIRECT("O"&amp;ROW()-1))-1, "")</f>
        <v>-4.8780136750032344E-2</v>
      </c>
    </row>
    <row r="218" spans="2:19" x14ac:dyDescent="0.35">
      <c r="B218" s="3">
        <v>43681</v>
      </c>
      <c r="C218" s="4">
        <v>43991955</v>
      </c>
      <c r="D218" s="4">
        <v>9053544</v>
      </c>
      <c r="E218" s="4">
        <v>2924294</v>
      </c>
      <c r="F218" s="4">
        <v>2068061</v>
      </c>
      <c r="G218" s="4">
        <v>1677611</v>
      </c>
      <c r="H218" s="8">
        <f>IF(C218&gt;0, G218/C218, 0)</f>
        <v>3.8134495273056179E-2</v>
      </c>
      <c r="I218" s="8" cm="1">
        <f t="array" aca="1" ref="I218" ca="1">IF(ROW()-2&gt;7, (G218/INDIRECT("G"&amp;ROW()-7))-1, "")</f>
        <v>1.0185488493980932E-2</v>
      </c>
      <c r="J218" s="8" cm="1">
        <f t="array" aca="1" ref="J218" ca="1">IF(ROW()-2&gt;7, (C218/INDIRECT("C"&amp;ROW()-7))-1, "")</f>
        <v>1.0309266749248591E-2</v>
      </c>
      <c r="K218" s="8" cm="1">
        <f t="array" aca="1" ref="K218" ca="1">IF(ROW()-2&gt;7, (H218/INDIRECT("H"&amp;ROW()-7))-1, "")</f>
        <v>-1.2251521325334913E-4</v>
      </c>
      <c r="L218" s="8">
        <f>IF(D218&gt;0, D218/C218, 0)</f>
        <v>0.20579999229404558</v>
      </c>
      <c r="M218" s="8">
        <f>IF(D218&gt;0, E218/D218, 0)</f>
        <v>0.3229999213567637</v>
      </c>
      <c r="N218" s="8">
        <f>IF(E218&gt;0, F218/E218, 0)</f>
        <v>0.70720009684388774</v>
      </c>
      <c r="O218" s="8">
        <f>IF(F218&gt;0, G218/F218, 0)</f>
        <v>0.81119995976907833</v>
      </c>
      <c r="P218" s="8" cm="1">
        <f t="array" aca="1" ref="P218" ca="1">IF(ROW()-2&gt;1, (L218/INDIRECT("L"&amp;ROW()-1))-1, "")</f>
        <v>3.1578940219572305E-2</v>
      </c>
      <c r="Q218" s="8" cm="1">
        <f t="array" aca="1" ref="Q218" ca="1">IF(ROW()-2&gt;1, (M218/INDIRECT("M"&amp;ROW()-1))-1, "")</f>
        <v>-7.7670123985121409E-2</v>
      </c>
      <c r="R218" s="8" cm="1">
        <f t="array" aca="1" ref="R218" ca="1">IF(ROW()-2&gt;1, (N218/INDIRECT("N"&amp;ROW()-1))-1, "")</f>
        <v>3.9406992247137396E-7</v>
      </c>
      <c r="S218" s="8" cm="1">
        <f t="array" aca="1" ref="S218" ca="1">IF(ROW()-2&gt;1, (O218/INDIRECT("O"&amp;ROW()-1))-1, "")</f>
        <v>1.9607853899141992E-2</v>
      </c>
    </row>
    <row r="219" spans="2:19" x14ac:dyDescent="0.35">
      <c r="B219" s="3">
        <v>43682</v>
      </c>
      <c r="C219" s="4">
        <v>22368860</v>
      </c>
      <c r="D219" s="4">
        <v>5592215</v>
      </c>
      <c r="E219" s="4">
        <v>2214517</v>
      </c>
      <c r="F219" s="4">
        <v>1551933</v>
      </c>
      <c r="G219" s="4">
        <v>1208956</v>
      </c>
      <c r="H219" s="8">
        <f>IF(C219&gt;0, G219/C219, 0)</f>
        <v>5.4046384125073878E-2</v>
      </c>
      <c r="I219" s="8" cm="1">
        <f t="array" aca="1" ref="I219" ca="1">IF(ROW()-2&gt;7, (G219/INDIRECT("G"&amp;ROW()-7))-1, "")</f>
        <v>-6.8627473639041092E-2</v>
      </c>
      <c r="J219" s="8" cm="1">
        <f t="array" aca="1" ref="J219" ca="1">IF(ROW()-2&gt;7, (C219/INDIRECT("C"&amp;ROW()-7))-1, "")</f>
        <v>4.0404011745583279E-2</v>
      </c>
      <c r="K219" s="8" cm="1">
        <f t="array" aca="1" ref="K219" ca="1">IF(ROW()-2&gt;7, (H219/INDIRECT("H"&amp;ROW()-7))-1, "")</f>
        <v>-0.10479725582919641</v>
      </c>
      <c r="L219" s="8">
        <f>IF(D219&gt;0, D219/C219, 0)</f>
        <v>0.25</v>
      </c>
      <c r="M219" s="8">
        <f>IF(D219&gt;0, E219/D219, 0)</f>
        <v>0.39599997496519718</v>
      </c>
      <c r="N219" s="8">
        <f>IF(E219&gt;0, F219/E219, 0)</f>
        <v>0.70079976807583777</v>
      </c>
      <c r="O219" s="8">
        <f>IF(F219&gt;0, G219/F219, 0)</f>
        <v>0.77900012436103883</v>
      </c>
      <c r="P219" s="8" cm="1">
        <f t="array" aca="1" ref="P219" ca="1">IF(ROW()-2&gt;1, (L219/INDIRECT("L"&amp;ROW()-1))-1, "")</f>
        <v>0.21477166842067597</v>
      </c>
      <c r="Q219" s="8" cm="1">
        <f t="array" aca="1" ref="Q219" ca="1">IF(ROW()-2&gt;1, (M219/INDIRECT("M"&amp;ROW()-1))-1, "")</f>
        <v>0.22600641294832569</v>
      </c>
      <c r="R219" s="8" cm="1">
        <f t="array" aca="1" ref="R219" ca="1">IF(ROW()-2&gt;1, (N219/INDIRECT("N"&amp;ROW()-1))-1, "")</f>
        <v>-9.0502374032661592E-3</v>
      </c>
      <c r="S219" s="8" cm="1">
        <f t="array" aca="1" ref="S219" ca="1">IF(ROW()-2&gt;1, (O219/INDIRECT("O"&amp;ROW()-1))-1, "")</f>
        <v>-3.9694079148137162E-2</v>
      </c>
    </row>
    <row r="220" spans="2:19" x14ac:dyDescent="0.35">
      <c r="B220" s="3">
        <v>43683</v>
      </c>
      <c r="C220" s="4">
        <v>22586034</v>
      </c>
      <c r="D220" s="4">
        <v>5420648</v>
      </c>
      <c r="E220" s="4">
        <v>2124894</v>
      </c>
      <c r="F220" s="4">
        <v>1535660</v>
      </c>
      <c r="G220" s="4">
        <v>1221464</v>
      </c>
      <c r="H220" s="8">
        <f>IF(C220&gt;0, G220/C220, 0)</f>
        <v>5.4080499480342589E-2</v>
      </c>
      <c r="I220" s="8" cm="1">
        <f t="array" aca="1" ref="I220" ca="1">IF(ROW()-2&gt;7, (G220/INDIRECT("G"&amp;ROW()-7))-1, "")</f>
        <v>1.0841940708214315E-2</v>
      </c>
      <c r="J220" s="8" cm="1">
        <f t="array" aca="1" ref="J220" ca="1">IF(ROW()-2&gt;7, (C220/INDIRECT("C"&amp;ROW()-7))-1, "")</f>
        <v>8.3333373303954517E-2</v>
      </c>
      <c r="K220" s="8" cm="1">
        <f t="array" aca="1" ref="K220" ca="1">IF(ROW()-2&gt;7, (H220/INDIRECT("H"&amp;ROW()-7))-1, "")</f>
        <v>-6.6915166081014887E-2</v>
      </c>
      <c r="L220" s="8">
        <f>IF(D220&gt;0, D220/C220, 0)</f>
        <v>0.23999999291597632</v>
      </c>
      <c r="M220" s="8">
        <f>IF(D220&gt;0, E220/D220, 0)</f>
        <v>0.39199999704832339</v>
      </c>
      <c r="N220" s="8">
        <f>IF(E220&gt;0, F220/E220, 0)</f>
        <v>0.72269957936725315</v>
      </c>
      <c r="O220" s="8">
        <f>IF(F220&gt;0, G220/F220, 0)</f>
        <v>0.79540002344268912</v>
      </c>
      <c r="P220" s="8" cm="1">
        <f t="array" aca="1" ref="P220" ca="1">IF(ROW()-2&gt;1, (L220/INDIRECT("L"&amp;ROW()-1))-1, "")</f>
        <v>-4.0000028336094728E-2</v>
      </c>
      <c r="Q220" s="8" cm="1">
        <f t="array" aca="1" ref="Q220" ca="1">IF(ROW()-2&gt;1, (M220/INDIRECT("M"&amp;ROW()-1))-1, "")</f>
        <v>-1.0100954974114118E-2</v>
      </c>
      <c r="R220" s="8" cm="1">
        <f t="array" aca="1" ref="R220" ca="1">IF(ROW()-2&gt;1, (N220/INDIRECT("N"&amp;ROW()-1))-1, "")</f>
        <v>3.1249741065903835E-2</v>
      </c>
      <c r="S220" s="8" cm="1">
        <f t="array" aca="1" ref="S220" ca="1">IF(ROW()-2&gt;1, (O220/INDIRECT("O"&amp;ROW()-1))-1, "")</f>
        <v>2.1052498669498876E-2</v>
      </c>
    </row>
    <row r="221" spans="2:19" x14ac:dyDescent="0.35">
      <c r="B221" s="3">
        <v>43684</v>
      </c>
      <c r="C221" s="4">
        <v>22586034</v>
      </c>
      <c r="D221" s="4">
        <v>5364183</v>
      </c>
      <c r="E221" s="4">
        <v>2124216</v>
      </c>
      <c r="F221" s="4">
        <v>1488650</v>
      </c>
      <c r="G221" s="4">
        <v>1184072</v>
      </c>
      <c r="H221" s="8">
        <f>IF(C221&gt;0, G221/C221, 0)</f>
        <v>5.2424963143152974E-2</v>
      </c>
      <c r="I221" s="8" cm="1">
        <f t="array" aca="1" ref="I221" ca="1">IF(ROW()-2&gt;7, (G221/INDIRECT("G"&amp;ROW()-7))-1, "")</f>
        <v>-0.10453264967348441</v>
      </c>
      <c r="J221" s="8" cm="1">
        <f t="array" aca="1" ref="J221" ca="1">IF(ROW()-2&gt;7, (C221/INDIRECT("C"&amp;ROW()-7))-1, "")</f>
        <v>9.7087647738864913E-3</v>
      </c>
      <c r="K221" s="8" cm="1">
        <f t="array" aca="1" ref="K221" ca="1">IF(ROW()-2&gt;7, (H221/INDIRECT("H"&amp;ROW()-7))-1, "")</f>
        <v>-0.1131429362930747</v>
      </c>
      <c r="L221" s="8">
        <f>IF(D221&gt;0, D221/C221, 0)</f>
        <v>0.23749999667936389</v>
      </c>
      <c r="M221" s="8">
        <f>IF(D221&gt;0, E221/D221, 0)</f>
        <v>0.39599991275465435</v>
      </c>
      <c r="N221" s="8">
        <f>IF(E221&gt;0, F221/E221, 0)</f>
        <v>0.70079973034757292</v>
      </c>
      <c r="O221" s="8">
        <f>IF(F221&gt;0, G221/F221, 0)</f>
        <v>0.79539985893258991</v>
      </c>
      <c r="P221" s="8" cm="1">
        <f t="array" aca="1" ref="P221" ca="1">IF(ROW()-2&gt;1, (L221/INDIRECT("L"&amp;ROW()-1))-1, "")</f>
        <v>-1.0416651293351009E-2</v>
      </c>
      <c r="Q221" s="8" cm="1">
        <f t="array" aca="1" ref="Q221" ca="1">IF(ROW()-2&gt;1, (M221/INDIRECT("M"&amp;ROW()-1))-1, "")</f>
        <v>1.0203866674616036E-2</v>
      </c>
      <c r="R221" s="8" cm="1">
        <f t="array" aca="1" ref="R221" ca="1">IF(ROW()-2&gt;1, (N221/INDIRECT("N"&amp;ROW()-1))-1, "")</f>
        <v>-3.0302839028707118E-2</v>
      </c>
      <c r="S221" s="8" cm="1">
        <f t="array" aca="1" ref="S221" ca="1">IF(ROW()-2&gt;1, (O221/INDIRECT("O"&amp;ROW()-1))-1, "")</f>
        <v>-2.0682687251749599E-7</v>
      </c>
    </row>
    <row r="222" spans="2:19" x14ac:dyDescent="0.35">
      <c r="B222" s="3">
        <v>43685</v>
      </c>
      <c r="C222" s="4">
        <v>20848646</v>
      </c>
      <c r="D222" s="4">
        <v>5264283</v>
      </c>
      <c r="E222" s="4">
        <v>2168884</v>
      </c>
      <c r="F222" s="4">
        <v>1519954</v>
      </c>
      <c r="G222" s="4">
        <v>1233898</v>
      </c>
      <c r="H222" s="8">
        <f>IF(C222&gt;0, G222/C222, 0)</f>
        <v>5.9183603577901416E-2</v>
      </c>
      <c r="I222" s="8" cm="1">
        <f t="array" aca="1" ref="I222" ca="1">IF(ROW()-2&gt;7, (G222/INDIRECT("G"&amp;ROW()-7))-1, "")</f>
        <v>-0.18102230670794195</v>
      </c>
      <c r="J222" s="8" cm="1">
        <f t="array" aca="1" ref="J222" ca="1">IF(ROW()-2&gt;7, (C222/INDIRECT("C"&amp;ROW()-7))-1, "")</f>
        <v>-5.8823555966640351E-2</v>
      </c>
      <c r="K222" s="8" cm="1">
        <f t="array" aca="1" ref="K222" ca="1">IF(ROW()-2&gt;7, (H222/INDIRECT("H"&amp;ROW()-7))-1, "")</f>
        <v>-0.12983617632590294</v>
      </c>
      <c r="L222" s="8">
        <f>IF(D222&gt;0, D222/C222, 0)</f>
        <v>0.25249999448405425</v>
      </c>
      <c r="M222" s="8">
        <f>IF(D222&gt;0, E222/D222, 0)</f>
        <v>0.41199988678420213</v>
      </c>
      <c r="N222" s="8">
        <f>IF(E222&gt;0, F222/E222, 0)</f>
        <v>0.70080004278698171</v>
      </c>
      <c r="O222" s="8">
        <f>IF(F222&gt;0, G222/F222, 0)</f>
        <v>0.8117995676184937</v>
      </c>
      <c r="P222" s="8" cm="1">
        <f t="array" aca="1" ref="P222" ca="1">IF(ROW()-2&gt;1, (L222/INDIRECT("L"&amp;ROW()-1))-1, "")</f>
        <v>6.3157886376483008E-2</v>
      </c>
      <c r="Q222" s="8" cm="1">
        <f t="array" aca="1" ref="Q222" ca="1">IF(ROW()-2&gt;1, (M222/INDIRECT("M"&amp;ROW()-1))-1, "")</f>
        <v>4.0403983723755754E-2</v>
      </c>
      <c r="R222" s="8" cm="1">
        <f t="array" aca="1" ref="R222" ca="1">IF(ROW()-2&gt;1, (N222/INDIRECT("N"&amp;ROW()-1))-1, "")</f>
        <v>4.4583266123332521E-7</v>
      </c>
      <c r="S222" s="8" cm="1">
        <f t="array" aca="1" ref="S222" ca="1">IF(ROW()-2&gt;1, (O222/INDIRECT("O"&amp;ROW()-1))-1, "")</f>
        <v>2.0618194109201626E-2</v>
      </c>
    </row>
    <row r="223" spans="2:19" x14ac:dyDescent="0.35">
      <c r="B223" s="3">
        <v>43686</v>
      </c>
      <c r="C223" s="4">
        <v>22586034</v>
      </c>
      <c r="D223" s="4">
        <v>5590043</v>
      </c>
      <c r="E223" s="4">
        <v>2124216</v>
      </c>
      <c r="F223" s="4">
        <v>1566184</v>
      </c>
      <c r="G223" s="4">
        <v>1322799</v>
      </c>
      <c r="H223" s="8">
        <f>IF(C223&gt;0, G223/C223, 0)</f>
        <v>5.8567121611523297E-2</v>
      </c>
      <c r="I223" s="8" cm="1">
        <f t="array" aca="1" ref="I223" ca="1">IF(ROW()-2&gt;7, (G223/INDIRECT("G"&amp;ROW()-7))-1, "")</f>
        <v>2.7222427650719361E-4</v>
      </c>
      <c r="J223" s="8" cm="1">
        <f t="array" aca="1" ref="J223" ca="1">IF(ROW()-2&gt;7, (C223/INDIRECT("C"&amp;ROW()-7))-1, "")</f>
        <v>-9.5237919824172623E-3</v>
      </c>
      <c r="K223" s="8" cm="1">
        <f t="array" aca="1" ref="K223" ca="1">IF(ROW()-2&gt;7, (H223/INDIRECT("H"&amp;ROW()-7))-1, "")</f>
        <v>9.8902085477963197E-3</v>
      </c>
      <c r="L223" s="8">
        <f>IF(D223&gt;0, D223/C223, 0)</f>
        <v>0.24749998162581355</v>
      </c>
      <c r="M223" s="8">
        <f>IF(D223&gt;0, E223/D223, 0)</f>
        <v>0.37999993917756986</v>
      </c>
      <c r="N223" s="8">
        <f>IF(E223&gt;0, F223/E223, 0)</f>
        <v>0.7372997849559555</v>
      </c>
      <c r="O223" s="8">
        <f>IF(F223&gt;0, G223/F223, 0)</f>
        <v>0.84459999591363466</v>
      </c>
      <c r="P223" s="8" cm="1">
        <f t="array" aca="1" ref="P223" ca="1">IF(ROW()-2&gt;1, (L223/INDIRECT("L"&amp;ROW()-1))-1, "")</f>
        <v>-1.9802031554327248E-2</v>
      </c>
      <c r="Q223" s="8" cm="1">
        <f t="array" aca="1" ref="Q223" ca="1">IF(ROW()-2&gt;1, (M223/INDIRECT("M"&amp;ROW()-1))-1, "")</f>
        <v>-7.76697970875736E-2</v>
      </c>
      <c r="R223" s="8" cm="1">
        <f t="array" aca="1" ref="R223" ca="1">IF(ROW()-2&gt;1, (N223/INDIRECT("N"&amp;ROW()-1))-1, "")</f>
        <v>5.208296224386566E-2</v>
      </c>
      <c r="S223" s="8" cm="1">
        <f t="array" aca="1" ref="S223" ca="1">IF(ROW()-2&gt;1, (O223/INDIRECT("O"&amp;ROW()-1))-1, "")</f>
        <v>4.040458951138004E-2</v>
      </c>
    </row>
    <row r="224" spans="2:19" x14ac:dyDescent="0.35">
      <c r="B224" s="3">
        <v>43687</v>
      </c>
      <c r="C224" s="4">
        <v>46685340</v>
      </c>
      <c r="D224" s="4">
        <v>9411764</v>
      </c>
      <c r="E224" s="4">
        <v>3328000</v>
      </c>
      <c r="F224" s="4">
        <v>2330931</v>
      </c>
      <c r="G224" s="4">
        <v>1890851</v>
      </c>
      <c r="H224" s="8">
        <f>IF(C224&gt;0, G224/C224, 0)</f>
        <v>4.0502029116634898E-2</v>
      </c>
      <c r="I224" s="8" cm="1">
        <f t="array" aca="1" ref="I224" ca="1">IF(ROW()-2&gt;7, (G224/INDIRECT("G"&amp;ROW()-7))-1, "")</f>
        <v>6.0944893288363611E-2</v>
      </c>
      <c r="J224" s="8" cm="1">
        <f t="array" aca="1" ref="J224" ca="1">IF(ROW()-2&gt;7, (C224/INDIRECT("C"&amp;ROW()-7))-1, "")</f>
        <v>2.9702958941342894E-2</v>
      </c>
      <c r="K224" s="8" cm="1">
        <f t="array" aca="1" ref="K224" ca="1">IF(ROW()-2&gt;7, (H224/INDIRECT("H"&amp;ROW()-7))-1, "")</f>
        <v>3.034072503699603E-2</v>
      </c>
      <c r="L224" s="8">
        <f>IF(D224&gt;0, D224/C224, 0)</f>
        <v>0.2015999883475198</v>
      </c>
      <c r="M224" s="8">
        <f>IF(D224&gt;0, E224/D224, 0)</f>
        <v>0.353600026520002</v>
      </c>
      <c r="N224" s="8">
        <f>IF(E224&gt;0, F224/E224, 0)</f>
        <v>0.70039993990384619</v>
      </c>
      <c r="O224" s="8">
        <f>IF(F224&gt;0, G224/F224, 0)</f>
        <v>0.81119990252821728</v>
      </c>
      <c r="P224" s="8" cm="1">
        <f t="array" aca="1" ref="P224" ca="1">IF(ROW()-2&gt;1, (L224/INDIRECT("L"&amp;ROW()-1))-1, "")</f>
        <v>-0.18545453206412077</v>
      </c>
      <c r="Q224" s="8" cm="1">
        <f t="array" aca="1" ref="Q224" ca="1">IF(ROW()-2&gt;1, (M224/INDIRECT("M"&amp;ROW()-1))-1, "")</f>
        <v>-6.947346548187594E-2</v>
      </c>
      <c r="R224" s="8" cm="1">
        <f t="array" aca="1" ref="R224" ca="1">IF(ROW()-2&gt;1, (N224/INDIRECT("N"&amp;ROW()-1))-1, "")</f>
        <v>-5.0047274941648845E-2</v>
      </c>
      <c r="S224" s="8" cm="1">
        <f t="array" aca="1" ref="S224" ca="1">IF(ROW()-2&gt;1, (O224/INDIRECT("O"&amp;ROW()-1))-1, "")</f>
        <v>-3.9545457668736184E-2</v>
      </c>
    </row>
    <row r="225" spans="2:19" x14ac:dyDescent="0.35">
      <c r="B225" s="3">
        <v>43688</v>
      </c>
      <c r="C225" s="4">
        <v>43991955</v>
      </c>
      <c r="D225" s="4">
        <v>9700226</v>
      </c>
      <c r="E225" s="4">
        <v>3166153</v>
      </c>
      <c r="F225" s="4">
        <v>1033432</v>
      </c>
      <c r="G225" s="4">
        <v>765773</v>
      </c>
      <c r="H225" s="8">
        <f>IF(C225&gt;0, G225/C225, 0)</f>
        <v>1.7407114550830941E-2</v>
      </c>
      <c r="I225" s="8" cm="1">
        <f t="array" aca="1" ref="I225" ca="1">IF(ROW()-2&gt;7, (G225/INDIRECT("G"&amp;ROW()-7))-1, "")</f>
        <v>-0.54353363205176886</v>
      </c>
      <c r="J225" s="8" cm="1">
        <f t="array" aca="1" ref="J225" ca="1">IF(ROW()-2&gt;7, (C225/INDIRECT("C"&amp;ROW()-7))-1, "")</f>
        <v>0</v>
      </c>
      <c r="K225" s="8" cm="1">
        <f t="array" aca="1" ref="K225" ca="1">IF(ROW()-2&gt;7, (H225/INDIRECT("H"&amp;ROW()-7))-1, "")</f>
        <v>-0.54353363205176897</v>
      </c>
      <c r="L225" s="8">
        <f>IF(D225&gt;0, D225/C225, 0)</f>
        <v>0.22049999823831426</v>
      </c>
      <c r="M225" s="8">
        <f>IF(D225&gt;0, E225/D225, 0)</f>
        <v>0.32639992099153153</v>
      </c>
      <c r="N225" s="8">
        <f>IF(E225&gt;0, F225/E225, 0)</f>
        <v>0.32639989286683241</v>
      </c>
      <c r="O225" s="8">
        <f>IF(F225&gt;0, G225/F225, 0)</f>
        <v>0.74099989162325142</v>
      </c>
      <c r="P225" s="8" cm="1">
        <f t="array" aca="1" ref="P225" ca="1">IF(ROW()-2&gt;1, (L225/INDIRECT("L"&amp;ROW()-1))-1, "")</f>
        <v>9.3750054480233658E-2</v>
      </c>
      <c r="Q225" s="8" cm="1">
        <f t="array" aca="1" ref="Q225" ca="1">IF(ROW()-2&gt;1, (M225/INDIRECT("M"&amp;ROW()-1))-1, "")</f>
        <v>-7.6923369594068314E-2</v>
      </c>
      <c r="R225" s="8" cm="1">
        <f t="array" aca="1" ref="R225" ca="1">IF(ROW()-2&gt;1, (N225/INDIRECT("N"&amp;ROW()-1))-1, "")</f>
        <v>-0.53398069549857197</v>
      </c>
      <c r="S225" s="8" cm="1">
        <f t="array" aca="1" ref="S225" ca="1">IF(ROW()-2&gt;1, (O225/INDIRECT("O"&amp;ROW()-1))-1, "")</f>
        <v>-8.6538485379716867E-2</v>
      </c>
    </row>
    <row r="226" spans="2:19" x14ac:dyDescent="0.35">
      <c r="B226" s="3">
        <v>43689</v>
      </c>
      <c r="C226" s="4">
        <v>20631473</v>
      </c>
      <c r="D226" s="4">
        <v>5157868</v>
      </c>
      <c r="E226" s="4">
        <v>2063147</v>
      </c>
      <c r="F226" s="4">
        <v>1445853</v>
      </c>
      <c r="G226" s="4">
        <v>1244880</v>
      </c>
      <c r="H226" s="8">
        <f>IF(C226&gt;0, G226/C226, 0)</f>
        <v>6.0338881281040861E-2</v>
      </c>
      <c r="I226" s="8" cm="1">
        <f t="array" aca="1" ref="I226" ca="1">IF(ROW()-2&gt;7, (G226/INDIRECT("G"&amp;ROW()-7))-1, "")</f>
        <v>2.971489450401843E-2</v>
      </c>
      <c r="J226" s="8" cm="1">
        <f t="array" aca="1" ref="J226" ca="1">IF(ROW()-2&gt;7, (C226/INDIRECT("C"&amp;ROW()-7))-1, "")</f>
        <v>-7.7669894666066996E-2</v>
      </c>
      <c r="K226" s="8" cm="1">
        <f t="array" aca="1" ref="K226" ca="1">IF(ROW()-2&gt;7, (H226/INDIRECT("H"&amp;ROW()-7))-1, "")</f>
        <v>0.11642771774342786</v>
      </c>
      <c r="L226" s="8">
        <f>IF(D226&gt;0, D226/C226, 0)</f>
        <v>0.24999998788259084</v>
      </c>
      <c r="M226" s="8">
        <f>IF(D226&gt;0, E226/D226, 0)</f>
        <v>0.39999996122428877</v>
      </c>
      <c r="N226" s="8">
        <f>IF(E226&gt;0, F226/E226, 0)</f>
        <v>0.70079979759076794</v>
      </c>
      <c r="O226" s="8">
        <f>IF(F226&gt;0, G226/F226, 0)</f>
        <v>0.86100039215604907</v>
      </c>
      <c r="P226" s="8" cm="1">
        <f t="array" aca="1" ref="P226" ca="1">IF(ROW()-2&gt;1, (L226/INDIRECT("L"&amp;ROW()-1))-1, "")</f>
        <v>0.13378680217672057</v>
      </c>
      <c r="Q226" s="8" cm="1">
        <f t="array" aca="1" ref="Q226" ca="1">IF(ROW()-2&gt;1, (M226/INDIRECT("M"&amp;ROW()-1))-1, "")</f>
        <v>0.22549037392281357</v>
      </c>
      <c r="R226" s="8" cm="1">
        <f t="array" aca="1" ref="R226" ca="1">IF(ROW()-2&gt;1, (N226/INDIRECT("N"&amp;ROW()-1))-1, "")</f>
        <v>1.1470589081249685</v>
      </c>
      <c r="S226" s="8" cm="1">
        <f t="array" aca="1" ref="S226" ca="1">IF(ROW()-2&gt;1, (O226/INDIRECT("O"&amp;ROW()-1))-1, "")</f>
        <v>0.16194401900642896</v>
      </c>
    </row>
    <row r="227" spans="2:19" x14ac:dyDescent="0.35">
      <c r="B227" s="3">
        <v>43690</v>
      </c>
      <c r="C227" s="4">
        <v>20848646</v>
      </c>
      <c r="D227" s="4">
        <v>5316404</v>
      </c>
      <c r="E227" s="4">
        <v>2211624</v>
      </c>
      <c r="F227" s="4">
        <v>1549906</v>
      </c>
      <c r="G227" s="4">
        <v>1334469</v>
      </c>
      <c r="H227" s="8">
        <f>IF(C227&gt;0, G227/C227, 0)</f>
        <v>6.4007466000429961E-2</v>
      </c>
      <c r="I227" s="8" cm="1">
        <f t="array" aca="1" ref="I227" ca="1">IF(ROW()-2&gt;7, (G227/INDIRECT("G"&amp;ROW()-7))-1, "")</f>
        <v>9.2516029944394562E-2</v>
      </c>
      <c r="J227" s="8" cm="1">
        <f t="array" aca="1" ref="J227" ca="1">IF(ROW()-2&gt;7, (C227/INDIRECT("C"&amp;ROW()-7))-1, "")</f>
        <v>-7.6923110980883114E-2</v>
      </c>
      <c r="K227" s="8" cm="1">
        <f t="array" aca="1" ref="K227" ca="1">IF(ROW()-2&gt;7, (H227/INDIRECT("H"&amp;ROW()-7))-1, "")</f>
        <v>0.18355907610830524</v>
      </c>
      <c r="L227" s="8">
        <f>IF(D227&gt;0, D227/C227, 0)</f>
        <v>0.25499996498573574</v>
      </c>
      <c r="M227" s="8">
        <f>IF(D227&gt;0, E227/D227, 0)</f>
        <v>0.41599998796178772</v>
      </c>
      <c r="N227" s="8">
        <f>IF(E227&gt;0, F227/E227, 0)</f>
        <v>0.70079995514608273</v>
      </c>
      <c r="O227" s="8">
        <f>IF(F227&gt;0, G227/F227, 0)</f>
        <v>0.86099995741677238</v>
      </c>
      <c r="P227" s="8" cm="1">
        <f t="array" aca="1" ref="P227" ca="1">IF(ROW()-2&gt;1, (L227/INDIRECT("L"&amp;ROW()-1))-1, "")</f>
        <v>1.9999909381967829E-2</v>
      </c>
      <c r="Q227" s="8" cm="1">
        <f t="array" aca="1" ref="Q227" ca="1">IF(ROW()-2&gt;1, (M227/INDIRECT("M"&amp;ROW()-1))-1, "")</f>
        <v>4.0000070721325276E-2</v>
      </c>
      <c r="R227" s="8" cm="1">
        <f t="array" aca="1" ref="R227" ca="1">IF(ROW()-2&gt;1, (N227/INDIRECT("N"&amp;ROW()-1))-1, "")</f>
        <v>2.248221464551392E-7</v>
      </c>
      <c r="S227" s="8" cm="1">
        <f t="array" aca="1" ref="S227" ca="1">IF(ROW()-2&gt;1, (O227/INDIRECT("O"&amp;ROW()-1))-1, "")</f>
        <v>-5.0492343628416592E-7</v>
      </c>
    </row>
    <row r="228" spans="2:19" x14ac:dyDescent="0.35">
      <c r="B228" s="3">
        <v>43691</v>
      </c>
      <c r="C228" s="4">
        <v>22586034</v>
      </c>
      <c r="D228" s="4">
        <v>5477113</v>
      </c>
      <c r="E228" s="4">
        <v>2147028</v>
      </c>
      <c r="F228" s="4">
        <v>1551657</v>
      </c>
      <c r="G228" s="4">
        <v>1335977</v>
      </c>
      <c r="H228" s="8">
        <f>IF(C228&gt;0, G228/C228, 0)</f>
        <v>5.9150579512985767E-2</v>
      </c>
      <c r="I228" s="8" cm="1">
        <f t="array" aca="1" ref="I228" ca="1">IF(ROW()-2&gt;7, (G228/INDIRECT("G"&amp;ROW()-7))-1, "")</f>
        <v>0.12829034045226972</v>
      </c>
      <c r="J228" s="8" cm="1">
        <f t="array" aca="1" ref="J228" ca="1">IF(ROW()-2&gt;7, (C228/INDIRECT("C"&amp;ROW()-7))-1, "")</f>
        <v>0</v>
      </c>
      <c r="K228" s="8" cm="1">
        <f t="array" aca="1" ref="K228" ca="1">IF(ROW()-2&gt;7, (H228/INDIRECT("H"&amp;ROW()-7))-1, "")</f>
        <v>0.12829034045226972</v>
      </c>
      <c r="L228" s="8">
        <f>IF(D228&gt;0, D228/C228, 0)</f>
        <v>0.24249998915258872</v>
      </c>
      <c r="M228" s="8">
        <f>IF(D228&gt;0, E228/D228, 0)</f>
        <v>0.39199994595693022</v>
      </c>
      <c r="N228" s="8">
        <f>IF(E228&gt;0, F228/E228, 0)</f>
        <v>0.72269993684292888</v>
      </c>
      <c r="O228" s="8">
        <f>IF(F228&gt;0, G228/F228, 0)</f>
        <v>0.86100020816456213</v>
      </c>
      <c r="P228" s="8" cm="1">
        <f t="array" aca="1" ref="P228" ca="1">IF(ROW()-2&gt;1, (L228/INDIRECT("L"&amp;ROW()-1))-1, "")</f>
        <v>-4.9019519802076195E-2</v>
      </c>
      <c r="Q228" s="8" cm="1">
        <f t="array" aca="1" ref="Q228" ca="1">IF(ROW()-2&gt;1, (M228/INDIRECT("M"&amp;ROW()-1))-1, "")</f>
        <v>-5.7692410335026367E-2</v>
      </c>
      <c r="R228" s="8" cm="1">
        <f t="array" aca="1" ref="R228" ca="1">IF(ROW()-2&gt;1, (N228/INDIRECT("N"&amp;ROW()-1))-1, "")</f>
        <v>3.1249975882605474E-2</v>
      </c>
      <c r="S228" s="8" cm="1">
        <f t="array" aca="1" ref="S228" ca="1">IF(ROW()-2&gt;1, (O228/INDIRECT("O"&amp;ROW()-1))-1, "")</f>
        <v>2.9122857392316348E-7</v>
      </c>
    </row>
    <row r="229" spans="2:19" x14ac:dyDescent="0.35">
      <c r="B229" s="3">
        <v>43692</v>
      </c>
      <c r="C229" s="4">
        <v>21934513</v>
      </c>
      <c r="D229" s="4">
        <v>5702973</v>
      </c>
      <c r="E229" s="4">
        <v>2235565</v>
      </c>
      <c r="F229" s="4">
        <v>1615643</v>
      </c>
      <c r="G229" s="4">
        <v>1298330</v>
      </c>
      <c r="H229" s="8">
        <f>IF(C229&gt;0, G229/C229, 0)</f>
        <v>5.9191193349038565E-2</v>
      </c>
      <c r="I229" s="8" cm="1">
        <f t="array" aca="1" ref="I229" ca="1">IF(ROW()-2&gt;7, (G229/INDIRECT("G"&amp;ROW()-7))-1, "")</f>
        <v>5.2218254669348596E-2</v>
      </c>
      <c r="J229" s="8" cm="1">
        <f t="array" aca="1" ref="J229" ca="1">IF(ROW()-2&gt;7, (C229/INDIRECT("C"&amp;ROW()-7))-1, "")</f>
        <v>5.2083334332598819E-2</v>
      </c>
      <c r="K229" s="8" cm="1">
        <f t="array" aca="1" ref="K229" ca="1">IF(ROW()-2&gt;7, (H229/INDIRECT("H"&amp;ROW()-7))-1, "")</f>
        <v>1.282411120364646E-4</v>
      </c>
      <c r="L229" s="8">
        <f>IF(D229&gt;0, D229/C229, 0)</f>
        <v>0.25999998267570379</v>
      </c>
      <c r="M229" s="8">
        <f>IF(D229&gt;0, E229/D229, 0)</f>
        <v>0.39199992705559011</v>
      </c>
      <c r="N229" s="8">
        <f>IF(E229&gt;0, F229/E229, 0)</f>
        <v>0.7227000780563303</v>
      </c>
      <c r="O229" s="8">
        <f>IF(F229&gt;0, G229/F229, 0)</f>
        <v>0.8035995575755287</v>
      </c>
      <c r="P229" s="8" cm="1">
        <f t="array" aca="1" ref="P229" ca="1">IF(ROW()-2&gt;1, (L229/INDIRECT("L"&amp;ROW()-1))-1, "")</f>
        <v>7.2164924972856426E-2</v>
      </c>
      <c r="Q229" s="8" cm="1">
        <f t="array" aca="1" ref="Q229" ca="1">IF(ROW()-2&gt;1, (M229/INDIRECT("M"&amp;ROW()-1))-1, "")</f>
        <v>-4.8217711046127931E-8</v>
      </c>
      <c r="R229" s="8" cm="1">
        <f t="array" aca="1" ref="R229" ca="1">IF(ROW()-2&gt;1, (N229/INDIRECT("N"&amp;ROW()-1))-1, "")</f>
        <v>1.9539700257809045E-7</v>
      </c>
      <c r="S229" s="8" cm="1">
        <f t="array" aca="1" ref="S229" ca="1">IF(ROW()-2&gt;1, (O229/INDIRECT("O"&amp;ROW()-1))-1, "")</f>
        <v>-6.6667406168689936E-2</v>
      </c>
    </row>
    <row r="230" spans="2:19" x14ac:dyDescent="0.35">
      <c r="B230" s="3">
        <v>43693</v>
      </c>
      <c r="C230" s="4">
        <v>21282993</v>
      </c>
      <c r="D230" s="4">
        <v>5480370</v>
      </c>
      <c r="E230" s="4">
        <v>2279834</v>
      </c>
      <c r="F230" s="4">
        <v>1581065</v>
      </c>
      <c r="G230" s="4">
        <v>1257579</v>
      </c>
      <c r="H230" s="8">
        <f>IF(C230&gt;0, G230/C230, 0)</f>
        <v>5.9088446817606902E-2</v>
      </c>
      <c r="I230" s="8" cm="1">
        <f t="array" aca="1" ref="I230" ca="1">IF(ROW()-2&gt;7, (G230/INDIRECT("G"&amp;ROW()-7))-1, "")</f>
        <v>-4.9304542867056877E-2</v>
      </c>
      <c r="J230" s="8" cm="1">
        <f t="array" aca="1" ref="J230" ca="1">IF(ROW()-2&gt;7, (C230/INDIRECT("C"&amp;ROW()-7))-1, "")</f>
        <v>-5.7692333235662363E-2</v>
      </c>
      <c r="K230" s="8" cm="1">
        <f t="array" aca="1" ref="K230" ca="1">IF(ROW()-2&gt;7, (H230/INDIRECT("H"&amp;ROW()-7))-1, "")</f>
        <v>8.9013287957289133E-3</v>
      </c>
      <c r="L230" s="8">
        <f>IF(D230&gt;0, D230/C230, 0)</f>
        <v>0.2574999672273538</v>
      </c>
      <c r="M230" s="8">
        <f>IF(D230&gt;0, E230/D230, 0)</f>
        <v>0.41600001459755453</v>
      </c>
      <c r="N230" s="8">
        <f>IF(E230&gt;0, F230/E230, 0)</f>
        <v>0.69350005307403961</v>
      </c>
      <c r="O230" s="8">
        <f>IF(F230&gt;0, G230/F230, 0)</f>
        <v>0.79539993611900839</v>
      </c>
      <c r="P230" s="8" cm="1">
        <f t="array" aca="1" ref="P230" ca="1">IF(ROW()-2&gt;1, (L230/INDIRECT("L"&amp;ROW()-1))-1, "")</f>
        <v>-9.6154446728107246E-3</v>
      </c>
      <c r="Q230" s="8" cm="1">
        <f t="array" aca="1" ref="Q230" ca="1">IF(ROW()-2&gt;1, (M230/INDIRECT("M"&amp;ROW()-1))-1, "")</f>
        <v>6.1224724510116957E-2</v>
      </c>
      <c r="R230" s="8" cm="1">
        <f t="array" aca="1" ref="R230" ca="1">IF(ROW()-2&gt;1, (N230/INDIRECT("N"&amp;ROW()-1))-1, "")</f>
        <v>-4.0404070608132336E-2</v>
      </c>
      <c r="S230" s="8" cm="1">
        <f t="array" aca="1" ref="S230" ca="1">IF(ROW()-2&gt;1, (O230/INDIRECT("O"&amp;ROW()-1))-1, "")</f>
        <v>-1.020361619070409E-2</v>
      </c>
    </row>
    <row r="231" spans="2:19" x14ac:dyDescent="0.35">
      <c r="B231" s="3">
        <v>43694</v>
      </c>
      <c r="C231" s="4">
        <v>46685340</v>
      </c>
      <c r="D231" s="4">
        <v>10098039</v>
      </c>
      <c r="E231" s="4">
        <v>3399000</v>
      </c>
      <c r="F231" s="4">
        <v>2357546</v>
      </c>
      <c r="G231" s="4">
        <v>1857275</v>
      </c>
      <c r="H231" s="8">
        <f>IF(C231&gt;0, G231/C231, 0)</f>
        <v>3.9782831184264698E-2</v>
      </c>
      <c r="I231" s="8" cm="1">
        <f t="array" aca="1" ref="I231" ca="1">IF(ROW()-2&gt;7, (G231/INDIRECT("G"&amp;ROW()-7))-1, "")</f>
        <v>-1.7757083979647259E-2</v>
      </c>
      <c r="J231" s="8" cm="1">
        <f t="array" aca="1" ref="J231" ca="1">IF(ROW()-2&gt;7, (C231/INDIRECT("C"&amp;ROW()-7))-1, "")</f>
        <v>0</v>
      </c>
      <c r="K231" s="8" cm="1">
        <f t="array" aca="1" ref="K231" ca="1">IF(ROW()-2&gt;7, (H231/INDIRECT("H"&amp;ROW()-7))-1, "")</f>
        <v>-1.7757083979647148E-2</v>
      </c>
      <c r="L231" s="8">
        <f>IF(D231&gt;0, D231/C231, 0)</f>
        <v>0.21629999910035999</v>
      </c>
      <c r="M231" s="8">
        <f>IF(D231&gt;0, E231/D231, 0)</f>
        <v>0.33660000718951472</v>
      </c>
      <c r="N231" s="8">
        <f>IF(E231&gt;0, F231/E231, 0)</f>
        <v>0.69359988231832892</v>
      </c>
      <c r="O231" s="8">
        <f>IF(F231&gt;0, G231/F231, 0)</f>
        <v>0.78780011079317225</v>
      </c>
      <c r="P231" s="8" cm="1">
        <f t="array" aca="1" ref="P231" ca="1">IF(ROW()-2&gt;1, (L231/INDIRECT("L"&amp;ROW()-1))-1, "")</f>
        <v>-0.15999989658490799</v>
      </c>
      <c r="Q231" s="8" cm="1">
        <f t="array" aca="1" ref="Q231" ca="1">IF(ROW()-2&gt;1, (M231/INDIRECT("M"&amp;ROW()-1))-1, "")</f>
        <v>-0.19086539572565331</v>
      </c>
      <c r="R231" s="8" cm="1">
        <f t="array" aca="1" ref="R231" ca="1">IF(ROW()-2&gt;1, (N231/INDIRECT("N"&amp;ROW()-1))-1, "")</f>
        <v>1.4394987260168968E-4</v>
      </c>
      <c r="S231" s="8" cm="1">
        <f t="array" aca="1" ref="S231" ca="1">IF(ROW()-2&gt;1, (O231/INDIRECT("O"&amp;ROW()-1))-1, "")</f>
        <v>-9.554722072166566E-3</v>
      </c>
    </row>
    <row r="232" spans="2:19" x14ac:dyDescent="0.35">
      <c r="B232" s="3">
        <v>43695</v>
      </c>
      <c r="C232" s="4">
        <v>45338648</v>
      </c>
      <c r="D232" s="4">
        <v>9521116</v>
      </c>
      <c r="E232" s="4">
        <v>3140064</v>
      </c>
      <c r="F232" s="4">
        <v>2028481</v>
      </c>
      <c r="G232" s="4">
        <v>1582215</v>
      </c>
      <c r="H232" s="8">
        <f>IF(C232&gt;0, G232/C232, 0)</f>
        <v>3.4897710227265712E-2</v>
      </c>
      <c r="I232" s="8" cm="1">
        <f t="array" aca="1" ref="I232" ca="1">IF(ROW()-2&gt;7, (G232/INDIRECT("G"&amp;ROW()-7))-1, "")</f>
        <v>1.0661671278564273</v>
      </c>
      <c r="J232" s="8" cm="1">
        <f t="array" aca="1" ref="J232" ca="1">IF(ROW()-2&gt;7, (C232/INDIRECT("C"&amp;ROW()-7))-1, "")</f>
        <v>3.0612256263673698E-2</v>
      </c>
      <c r="K232" s="8" cm="1">
        <f t="array" aca="1" ref="K232" ca="1">IF(ROW()-2&gt;7, (H232/INDIRECT("H"&amp;ROW()-7))-1, "")</f>
        <v>1.0047958049198824</v>
      </c>
      <c r="L232" s="8">
        <f>IF(D232&gt;0, D232/C232, 0)</f>
        <v>0.20999999823550097</v>
      </c>
      <c r="M232" s="8">
        <f>IF(D232&gt;0, E232/D232, 0)</f>
        <v>0.32979999403431276</v>
      </c>
      <c r="N232" s="8">
        <f>IF(E232&gt;0, F232/E232, 0)</f>
        <v>0.64599989044809281</v>
      </c>
      <c r="O232" s="8">
        <f>IF(F232&gt;0, G232/F232, 0)</f>
        <v>0.77999991126364998</v>
      </c>
      <c r="P232" s="8" cm="1">
        <f t="array" aca="1" ref="P232" ca="1">IF(ROW()-2&gt;1, (L232/INDIRECT("L"&amp;ROW()-1))-1, "")</f>
        <v>-2.9126217711799018E-2</v>
      </c>
      <c r="Q232" s="8" cm="1">
        <f t="array" aca="1" ref="Q232" ca="1">IF(ROW()-2&gt;1, (M232/INDIRECT("M"&amp;ROW()-1))-1, "")</f>
        <v>-2.0202058853116323E-2</v>
      </c>
      <c r="R232" s="8" cm="1">
        <f t="array" aca="1" ref="R232" ca="1">IF(ROW()-2&gt;1, (N232/INDIRECT("N"&amp;ROW()-1))-1, "")</f>
        <v>-6.8627450903156362E-2</v>
      </c>
      <c r="S232" s="8" cm="1">
        <f t="array" aca="1" ref="S232" ca="1">IF(ROW()-2&gt;1, (O232/INDIRECT("O"&amp;ROW()-1))-1, "")</f>
        <v>-9.9012419808736096E-3</v>
      </c>
    </row>
    <row r="233" spans="2:19" x14ac:dyDescent="0.35">
      <c r="B233" s="3">
        <v>43696</v>
      </c>
      <c r="C233" s="4">
        <v>21065820</v>
      </c>
      <c r="D233" s="4">
        <v>5003132</v>
      </c>
      <c r="E233" s="4">
        <v>2041277</v>
      </c>
      <c r="F233" s="4">
        <v>1534836</v>
      </c>
      <c r="G233" s="4">
        <v>1233394</v>
      </c>
      <c r="H233" s="8">
        <f>IF(C233&gt;0, G233/C233, 0)</f>
        <v>5.8549536642770135E-2</v>
      </c>
      <c r="I233" s="8" cm="1">
        <f t="array" aca="1" ref="I233" ca="1">IF(ROW()-2&gt;7, (G233/INDIRECT("G"&amp;ROW()-7))-1, "")</f>
        <v>-9.2265921213289248E-3</v>
      </c>
      <c r="J233" s="8" cm="1">
        <f t="array" aca="1" ref="J233" ca="1">IF(ROW()-2&gt;7, (C233/INDIRECT("C"&amp;ROW()-7))-1, "")</f>
        <v>2.105264127287465E-2</v>
      </c>
      <c r="K233" s="8" cm="1">
        <f t="array" aca="1" ref="K233" ca="1">IF(ROW()-2&gt;7, (H233/INDIRECT("H"&amp;ROW()-7))-1, "")</f>
        <v>-2.9654919022056192E-2</v>
      </c>
      <c r="L233" s="8">
        <f>IF(D233&gt;0, D233/C233, 0)</f>
        <v>0.23749998813243445</v>
      </c>
      <c r="M233" s="8">
        <f>IF(D233&gt;0, E233/D233, 0)</f>
        <v>0.40799982890717257</v>
      </c>
      <c r="N233" s="8">
        <f>IF(E233&gt;0, F233/E233, 0)</f>
        <v>0.75189991363249575</v>
      </c>
      <c r="O233" s="8">
        <f>IF(F233&gt;0, G233/F233, 0)</f>
        <v>0.80359986343817846</v>
      </c>
      <c r="P233" s="8" cm="1">
        <f t="array" aca="1" ref="P233" ca="1">IF(ROW()-2&gt;1, (L233/INDIRECT("L"&amp;ROW()-1))-1, "")</f>
        <v>0.13095233394285111</v>
      </c>
      <c r="Q233" s="8" cm="1">
        <f t="array" aca="1" ref="Q233" ca="1">IF(ROW()-2&gt;1, (M233/INDIRECT("M"&amp;ROW()-1))-1, "")</f>
        <v>0.23711290566222321</v>
      </c>
      <c r="R233" s="8" cm="1">
        <f t="array" aca="1" ref="R233" ca="1">IF(ROW()-2&gt;1, (N233/INDIRECT("N"&amp;ROW()-1))-1, "")</f>
        <v>0.16393195223445978</v>
      </c>
      <c r="S233" s="8" cm="1">
        <f t="array" aca="1" ref="S233" ca="1">IF(ROW()-2&gt;1, (O233/INDIRECT("O"&amp;ROW()-1))-1, "")</f>
        <v>3.0256352383803531E-2</v>
      </c>
    </row>
    <row r="234" spans="2:19" x14ac:dyDescent="0.35">
      <c r="B234" s="3">
        <v>43697</v>
      </c>
      <c r="C234" s="4">
        <v>21934513</v>
      </c>
      <c r="D234" s="4">
        <v>5757809</v>
      </c>
      <c r="E234" s="4">
        <v>2303123</v>
      </c>
      <c r="F234" s="4">
        <v>1714906</v>
      </c>
      <c r="G234" s="4">
        <v>1392160</v>
      </c>
      <c r="H234" s="8">
        <f>IF(C234&gt;0, G234/C234, 0)</f>
        <v>6.3468926800426345E-2</v>
      </c>
      <c r="I234" s="8" cm="1">
        <f t="array" aca="1" ref="I234" ca="1">IF(ROW()-2&gt;7, (G234/INDIRECT("G"&amp;ROW()-7))-1, "")</f>
        <v>4.3231427631514885E-2</v>
      </c>
      <c r="J234" s="8" cm="1">
        <f t="array" aca="1" ref="J234" ca="1">IF(ROW()-2&gt;7, (C234/INDIRECT("C"&amp;ROW()-7))-1, "")</f>
        <v>5.2083334332598819E-2</v>
      </c>
      <c r="K234" s="8" cm="1">
        <f t="array" aca="1" ref="K234" ca="1">IF(ROW()-2&gt;7, (H234/INDIRECT("H"&amp;ROW()-7))-1, "")</f>
        <v>-8.4136934900688187E-3</v>
      </c>
      <c r="L234" s="8">
        <f>IF(D234&gt;0, D234/C234, 0)</f>
        <v>0.26249996979645729</v>
      </c>
      <c r="M234" s="8">
        <f>IF(D234&gt;0, E234/D234, 0)</f>
        <v>0.39999989579369516</v>
      </c>
      <c r="N234" s="8">
        <f>IF(E234&gt;0, F234/E234, 0)</f>
        <v>0.74460026668137136</v>
      </c>
      <c r="O234" s="8">
        <f>IF(F234&gt;0, G234/F234, 0)</f>
        <v>0.81179959717908734</v>
      </c>
      <c r="P234" s="8" cm="1">
        <f t="array" aca="1" ref="P234" ca="1">IF(ROW()-2&gt;1, (L234/INDIRECT("L"&amp;ROW()-1))-1, "")</f>
        <v>0.10526308595048173</v>
      </c>
      <c r="Q234" s="8" cm="1">
        <f t="array" aca="1" ref="Q234" ca="1">IF(ROW()-2&gt;1, (M234/INDIRECT("M"&amp;ROW()-1))-1, "")</f>
        <v>-1.9607687422088405E-2</v>
      </c>
      <c r="R234" s="8" cm="1">
        <f t="array" aca="1" ref="R234" ca="1">IF(ROW()-2&gt;1, (N234/INDIRECT("N"&amp;ROW()-1))-1, "")</f>
        <v>-9.7082694368977318E-3</v>
      </c>
      <c r="S234" s="8" cm="1">
        <f t="array" aca="1" ref="S234" ca="1">IF(ROW()-2&gt;1, (O234/INDIRECT("O"&amp;ROW()-1))-1, "")</f>
        <v>1.020375203378765E-2</v>
      </c>
    </row>
    <row r="235" spans="2:19" x14ac:dyDescent="0.35">
      <c r="B235" s="3">
        <v>43698</v>
      </c>
      <c r="C235" s="4">
        <v>22368860</v>
      </c>
      <c r="D235" s="4">
        <v>5592215</v>
      </c>
      <c r="E235" s="4">
        <v>2259254</v>
      </c>
      <c r="F235" s="4">
        <v>1599778</v>
      </c>
      <c r="G235" s="4">
        <v>1351172</v>
      </c>
      <c r="H235" s="8">
        <f>IF(C235&gt;0, G235/C235, 0)</f>
        <v>6.0404151127951985E-2</v>
      </c>
      <c r="I235" s="8" cm="1">
        <f t="array" aca="1" ref="I235" ca="1">IF(ROW()-2&gt;7, (G235/INDIRECT("G"&amp;ROW()-7))-1, "")</f>
        <v>1.1373698798706755E-2</v>
      </c>
      <c r="J235" s="8" cm="1">
        <f t="array" aca="1" ref="J235" ca="1">IF(ROW()-2&gt;7, (C235/INDIRECT("C"&amp;ROW()-7))-1, "")</f>
        <v>-9.6154110101844825E-3</v>
      </c>
      <c r="K235" s="8" cm="1">
        <f t="array" aca="1" ref="K235" ca="1">IF(ROW()-2&gt;7, (H235/INDIRECT("H"&amp;ROW()-7))-1, "")</f>
        <v>2.1192888138839239E-2</v>
      </c>
      <c r="L235" s="8">
        <f>IF(D235&gt;0, D235/C235, 0)</f>
        <v>0.25</v>
      </c>
      <c r="M235" s="8">
        <f>IF(D235&gt;0, E235/D235, 0)</f>
        <v>0.40399984621478252</v>
      </c>
      <c r="N235" s="8">
        <f>IF(E235&gt;0, F235/E235, 0)</f>
        <v>0.70810010738057783</v>
      </c>
      <c r="O235" s="8">
        <f>IF(F235&gt;0, G235/F235, 0)</f>
        <v>0.8445996882067387</v>
      </c>
      <c r="P235" s="8" cm="1">
        <f t="array" aca="1" ref="P235" ca="1">IF(ROW()-2&gt;1, (L235/INDIRECT("L"&amp;ROW()-1))-1, "")</f>
        <v>-4.7618938037020664E-2</v>
      </c>
      <c r="Q235" s="8" cm="1">
        <f t="array" aca="1" ref="Q235" ca="1">IF(ROW()-2&gt;1, (M235/INDIRECT("M"&amp;ROW()-1))-1, "")</f>
        <v>9.9998786578443521E-3</v>
      </c>
      <c r="R235" s="8" cm="1">
        <f t="array" aca="1" ref="R235" ca="1">IF(ROW()-2&gt;1, (N235/INDIRECT("N"&amp;ROW()-1))-1, "")</f>
        <v>-4.9019804227941055E-2</v>
      </c>
      <c r="S235" s="8" cm="1">
        <f t="array" aca="1" ref="S235" ca="1">IF(ROW()-2&gt;1, (O235/INDIRECT("O"&amp;ROW()-1))-1, "")</f>
        <v>4.0404172583514475E-2</v>
      </c>
    </row>
    <row r="236" spans="2:19" x14ac:dyDescent="0.35">
      <c r="B236" s="3">
        <v>43699</v>
      </c>
      <c r="C236" s="4">
        <v>21934513</v>
      </c>
      <c r="D236" s="4">
        <v>5483628</v>
      </c>
      <c r="E236" s="4">
        <v>2193451</v>
      </c>
      <c r="F236" s="4">
        <v>1617231</v>
      </c>
      <c r="G236" s="4">
        <v>1392436</v>
      </c>
      <c r="H236" s="8">
        <f>IF(C236&gt;0, G236/C236, 0)</f>
        <v>6.3481509710290804E-2</v>
      </c>
      <c r="I236" s="8" cm="1">
        <f t="array" aca="1" ref="I236" ca="1">IF(ROW()-2&gt;7, (G236/INDIRECT("G"&amp;ROW()-7))-1, "")</f>
        <v>7.2482342701778446E-2</v>
      </c>
      <c r="J236" s="8" cm="1">
        <f t="array" aca="1" ref="J236" ca="1">IF(ROW()-2&gt;7, (C236/INDIRECT("C"&amp;ROW()-7))-1, "")</f>
        <v>0</v>
      </c>
      <c r="K236" s="8" cm="1">
        <f t="array" aca="1" ref="K236" ca="1">IF(ROW()-2&gt;7, (H236/INDIRECT("H"&amp;ROW()-7))-1, "")</f>
        <v>7.2482342701778446E-2</v>
      </c>
      <c r="L236" s="8">
        <f>IF(D236&gt;0, D236/C236, 0)</f>
        <v>0.24999998860243672</v>
      </c>
      <c r="M236" s="8">
        <f>IF(D236&gt;0, E236/D236, 0)</f>
        <v>0.39999996352779582</v>
      </c>
      <c r="N236" s="8">
        <f>IF(E236&gt;0, F236/E236, 0)</f>
        <v>0.7372998074723347</v>
      </c>
      <c r="O236" s="8">
        <f>IF(F236&gt;0, G236/F236, 0)</f>
        <v>0.86100006739915325</v>
      </c>
      <c r="P236" s="8" cm="1">
        <f t="array" aca="1" ref="P236" ca="1">IF(ROW()-2&gt;1, (L236/INDIRECT("L"&amp;ROW()-1))-1, "")</f>
        <v>-4.5590253128224845E-8</v>
      </c>
      <c r="Q236" s="8" cm="1">
        <f t="array" aca="1" ref="Q236" ca="1">IF(ROW()-2&gt;1, (M236/INDIRECT("M"&amp;ROW()-1))-1, "")</f>
        <v>-9.9007034890310486E-3</v>
      </c>
      <c r="R236" s="8" cm="1">
        <f t="array" aca="1" ref="R236" ca="1">IF(ROW()-2&gt;1, (N236/INDIRECT("N"&amp;ROW()-1))-1, "")</f>
        <v>4.123668360928967E-2</v>
      </c>
      <c r="S236" s="8" cm="1">
        <f t="array" aca="1" ref="S236" ca="1">IF(ROW()-2&gt;1, (O236/INDIRECT("O"&amp;ROW()-1))-1, "")</f>
        <v>1.9417931857441229E-2</v>
      </c>
    </row>
    <row r="237" spans="2:19" x14ac:dyDescent="0.35">
      <c r="B237" s="3">
        <v>43700</v>
      </c>
      <c r="C237" s="4">
        <v>20848646</v>
      </c>
      <c r="D237" s="4">
        <v>5420648</v>
      </c>
      <c r="E237" s="4">
        <v>2146576</v>
      </c>
      <c r="F237" s="4">
        <v>1519990</v>
      </c>
      <c r="G237" s="4">
        <v>1296248</v>
      </c>
      <c r="H237" s="8">
        <f>IF(C237&gt;0, G237/C237, 0)</f>
        <v>6.2174205461592087E-2</v>
      </c>
      <c r="I237" s="8" cm="1">
        <f t="array" aca="1" ref="I237" ca="1">IF(ROW()-2&gt;7, (G237/INDIRECT("G"&amp;ROW()-7))-1, "")</f>
        <v>3.0748764093547987E-2</v>
      </c>
      <c r="J237" s="8" cm="1">
        <f t="array" aca="1" ref="J237" ca="1">IF(ROW()-2&gt;7, (C237/INDIRECT("C"&amp;ROW()-7))-1, "")</f>
        <v>-2.0408172854259776E-2</v>
      </c>
      <c r="K237" s="8" cm="1">
        <f t="array" aca="1" ref="K237" ca="1">IF(ROW()-2&gt;7, (H237/INDIRECT("H"&amp;ROW()-7))-1, "")</f>
        <v>5.2222706978747313E-2</v>
      </c>
      <c r="L237" s="8">
        <f>IF(D237&gt;0, D237/C237, 0)</f>
        <v>0.2600000019185898</v>
      </c>
      <c r="M237" s="8">
        <f>IF(D237&gt;0, E237/D237, 0)</f>
        <v>0.3959998878362882</v>
      </c>
      <c r="N237" s="8">
        <f>IF(E237&gt;0, F237/E237, 0)</f>
        <v>0.70809978309642896</v>
      </c>
      <c r="O237" s="8">
        <f>IF(F237&gt;0, G237/F237, 0)</f>
        <v>0.85280034737070642</v>
      </c>
      <c r="P237" s="8" cm="1">
        <f t="array" aca="1" ref="P237" ca="1">IF(ROW()-2&gt;1, (L237/INDIRECT("L"&amp;ROW()-1))-1, "")</f>
        <v>4.0000055088224906E-2</v>
      </c>
      <c r="Q237" s="8" cm="1">
        <f t="array" aca="1" ref="Q237" ca="1">IF(ROW()-2&gt;1, (M237/INDIRECT("M"&amp;ROW()-1))-1, "")</f>
        <v>-1.0000190140591503E-2</v>
      </c>
      <c r="R237" s="8" cm="1">
        <f t="array" aca="1" ref="R237" ca="1">IF(ROW()-2&gt;1, (N237/INDIRECT("N"&amp;ROW()-1))-1, "")</f>
        <v>-3.9604003798687226E-2</v>
      </c>
      <c r="S237" s="8" cm="1">
        <f t="array" aca="1" ref="S237" ca="1">IF(ROW()-2&gt;1, (O237/INDIRECT("O"&amp;ROW()-1))-1, "")</f>
        <v>-9.5234836080976271E-3</v>
      </c>
    </row>
    <row r="238" spans="2:19" x14ac:dyDescent="0.35">
      <c r="B238" s="3">
        <v>43701</v>
      </c>
      <c r="C238" s="4">
        <v>43094160</v>
      </c>
      <c r="D238" s="4">
        <v>9321266</v>
      </c>
      <c r="E238" s="4">
        <v>3264307</v>
      </c>
      <c r="F238" s="4">
        <v>2108742</v>
      </c>
      <c r="G238" s="4">
        <v>1628371</v>
      </c>
      <c r="H238" s="8">
        <f>IF(C238&gt;0, G238/C238, 0)</f>
        <v>3.7786349704925212E-2</v>
      </c>
      <c r="I238" s="8" cm="1">
        <f t="array" aca="1" ref="I238" ca="1">IF(ROW()-2&gt;7, (G238/INDIRECT("G"&amp;ROW()-7))-1, "")</f>
        <v>-0.12324723048552311</v>
      </c>
      <c r="J238" s="8" cm="1">
        <f t="array" aca="1" ref="J238" ca="1">IF(ROW()-2&gt;7, (C238/INDIRECT("C"&amp;ROW()-7))-1, "")</f>
        <v>-7.6923076923076872E-2</v>
      </c>
      <c r="K238" s="8" cm="1">
        <f t="array" aca="1" ref="K238" ca="1">IF(ROW()-2&gt;7, (H238/INDIRECT("H"&amp;ROW()-7))-1, "")</f>
        <v>-5.0184499692650153E-2</v>
      </c>
      <c r="L238" s="8">
        <f>IF(D238&gt;0, D238/C238, 0)</f>
        <v>0.21629998125035968</v>
      </c>
      <c r="M238" s="8">
        <f>IF(D238&gt;0, E238/D238, 0)</f>
        <v>0.35019996210815141</v>
      </c>
      <c r="N238" s="8">
        <f>IF(E238&gt;0, F238/E238, 0)</f>
        <v>0.64599990135731722</v>
      </c>
      <c r="O238" s="8">
        <f>IF(F238&gt;0, G238/F238, 0)</f>
        <v>0.77220020277492463</v>
      </c>
      <c r="P238" s="8" cm="1">
        <f t="array" aca="1" ref="P238" ca="1">IF(ROW()-2&gt;1, (L238/INDIRECT("L"&amp;ROW()-1))-1, "")</f>
        <v>-0.16807700132984349</v>
      </c>
      <c r="Q238" s="8" cm="1">
        <f t="array" aca="1" ref="Q238" ca="1">IF(ROW()-2&gt;1, (M238/INDIRECT("M"&amp;ROW()-1))-1, "")</f>
        <v>-0.1156564108600735</v>
      </c>
      <c r="R238" s="8" cm="1">
        <f t="array" aca="1" ref="R238" ca="1">IF(ROW()-2&gt;1, (N238/INDIRECT("N"&amp;ROW()-1))-1, "")</f>
        <v>-8.7699337327229454E-2</v>
      </c>
      <c r="S238" s="8" cm="1">
        <f t="array" aca="1" ref="S238" ca="1">IF(ROW()-2&gt;1, (O238/INDIRECT("O"&amp;ROW()-1))-1, "")</f>
        <v>-9.4512326178433748E-2</v>
      </c>
    </row>
    <row r="239" spans="2:19" x14ac:dyDescent="0.35">
      <c r="B239" s="3">
        <v>43702</v>
      </c>
      <c r="C239" s="4">
        <v>44440853</v>
      </c>
      <c r="D239" s="4">
        <v>9332579</v>
      </c>
      <c r="E239" s="4">
        <v>3331730</v>
      </c>
      <c r="F239" s="4">
        <v>2288232</v>
      </c>
      <c r="G239" s="4">
        <v>1784821</v>
      </c>
      <c r="H239" s="8">
        <f>IF(C239&gt;0, G239/C239, 0)</f>
        <v>4.0161717868016616E-2</v>
      </c>
      <c r="I239" s="8" cm="1">
        <f t="array" aca="1" ref="I239" ca="1">IF(ROW()-2&gt;7, (G239/INDIRECT("G"&amp;ROW()-7))-1, "")</f>
        <v>0.12805212945143363</v>
      </c>
      <c r="J239" s="8" cm="1">
        <f t="array" aca="1" ref="J239" ca="1">IF(ROW()-2&gt;7, (C239/INDIRECT("C"&amp;ROW()-7))-1, "")</f>
        <v>-1.9801979979641171E-2</v>
      </c>
      <c r="K239" s="8" cm="1">
        <f t="array" aca="1" ref="K239" ca="1">IF(ROW()-2&gt;7, (H239/INDIRECT("H"&amp;ROW()-7))-1, "")</f>
        <v>0.15084106110314699</v>
      </c>
      <c r="L239" s="8">
        <f>IF(D239&gt;0, D239/C239, 0)</f>
        <v>0.20999999707476361</v>
      </c>
      <c r="M239" s="8">
        <f>IF(D239&gt;0, E239/D239, 0)</f>
        <v>0.35699992467248337</v>
      </c>
      <c r="N239" s="8">
        <f>IF(E239&gt;0, F239/E239, 0)</f>
        <v>0.68679995077632339</v>
      </c>
      <c r="O239" s="8">
        <f>IF(F239&gt;0, G239/F239, 0)</f>
        <v>0.78000001748074499</v>
      </c>
      <c r="P239" s="8" cm="1">
        <f t="array" aca="1" ref="P239" ca="1">IF(ROW()-2&gt;1, (L239/INDIRECT("L"&amp;ROW()-1))-1, "")</f>
        <v>-2.9126142957470069E-2</v>
      </c>
      <c r="Q239" s="8" cm="1">
        <f t="array" aca="1" ref="Q239" ca="1">IF(ROW()-2&gt;1, (M239/INDIRECT("M"&amp;ROW()-1))-1, "")</f>
        <v>1.9417370931159361E-2</v>
      </c>
      <c r="R239" s="8" cm="1">
        <f t="array" aca="1" ref="R239" ca="1">IF(ROW()-2&gt;1, (N239/INDIRECT("N"&amp;ROW()-1))-1, "")</f>
        <v>6.3157980880927056E-2</v>
      </c>
      <c r="S239" s="8" cm="1">
        <f t="array" aca="1" ref="S239" ca="1">IF(ROW()-2&gt;1, (O239/INDIRECT("O"&amp;ROW()-1))-1, "")</f>
        <v>1.0100767492408735E-2</v>
      </c>
    </row>
    <row r="240" spans="2:19" x14ac:dyDescent="0.35">
      <c r="B240" s="3">
        <v>43703</v>
      </c>
      <c r="C240" s="4">
        <v>22368860</v>
      </c>
      <c r="D240" s="4">
        <v>5424448</v>
      </c>
      <c r="E240" s="4">
        <v>2169779</v>
      </c>
      <c r="F240" s="4">
        <v>1568099</v>
      </c>
      <c r="G240" s="4">
        <v>1260124</v>
      </c>
      <c r="H240" s="8">
        <f>IF(C240&gt;0, G240/C240, 0)</f>
        <v>5.6333849825158724E-2</v>
      </c>
      <c r="I240" s="8" cm="1">
        <f t="array" aca="1" ref="I240" ca="1">IF(ROW()-2&gt;7, (G240/INDIRECT("G"&amp;ROW()-7))-1, "")</f>
        <v>2.1671906949441988E-2</v>
      </c>
      <c r="J240" s="8" cm="1">
        <f t="array" aca="1" ref="J240" ca="1">IF(ROW()-2&gt;7, (C240/INDIRECT("C"&amp;ROW()-7))-1, "")</f>
        <v>6.1855650527727013E-2</v>
      </c>
      <c r="K240" s="8" cm="1">
        <f t="array" aca="1" ref="K240" ca="1">IF(ROW()-2&gt;7, (H240/INDIRECT("H"&amp;ROW()-7))-1, "")</f>
        <v>-3.7842943679128327E-2</v>
      </c>
      <c r="L240" s="8">
        <f>IF(D240&gt;0, D240/C240, 0)</f>
        <v>0.24249997541224722</v>
      </c>
      <c r="M240" s="8">
        <f>IF(D240&gt;0, E240/D240, 0)</f>
        <v>0.399999963129889</v>
      </c>
      <c r="N240" s="8">
        <f>IF(E240&gt;0, F240/E240, 0)</f>
        <v>0.72269986943370734</v>
      </c>
      <c r="O240" s="8">
        <f>IF(F240&gt;0, G240/F240, 0)</f>
        <v>0.80359977271843164</v>
      </c>
      <c r="P240" s="8" cm="1">
        <f t="array" aca="1" ref="P240" ca="1">IF(ROW()-2&gt;1, (L240/INDIRECT("L"&amp;ROW()-1))-1, "")</f>
        <v>0.15476180376284976</v>
      </c>
      <c r="Q240" s="8" cm="1">
        <f t="array" aca="1" ref="Q240" ca="1">IF(ROW()-2&gt;1, (M240/INDIRECT("M"&amp;ROW()-1))-1, "")</f>
        <v>0.12044831241030218</v>
      </c>
      <c r="R240" s="8" cm="1">
        <f t="array" aca="1" ref="R240" ca="1">IF(ROW()-2&gt;1, (N240/INDIRECT("N"&amp;ROW()-1))-1, "")</f>
        <v>5.2271288920164416E-2</v>
      </c>
      <c r="S240" s="8" cm="1">
        <f t="array" aca="1" ref="S240" ca="1">IF(ROW()-2&gt;1, (O240/INDIRECT("O"&amp;ROW()-1))-1, "")</f>
        <v>3.0256095780496928E-2</v>
      </c>
    </row>
    <row r="241" spans="2:19" x14ac:dyDescent="0.35">
      <c r="B241" s="3">
        <v>43704</v>
      </c>
      <c r="C241" s="4">
        <v>20848646</v>
      </c>
      <c r="D241" s="4">
        <v>5003675</v>
      </c>
      <c r="E241" s="4">
        <v>1961440</v>
      </c>
      <c r="F241" s="4">
        <v>1446170</v>
      </c>
      <c r="G241" s="4">
        <v>1150283</v>
      </c>
      <c r="H241" s="8">
        <f>IF(C241&gt;0, G241/C241, 0)</f>
        <v>5.5173031380551046E-2</v>
      </c>
      <c r="I241" s="8" cm="1">
        <f t="array" aca="1" ref="I241" ca="1">IF(ROW()-2&gt;7, (G241/INDIRECT("G"&amp;ROW()-7))-1, "")</f>
        <v>-0.17374224227100332</v>
      </c>
      <c r="J241" s="8" cm="1">
        <f t="array" aca="1" ref="J241" ca="1">IF(ROW()-2&gt;7, (C241/INDIRECT("C"&amp;ROW()-7))-1, "")</f>
        <v>-4.9504951397826846E-2</v>
      </c>
      <c r="K241" s="8" cm="1">
        <f t="array" aca="1" ref="K241" ca="1">IF(ROW()-2&gt;7, (H241/INDIRECT("H"&amp;ROW()-7))-1, "")</f>
        <v>-0.13070798323030053</v>
      </c>
      <c r="L241" s="8">
        <f>IF(D241&gt;0, D241/C241, 0)</f>
        <v>0.23999999808141018</v>
      </c>
      <c r="M241" s="8">
        <f>IF(D241&gt;0, E241/D241, 0)</f>
        <v>0.39199988008813524</v>
      </c>
      <c r="N241" s="8">
        <f>IF(E241&gt;0, F241/E241, 0)</f>
        <v>0.73730014683089973</v>
      </c>
      <c r="O241" s="8">
        <f>IF(F241&gt;0, G241/F241, 0)</f>
        <v>0.79539957266434791</v>
      </c>
      <c r="P241" s="8" cm="1">
        <f t="array" aca="1" ref="P241" ca="1">IF(ROW()-2&gt;1, (L241/INDIRECT("L"&amp;ROW()-1))-1, "")</f>
        <v>-1.0309185914708308E-2</v>
      </c>
      <c r="Q241" s="8" cm="1">
        <f t="array" aca="1" ref="Q241" ca="1">IF(ROW()-2&gt;1, (M241/INDIRECT("M"&amp;ROW()-1))-1, "")</f>
        <v>-2.0000209447909256E-2</v>
      </c>
      <c r="R241" s="8" cm="1">
        <f t="array" aca="1" ref="R241" ca="1">IF(ROW()-2&gt;1, (N241/INDIRECT("N"&amp;ROW()-1))-1, "")</f>
        <v>2.0202407686378709E-2</v>
      </c>
      <c r="S241" s="8" cm="1">
        <f t="array" aca="1" ref="S241" ca="1">IF(ROW()-2&gt;1, (O241/INDIRECT("O"&amp;ROW()-1))-1, "")</f>
        <v>-1.0204333466078408E-2</v>
      </c>
    </row>
    <row r="242" spans="2:19" x14ac:dyDescent="0.35">
      <c r="B242" s="3">
        <v>43705</v>
      </c>
      <c r="C242" s="4">
        <v>21934513</v>
      </c>
      <c r="D242" s="4">
        <v>5593301</v>
      </c>
      <c r="E242" s="4">
        <v>2304440</v>
      </c>
      <c r="F242" s="4">
        <v>1699063</v>
      </c>
      <c r="G242" s="4">
        <v>1421096</v>
      </c>
      <c r="H242" s="8">
        <f>IF(C242&gt;0, G242/C242, 0)</f>
        <v>6.4788126365057666E-2</v>
      </c>
      <c r="I242" s="8" cm="1">
        <f t="array" aca="1" ref="I242" ca="1">IF(ROW()-2&gt;7, (G242/INDIRECT("G"&amp;ROW()-7))-1, "")</f>
        <v>5.1750628343393723E-2</v>
      </c>
      <c r="J242" s="8" cm="1">
        <f t="array" aca="1" ref="J242" ca="1">IF(ROW()-2&gt;7, (C242/INDIRECT("C"&amp;ROW()-7))-1, "")</f>
        <v>-1.9417484842768062E-2</v>
      </c>
      <c r="K242" s="8" cm="1">
        <f t="array" aca="1" ref="K242" ca="1">IF(ROW()-2&gt;7, (H242/INDIRECT("H"&amp;ROW()-7))-1, "")</f>
        <v>7.2577383428818587E-2</v>
      </c>
      <c r="L242" s="8">
        <f>IF(D242&gt;0, D242/C242, 0)</f>
        <v>0.25500000843419685</v>
      </c>
      <c r="M242" s="8">
        <f>IF(D242&gt;0, E242/D242, 0)</f>
        <v>0.41199999785457642</v>
      </c>
      <c r="N242" s="8">
        <f>IF(E242&gt;0, F242/E242, 0)</f>
        <v>0.73729973442571728</v>
      </c>
      <c r="O242" s="8">
        <f>IF(F242&gt;0, G242/F242, 0)</f>
        <v>0.83639982743429764</v>
      </c>
      <c r="P242" s="8" cm="1">
        <f t="array" aca="1" ref="P242" ca="1">IF(ROW()-2&gt;1, (L242/INDIRECT("L"&amp;ROW()-1))-1, "")</f>
        <v>6.2500043636244174E-2</v>
      </c>
      <c r="Q242" s="8" cm="1">
        <f t="array" aca="1" ref="Q242" ca="1">IF(ROW()-2&gt;1, (M242/INDIRECT("M"&amp;ROW()-1))-1, "")</f>
        <v>5.1020724194977829E-2</v>
      </c>
      <c r="R242" s="8" cm="1">
        <f t="array" aca="1" ref="R242" ca="1">IF(ROW()-2&gt;1, (N242/INDIRECT("N"&amp;ROW()-1))-1, "")</f>
        <v>-5.5934504317178835E-7</v>
      </c>
      <c r="S242" s="8" cm="1">
        <f t="array" aca="1" ref="S242" ca="1">IF(ROW()-2&gt;1, (O242/INDIRECT("O"&amp;ROW()-1))-1, "")</f>
        <v>5.154673975070323E-2</v>
      </c>
    </row>
    <row r="243" spans="2:19" x14ac:dyDescent="0.35">
      <c r="B243" s="3">
        <v>43706</v>
      </c>
      <c r="C243" s="4">
        <v>21282993</v>
      </c>
      <c r="D243" s="4">
        <v>5214333</v>
      </c>
      <c r="E243" s="4">
        <v>2044018</v>
      </c>
      <c r="F243" s="4">
        <v>1566740</v>
      </c>
      <c r="G243" s="4">
        <v>1310421</v>
      </c>
      <c r="H243" s="8">
        <f>IF(C243&gt;0, G243/C243, 0)</f>
        <v>6.1571274303383924E-2</v>
      </c>
      <c r="I243" s="8" cm="1">
        <f t="array" aca="1" ref="I243" ca="1">IF(ROW()-2&gt;7, (G243/INDIRECT("G"&amp;ROW()-7))-1, "")</f>
        <v>-5.8900373158981778E-2</v>
      </c>
      <c r="J243" s="8" cm="1">
        <f t="array" aca="1" ref="J243" ca="1">IF(ROW()-2&gt;7, (C243/INDIRECT("C"&amp;ROW()-7))-1, "")</f>
        <v>-2.970296172064546E-2</v>
      </c>
      <c r="K243" s="8" cm="1">
        <f t="array" aca="1" ref="K243" ca="1">IF(ROW()-2&gt;7, (H243/INDIRECT("H"&amp;ROW()-7))-1, "")</f>
        <v>-3.0091209481699188E-2</v>
      </c>
      <c r="L243" s="8">
        <f>IF(D243&gt;0, D243/C243, 0)</f>
        <v>0.24499998660902628</v>
      </c>
      <c r="M243" s="8">
        <f>IF(D243&gt;0, E243/D243, 0)</f>
        <v>0.39199989720641165</v>
      </c>
      <c r="N243" s="8">
        <f>IF(E243&gt;0, F243/E243, 0)</f>
        <v>0.76650009931419394</v>
      </c>
      <c r="O243" s="8">
        <f>IF(F243&gt;0, G243/F243, 0)</f>
        <v>0.83639978554195338</v>
      </c>
      <c r="P243" s="8" cm="1">
        <f t="array" aca="1" ref="P243" ca="1">IF(ROW()-2&gt;1, (L243/INDIRECT("L"&amp;ROW()-1))-1, "")</f>
        <v>-3.921577056634129E-2</v>
      </c>
      <c r="Q243" s="8" cm="1">
        <f t="array" aca="1" ref="Q243" ca="1">IF(ROW()-2&gt;1, (M243/INDIRECT("M"&amp;ROW()-1))-1, "")</f>
        <v>-4.8543933864835132E-2</v>
      </c>
      <c r="R243" s="8" cm="1">
        <f t="array" aca="1" ref="R243" ca="1">IF(ROW()-2&gt;1, (N243/INDIRECT("N"&amp;ROW()-1))-1, "")</f>
        <v>3.9604469559752165E-2</v>
      </c>
      <c r="S243" s="8" cm="1">
        <f t="array" aca="1" ref="S243" ca="1">IF(ROW()-2&gt;1, (O243/INDIRECT("O"&amp;ROW()-1))-1, "")</f>
        <v>-5.0086505165580775E-8</v>
      </c>
    </row>
    <row r="244" spans="2:19" x14ac:dyDescent="0.35">
      <c r="B244" s="3">
        <v>43707</v>
      </c>
      <c r="C244" s="4">
        <v>21934513</v>
      </c>
      <c r="D244" s="4">
        <v>5319119</v>
      </c>
      <c r="E244" s="4">
        <v>2127647</v>
      </c>
      <c r="F244" s="4">
        <v>1522119</v>
      </c>
      <c r="G244" s="4">
        <v>1210693</v>
      </c>
      <c r="H244" s="8">
        <f>IF(C244&gt;0, G244/C244, 0)</f>
        <v>5.5195800335298077E-2</v>
      </c>
      <c r="I244" s="8" cm="1">
        <f t="array" aca="1" ref="I244" ca="1">IF(ROW()-2&gt;7, (G244/INDIRECT("G"&amp;ROW()-7))-1, "")</f>
        <v>-6.6002030475649676E-2</v>
      </c>
      <c r="J244" s="8" cm="1">
        <f t="array" aca="1" ref="J244" ca="1">IF(ROW()-2&gt;7, (C244/INDIRECT("C"&amp;ROW()-7))-1, "")</f>
        <v>5.2083334332598819E-2</v>
      </c>
      <c r="K244" s="8" cm="1">
        <f t="array" aca="1" ref="K244" ca="1">IF(ROW()-2&gt;7, (H244/INDIRECT("H"&amp;ROW()-7))-1, "")</f>
        <v>-0.11223955456262158</v>
      </c>
      <c r="L244" s="8">
        <f>IF(D244&gt;0, D244/C244, 0)</f>
        <v>0.24249998164992312</v>
      </c>
      <c r="M244" s="8">
        <f>IF(D244&gt;0, E244/D244, 0)</f>
        <v>0.39999988719936513</v>
      </c>
      <c r="N244" s="8">
        <f>IF(E244&gt;0, F244/E244, 0)</f>
        <v>0.71540015801493384</v>
      </c>
      <c r="O244" s="8">
        <f>IF(F244&gt;0, G244/F244, 0)</f>
        <v>0.79539970265136961</v>
      </c>
      <c r="P244" s="8" cm="1">
        <f t="array" aca="1" ref="P244" ca="1">IF(ROW()-2&gt;1, (L244/INDIRECT("L"&amp;ROW()-1))-1, "")</f>
        <v>-1.0204102431616402E-2</v>
      </c>
      <c r="Q244" s="8" cm="1">
        <f t="array" aca="1" ref="Q244" ca="1">IF(ROW()-2&gt;1, (M244/INDIRECT("M"&amp;ROW()-1))-1, "")</f>
        <v>2.040814308872374E-2</v>
      </c>
      <c r="R244" s="8" cm="1">
        <f t="array" aca="1" ref="R244" ca="1">IF(ROW()-2&gt;1, (N244/INDIRECT("N"&amp;ROW()-1))-1, "")</f>
        <v>-6.6666581445952167E-2</v>
      </c>
      <c r="S244" s="8" cm="1">
        <f t="array" aca="1" ref="S244" ca="1">IF(ROW()-2&gt;1, (O244/INDIRECT("O"&amp;ROW()-1))-1, "")</f>
        <v>-4.90197195160893E-2</v>
      </c>
    </row>
    <row r="245" spans="2:19" x14ac:dyDescent="0.35">
      <c r="B245" s="3">
        <v>43708</v>
      </c>
      <c r="C245" s="4">
        <v>45338648</v>
      </c>
      <c r="D245" s="4">
        <v>9235482</v>
      </c>
      <c r="E245" s="4">
        <v>3265666</v>
      </c>
      <c r="F245" s="4">
        <v>2176240</v>
      </c>
      <c r="G245" s="4">
        <v>1663518</v>
      </c>
      <c r="H245" s="8">
        <f>IF(C245&gt;0, G245/C245, 0)</f>
        <v>3.6690948525858115E-2</v>
      </c>
      <c r="I245" s="8" cm="1">
        <f t="array" aca="1" ref="I245" ca="1">IF(ROW()-2&gt;7, (G245/INDIRECT("G"&amp;ROW()-7))-1, "")</f>
        <v>2.158414759290106E-2</v>
      </c>
      <c r="J245" s="8" cm="1">
        <f t="array" aca="1" ref="J245" ca="1">IF(ROW()-2&gt;7, (C245/INDIRECT("C"&amp;ROW()-7))-1, "")</f>
        <v>5.2083344935833553E-2</v>
      </c>
      <c r="K245" s="8" cm="1">
        <f t="array" aca="1" ref="K245" ca="1">IF(ROW()-2&gt;7, (H245/INDIRECT("H"&amp;ROW()-7))-1, "")</f>
        <v>-2.8989335768633939E-2</v>
      </c>
      <c r="L245" s="8">
        <f>IF(D245&gt;0, D245/C245, 0)</f>
        <v>0.20369998681919232</v>
      </c>
      <c r="M245" s="8">
        <f>IF(D245&gt;0, E245/D245, 0)</f>
        <v>0.35359995287739177</v>
      </c>
      <c r="N245" s="8">
        <f>IF(E245&gt;0, F245/E245, 0)</f>
        <v>0.66640005438400618</v>
      </c>
      <c r="O245" s="8">
        <f>IF(F245&gt;0, G245/F245, 0)</f>
        <v>0.76440006616917255</v>
      </c>
      <c r="P245" s="8" cm="1">
        <f t="array" aca="1" ref="P245" ca="1">IF(ROW()-2&gt;1, (L245/INDIRECT("L"&amp;ROW()-1))-1, "")</f>
        <v>-0.15999999079069249</v>
      </c>
      <c r="Q245" s="8" cm="1">
        <f t="array" aca="1" ref="Q245" ca="1">IF(ROW()-2&gt;1, (M245/INDIRECT("M"&amp;ROW()-1))-1, "")</f>
        <v>-0.11599986851708044</v>
      </c>
      <c r="R245" s="8" cm="1">
        <f t="array" aca="1" ref="R245" ca="1">IF(ROW()-2&gt;1, (N245/INDIRECT("N"&amp;ROW()-1))-1, "")</f>
        <v>-6.8493280413707724E-2</v>
      </c>
      <c r="S245" s="8" cm="1">
        <f t="array" aca="1" ref="S245" ca="1">IF(ROW()-2&gt;1, (O245/INDIRECT("O"&amp;ROW()-1))-1, "")</f>
        <v>-3.8973658625799712E-2</v>
      </c>
    </row>
    <row r="246" spans="2:19" x14ac:dyDescent="0.35">
      <c r="B246" s="3">
        <v>43709</v>
      </c>
      <c r="C246" s="4">
        <v>42645263</v>
      </c>
      <c r="D246" s="4">
        <v>9224170</v>
      </c>
      <c r="E246" s="4">
        <v>3261666</v>
      </c>
      <c r="F246" s="4">
        <v>2217933</v>
      </c>
      <c r="G246" s="4">
        <v>1660788</v>
      </c>
      <c r="H246" s="8">
        <f>IF(C246&gt;0, G246/C246, 0)</f>
        <v>3.8944255074707827E-2</v>
      </c>
      <c r="I246" s="8" cm="1">
        <f t="array" aca="1" ref="I246" ca="1">IF(ROW()-2&gt;7, (G246/INDIRECT("G"&amp;ROW()-7))-1, "")</f>
        <v>-6.9493243300028373E-2</v>
      </c>
      <c r="J246" s="8" cm="1">
        <f t="array" aca="1" ref="J246" ca="1">IF(ROW()-2&gt;7, (C246/INDIRECT("C"&amp;ROW()-7))-1, "")</f>
        <v>-4.0404039949458181E-2</v>
      </c>
      <c r="K246" s="8" cm="1">
        <f t="array" aca="1" ref="K246" ca="1">IF(ROW()-2&gt;7, (H246/INDIRECT("H"&amp;ROW()-7))-1, "")</f>
        <v>-3.0314011898338933E-2</v>
      </c>
      <c r="L246" s="8">
        <f>IF(D246&gt;0, D246/C246, 0)</f>
        <v>0.21629999092748003</v>
      </c>
      <c r="M246" s="8">
        <f>IF(D246&gt;0, E246/D246, 0)</f>
        <v>0.3535999444936509</v>
      </c>
      <c r="N246" s="8">
        <f>IF(E246&gt;0, F246/E246, 0)</f>
        <v>0.68000003679101417</v>
      </c>
      <c r="O246" s="8">
        <f>IF(F246&gt;0, G246/F246, 0)</f>
        <v>0.74879989611949505</v>
      </c>
      <c r="P246" s="8" cm="1">
        <f t="array" aca="1" ref="P246" ca="1">IF(ROW()-2&gt;1, (L246/INDIRECT("L"&amp;ROW()-1))-1, "")</f>
        <v>6.1855694273911244E-2</v>
      </c>
      <c r="Q246" s="8" cm="1">
        <f t="array" aca="1" ref="Q246" ca="1">IF(ROW()-2&gt;1, (M246/INDIRECT("M"&amp;ROW()-1))-1, "")</f>
        <v>-2.3709677554606401E-8</v>
      </c>
      <c r="R246" s="8" cm="1">
        <f t="array" aca="1" ref="R246" ca="1">IF(ROW()-2&gt;1, (N246/INDIRECT("N"&amp;ROW()-1))-1, "")</f>
        <v>2.0408135199777577E-2</v>
      </c>
      <c r="S246" s="8" cm="1">
        <f t="array" aca="1" ref="S246" ca="1">IF(ROW()-2&gt;1, (O246/INDIRECT("O"&amp;ROW()-1))-1, "")</f>
        <v>-2.0408383960323961E-2</v>
      </c>
    </row>
    <row r="247" spans="2:19" x14ac:dyDescent="0.35">
      <c r="B247" s="3">
        <v>43710</v>
      </c>
      <c r="C247" s="4">
        <v>22803207</v>
      </c>
      <c r="D247" s="4">
        <v>5529777</v>
      </c>
      <c r="E247" s="4">
        <v>2278268</v>
      </c>
      <c r="F247" s="4">
        <v>1696398</v>
      </c>
      <c r="G247" s="4">
        <v>1335405</v>
      </c>
      <c r="H247" s="8">
        <f>IF(C247&gt;0, G247/C247, 0)</f>
        <v>5.8562157507055915E-2</v>
      </c>
      <c r="I247" s="8" cm="1">
        <f t="array" aca="1" ref="I247" ca="1">IF(ROW()-2&gt;7, (G247/INDIRECT("G"&amp;ROW()-7))-1, "")</f>
        <v>5.9740946129111183E-2</v>
      </c>
      <c r="J247" s="8" cm="1">
        <f t="array" aca="1" ref="J247" ca="1">IF(ROW()-2&gt;7, (C247/INDIRECT("C"&amp;ROW()-7))-1, "")</f>
        <v>1.9417484842767951E-2</v>
      </c>
      <c r="K247" s="8" cm="1">
        <f t="array" aca="1" ref="K247" ca="1">IF(ROW()-2&gt;7, (H247/INDIRECT("H"&amp;ROW()-7))-1, "")</f>
        <v>3.9555395003414651E-2</v>
      </c>
      <c r="L247" s="8">
        <f>IF(D247&gt;0, D247/C247, 0)</f>
        <v>0.24249996941219715</v>
      </c>
      <c r="M247" s="8">
        <f>IF(D247&gt;0, E247/D247, 0)</f>
        <v>0.41199997757594925</v>
      </c>
      <c r="N247" s="8">
        <f>IF(E247&gt;0, F247/E247, 0)</f>
        <v>0.7445998451455228</v>
      </c>
      <c r="O247" s="8">
        <f>IF(F247&gt;0, G247/F247, 0)</f>
        <v>0.78720029144104153</v>
      </c>
      <c r="P247" s="8" cm="1">
        <f t="array" aca="1" ref="P247" ca="1">IF(ROW()-2&gt;1, (L247/INDIRECT("L"&amp;ROW()-1))-1, "")</f>
        <v>0.12112796848660667</v>
      </c>
      <c r="Q247" s="8" cm="1">
        <f t="array" aca="1" ref="Q247" ca="1">IF(ROW()-2&gt;1, (M247/INDIRECT("M"&amp;ROW()-1))-1, "")</f>
        <v>0.16515849052500897</v>
      </c>
      <c r="R247" s="8" cm="1">
        <f t="array" aca="1" ref="R247" ca="1">IF(ROW()-2&gt;1, (N247/INDIRECT("N"&amp;ROW()-1))-1, "")</f>
        <v>9.4999713028489419E-2</v>
      </c>
      <c r="S247" s="8" cm="1">
        <f t="array" aca="1" ref="S247" ca="1">IF(ROW()-2&gt;1, (O247/INDIRECT("O"&amp;ROW()-1))-1, "")</f>
        <v>5.1282586336548475E-2</v>
      </c>
    </row>
    <row r="248" spans="2:19" x14ac:dyDescent="0.35">
      <c r="B248" s="3">
        <v>43711</v>
      </c>
      <c r="C248" s="4">
        <v>22586034</v>
      </c>
      <c r="D248" s="4">
        <v>5702973</v>
      </c>
      <c r="E248" s="4">
        <v>2167129</v>
      </c>
      <c r="F248" s="4">
        <v>1502904</v>
      </c>
      <c r="G248" s="4">
        <v>1170762</v>
      </c>
      <c r="H248" s="8">
        <f>IF(C248&gt;0, G248/C248, 0)</f>
        <v>5.1835660922143305E-2</v>
      </c>
      <c r="I248" s="8" cm="1">
        <f t="array" aca="1" ref="I248" ca="1">IF(ROW()-2&gt;7, (G248/INDIRECT("G"&amp;ROW()-7))-1, "")</f>
        <v>1.7803444891387521E-2</v>
      </c>
      <c r="J248" s="8" cm="1">
        <f t="array" aca="1" ref="J248" ca="1">IF(ROW()-2&gt;7, (C248/INDIRECT("C"&amp;ROW()-7))-1, "")</f>
        <v>8.3333373303954517E-2</v>
      </c>
      <c r="K248" s="8" cm="1">
        <f t="array" aca="1" ref="K248" ca="1">IF(ROW()-2&gt;7, (H248/INDIRECT("H"&amp;ROW()-7))-1, "")</f>
        <v>-6.048916245671776E-2</v>
      </c>
      <c r="L248" s="8">
        <f>IF(D248&gt;0, D248/C248, 0)</f>
        <v>0.25249997409903835</v>
      </c>
      <c r="M248" s="8">
        <f>IF(D248&gt;0, E248/D248, 0)</f>
        <v>0.37999987024311704</v>
      </c>
      <c r="N248" s="8">
        <f>IF(E248&gt;0, F248/E248, 0)</f>
        <v>0.6935000177654399</v>
      </c>
      <c r="O248" s="8">
        <f>IF(F248&gt;0, G248/F248, 0)</f>
        <v>0.77899985627824531</v>
      </c>
      <c r="P248" s="8" cm="1">
        <f t="array" aca="1" ref="P248" ca="1">IF(ROW()-2&gt;1, (L248/INDIRECT("L"&amp;ROW()-1))-1, "")</f>
        <v>4.1237137930699497E-2</v>
      </c>
      <c r="Q248" s="8" cm="1">
        <f t="array" aca="1" ref="Q248" ca="1">IF(ROW()-2&gt;1, (M248/INDIRECT("M"&amp;ROW()-1))-1, "")</f>
        <v>-7.7670167656582523E-2</v>
      </c>
      <c r="R248" s="8" cm="1">
        <f t="array" aca="1" ref="R248" ca="1">IF(ROW()-2&gt;1, (N248/INDIRECT("N"&amp;ROW()-1))-1, "")</f>
        <v>-6.8627233423740552E-2</v>
      </c>
      <c r="S248" s="8" cm="1">
        <f t="array" aca="1" ref="S248" ca="1">IF(ROW()-2&gt;1, (O248/INDIRECT("O"&amp;ROW()-1))-1, "")</f>
        <v>-1.0417215608221619E-2</v>
      </c>
    </row>
    <row r="249" spans="2:19" x14ac:dyDescent="0.35">
      <c r="B249" s="3">
        <v>43712</v>
      </c>
      <c r="C249" s="4">
        <v>22368860</v>
      </c>
      <c r="D249" s="4">
        <v>5592215</v>
      </c>
      <c r="E249" s="4">
        <v>2259254</v>
      </c>
      <c r="F249" s="4">
        <v>1566793</v>
      </c>
      <c r="G249" s="4">
        <v>1310465</v>
      </c>
      <c r="H249" s="8">
        <f>IF(C249&gt;0, G249/C249, 0)</f>
        <v>5.8584344486039969E-2</v>
      </c>
      <c r="I249" s="8" cm="1">
        <f t="array" aca="1" ref="I249" ca="1">IF(ROW()-2&gt;7, (G249/INDIRECT("G"&amp;ROW()-7))-1, "")</f>
        <v>-7.7849068606202554E-2</v>
      </c>
      <c r="J249" s="8" cm="1">
        <f t="array" aca="1" ref="J249" ca="1">IF(ROW()-2&gt;7, (C249/INDIRECT("C"&amp;ROW()-7))-1, "")</f>
        <v>1.9801989677181275E-2</v>
      </c>
      <c r="K249" s="8" cm="1">
        <f t="array" aca="1" ref="K249" ca="1">IF(ROW()-2&gt;7, (H249/INDIRECT("H"&amp;ROW()-7))-1, "")</f>
        <v>-9.575492033928612E-2</v>
      </c>
      <c r="L249" s="8">
        <f>IF(D249&gt;0, D249/C249, 0)</f>
        <v>0.25</v>
      </c>
      <c r="M249" s="8">
        <f>IF(D249&gt;0, E249/D249, 0)</f>
        <v>0.40399984621478252</v>
      </c>
      <c r="N249" s="8">
        <f>IF(E249&gt;0, F249/E249, 0)</f>
        <v>0.69350015536101739</v>
      </c>
      <c r="O249" s="8">
        <f>IF(F249&gt;0, G249/F249, 0)</f>
        <v>0.83639957543849119</v>
      </c>
      <c r="P249" s="8" cm="1">
        <f t="array" aca="1" ref="P249" ca="1">IF(ROW()-2&gt;1, (L249/INDIRECT("L"&amp;ROW()-1))-1, "")</f>
        <v>-9.9008885365579058E-3</v>
      </c>
      <c r="Q249" s="8" cm="1">
        <f t="array" aca="1" ref="Q249" ca="1">IF(ROW()-2&gt;1, (M249/INDIRECT("M"&amp;ROW()-1))-1, "")</f>
        <v>6.3157853070609615E-2</v>
      </c>
      <c r="R249" s="8" cm="1">
        <f t="array" aca="1" ref="R249" ca="1">IF(ROW()-2&gt;1, (N249/INDIRECT("N"&amp;ROW()-1))-1, "")</f>
        <v>1.9840746068311432E-7</v>
      </c>
      <c r="S249" s="8" cm="1">
        <f t="array" aca="1" ref="S249" ca="1">IF(ROW()-2&gt;1, (O249/INDIRECT("O"&amp;ROW()-1))-1, "")</f>
        <v>7.3683863607471256E-2</v>
      </c>
    </row>
    <row r="250" spans="2:19" x14ac:dyDescent="0.35">
      <c r="B250" s="3">
        <v>43713</v>
      </c>
      <c r="C250" s="4">
        <v>20631473</v>
      </c>
      <c r="D250" s="4">
        <v>5261025</v>
      </c>
      <c r="E250" s="4">
        <v>2146498</v>
      </c>
      <c r="F250" s="4">
        <v>1598282</v>
      </c>
      <c r="G250" s="4">
        <v>1284380</v>
      </c>
      <c r="H250" s="8">
        <f>IF(C250&gt;0, G250/C250, 0)</f>
        <v>6.22534319289757E-2</v>
      </c>
      <c r="I250" s="8" cm="1">
        <f t="array" aca="1" ref="I250" ca="1">IF(ROW()-2&gt;7, (G250/INDIRECT("G"&amp;ROW()-7))-1, "")</f>
        <v>-1.9872239532180869E-2</v>
      </c>
      <c r="J250" s="8" cm="1">
        <f t="array" aca="1" ref="J250" ca="1">IF(ROW()-2&gt;7, (C250/INDIRECT("C"&amp;ROW()-7))-1, "")</f>
        <v>-3.061223578845329E-2</v>
      </c>
      <c r="K250" s="8" cm="1">
        <f t="array" aca="1" ref="K250" ca="1">IF(ROW()-2&gt;7, (H250/INDIRECT("H"&amp;ROW()-7))-1, "")</f>
        <v>1.1079153928673646E-2</v>
      </c>
      <c r="L250" s="8">
        <f>IF(D250&gt;0, D250/C250, 0)</f>
        <v>0.25499997019117343</v>
      </c>
      <c r="M250" s="8">
        <f>IF(D250&gt;0, E250/D250, 0)</f>
        <v>0.40799996198459426</v>
      </c>
      <c r="N250" s="8">
        <f>IF(E250&gt;0, F250/E250, 0)</f>
        <v>0.74459980861850328</v>
      </c>
      <c r="O250" s="8">
        <f>IF(F250&gt;0, G250/F250, 0)</f>
        <v>0.80360036589287742</v>
      </c>
      <c r="P250" s="8" cm="1">
        <f t="array" aca="1" ref="P250" ca="1">IF(ROW()-2&gt;1, (L250/INDIRECT("L"&amp;ROW()-1))-1, "")</f>
        <v>1.9999880764693723E-2</v>
      </c>
      <c r="Q250" s="8" cm="1">
        <f t="array" aca="1" ref="Q250" ca="1">IF(ROW()-2&gt;1, (M250/INDIRECT("M"&amp;ROW()-1))-1, "")</f>
        <v>9.9012804269364985E-3</v>
      </c>
      <c r="R250" s="8" cm="1">
        <f t="array" aca="1" ref="R250" ca="1">IF(ROW()-2&gt;1, (N250/INDIRECT("N"&amp;ROW()-1))-1, "")</f>
        <v>7.3683694030154623E-2</v>
      </c>
      <c r="S250" s="8" cm="1">
        <f t="array" aca="1" ref="S250" ca="1">IF(ROW()-2&gt;1, (O250/INDIRECT("O"&amp;ROW()-1))-1, "")</f>
        <v>-3.9214761112735474E-2</v>
      </c>
    </row>
    <row r="251" spans="2:19" x14ac:dyDescent="0.35">
      <c r="B251" s="3">
        <v>43714</v>
      </c>
      <c r="C251" s="4">
        <v>20848646</v>
      </c>
      <c r="D251" s="4">
        <v>5264283</v>
      </c>
      <c r="E251" s="4">
        <v>2084656</v>
      </c>
      <c r="F251" s="4">
        <v>1460927</v>
      </c>
      <c r="G251" s="4">
        <v>1233898</v>
      </c>
      <c r="H251" s="8">
        <f>IF(C251&gt;0, G251/C251, 0)</f>
        <v>5.9183603577901416E-2</v>
      </c>
      <c r="I251" s="8" cm="1">
        <f t="array" aca="1" ref="I251" ca="1">IF(ROW()-2&gt;7, (G251/INDIRECT("G"&amp;ROW()-7))-1, "")</f>
        <v>1.9166708653638898E-2</v>
      </c>
      <c r="J251" s="8" cm="1">
        <f t="array" aca="1" ref="J251" ca="1">IF(ROW()-2&gt;7, (C251/INDIRECT("C"&amp;ROW()-7))-1, "")</f>
        <v>-4.9504951397826846E-2</v>
      </c>
      <c r="K251" s="8" cm="1">
        <f t="array" aca="1" ref="K251" ca="1">IF(ROW()-2&gt;7, (H251/INDIRECT("H"&amp;ROW()-7))-1, "")</f>
        <v>7.2248309081100803E-2</v>
      </c>
      <c r="L251" s="8">
        <f>IF(D251&gt;0, D251/C251, 0)</f>
        <v>0.25249999448405425</v>
      </c>
      <c r="M251" s="8">
        <f>IF(D251&gt;0, E251/D251, 0)</f>
        <v>0.3959999870827613</v>
      </c>
      <c r="N251" s="8">
        <f>IF(E251&gt;0, F251/E251, 0)</f>
        <v>0.70080003607309793</v>
      </c>
      <c r="O251" s="8">
        <f>IF(F251&gt;0, G251/F251, 0)</f>
        <v>0.84459935369802874</v>
      </c>
      <c r="P251" s="8" cm="1">
        <f t="array" aca="1" ref="P251" ca="1">IF(ROW()-2&gt;1, (L251/INDIRECT("L"&amp;ROW()-1))-1, "")</f>
        <v>-9.8038274484697485E-3</v>
      </c>
      <c r="Q251" s="8" cm="1">
        <f t="array" aca="1" ref="Q251" ca="1">IF(ROW()-2&gt;1, (M251/INDIRECT("M"&amp;ROW()-1))-1, "")</f>
        <v>-2.9411705931203236E-2</v>
      </c>
      <c r="R251" s="8" cm="1">
        <f t="array" aca="1" ref="R251" ca="1">IF(ROW()-2&gt;1, (N251/INDIRECT("N"&amp;ROW()-1))-1, "")</f>
        <v>-5.882323905866893E-2</v>
      </c>
      <c r="S251" s="8" cm="1">
        <f t="array" aca="1" ref="S251" ca="1">IF(ROW()-2&gt;1, (O251/INDIRECT("O"&amp;ROW()-1))-1, "")</f>
        <v>5.1019125357910422E-2</v>
      </c>
    </row>
    <row r="252" spans="2:19" x14ac:dyDescent="0.35">
      <c r="B252" s="3">
        <v>43715</v>
      </c>
      <c r="C252" s="4">
        <v>46685340</v>
      </c>
      <c r="D252" s="4">
        <v>9313725</v>
      </c>
      <c r="E252" s="4">
        <v>3135000</v>
      </c>
      <c r="F252" s="4">
        <v>2025210</v>
      </c>
      <c r="G252" s="4">
        <v>1500680</v>
      </c>
      <c r="H252" s="8">
        <f>IF(C252&gt;0, G252/C252, 0)</f>
        <v>3.2144566152886536E-2</v>
      </c>
      <c r="I252" s="8" cm="1">
        <f t="array" aca="1" ref="I252" ca="1">IF(ROW()-2&gt;7, (G252/INDIRECT("G"&amp;ROW()-7))-1, "")</f>
        <v>-9.7887729498568721E-2</v>
      </c>
      <c r="J252" s="8" cm="1">
        <f t="array" aca="1" ref="J252" ca="1">IF(ROW()-2&gt;7, (C252/INDIRECT("C"&amp;ROW()-7))-1, "")</f>
        <v>2.9702958941342894E-2</v>
      </c>
      <c r="K252" s="8" cm="1">
        <f t="array" aca="1" ref="K252" ca="1">IF(ROW()-2&gt;7, (H252/INDIRECT("H"&amp;ROW()-7))-1, "")</f>
        <v>-0.12391018917833363</v>
      </c>
      <c r="L252" s="8">
        <f>IF(D252&gt;0, D252/C252, 0)</f>
        <v>0.19949999293139989</v>
      </c>
      <c r="M252" s="8">
        <f>IF(D252&gt;0, E252/D252, 0)</f>
        <v>0.3366000177157904</v>
      </c>
      <c r="N252" s="8">
        <f>IF(E252&gt;0, F252/E252, 0)</f>
        <v>0.64600000000000002</v>
      </c>
      <c r="O252" s="8">
        <f>IF(F252&gt;0, G252/F252, 0)</f>
        <v>0.74099969879666805</v>
      </c>
      <c r="P252" s="8" cm="1">
        <f t="array" aca="1" ref="P252" ca="1">IF(ROW()-2&gt;1, (L252/INDIRECT("L"&amp;ROW()-1))-1, "")</f>
        <v>-0.20990100083349261</v>
      </c>
      <c r="Q252" s="8" cm="1">
        <f t="array" aca="1" ref="Q252" ca="1">IF(ROW()-2&gt;1, (M252/INDIRECT("M"&amp;ROW()-1))-1, "")</f>
        <v>-0.14999992753675695</v>
      </c>
      <c r="R252" s="8" cm="1">
        <f t="array" aca="1" ref="R252" ca="1">IF(ROW()-2&gt;1, (N252/INDIRECT("N"&amp;ROW()-1))-1, "")</f>
        <v>-7.8196394481038434E-2</v>
      </c>
      <c r="S252" s="8" cm="1">
        <f t="array" aca="1" ref="S252" ca="1">IF(ROW()-2&gt;1, (O252/INDIRECT("O"&amp;ROW()-1))-1, "")</f>
        <v>-0.12266130023395794</v>
      </c>
    </row>
    <row r="253" spans="2:19" x14ac:dyDescent="0.35">
      <c r="B253" s="3">
        <v>43716</v>
      </c>
      <c r="C253" s="4">
        <v>43094160</v>
      </c>
      <c r="D253" s="4">
        <v>9230769</v>
      </c>
      <c r="E253" s="4">
        <v>3169846</v>
      </c>
      <c r="F253" s="4">
        <v>2133940</v>
      </c>
      <c r="G253" s="4">
        <v>1697763</v>
      </c>
      <c r="H253" s="8">
        <f>IF(C253&gt;0, G253/C253, 0)</f>
        <v>3.9396591092621364E-2</v>
      </c>
      <c r="I253" s="8" cm="1">
        <f t="array" aca="1" ref="I253" ca="1">IF(ROW()-2&gt;7, (G253/INDIRECT("G"&amp;ROW()-7))-1, "")</f>
        <v>2.2263527915664216E-2</v>
      </c>
      <c r="J253" s="8" cm="1">
        <f t="array" aca="1" ref="J253" ca="1">IF(ROW()-2&gt;7, (C253/INDIRECT("C"&amp;ROW()-7))-1, "")</f>
        <v>1.0526303941424953E-2</v>
      </c>
      <c r="K253" s="8" cm="1">
        <f t="array" aca="1" ref="K253" ca="1">IF(ROW()-2&gt;7, (H253/INDIRECT("H"&amp;ROW()-7))-1, "")</f>
        <v>1.1614961360688625E-2</v>
      </c>
      <c r="L253" s="8">
        <f>IF(D253&gt;0, D253/C253, 0)</f>
        <v>0.21419999832923997</v>
      </c>
      <c r="M253" s="8">
        <f>IF(D253&gt;0, E253/D253, 0)</f>
        <v>0.34339999191833315</v>
      </c>
      <c r="N253" s="8">
        <f>IF(E253&gt;0, F253/E253, 0)</f>
        <v>0.67319989677731973</v>
      </c>
      <c r="O253" s="8">
        <f>IF(F253&gt;0, G253/F253, 0)</f>
        <v>0.79560015745522372</v>
      </c>
      <c r="P253" s="8" cm="1">
        <f t="array" aca="1" ref="P253" ca="1">IF(ROW()-2&gt;1, (L253/INDIRECT("L"&amp;ROW()-1))-1, "")</f>
        <v>7.3684240193907291E-2</v>
      </c>
      <c r="Q253" s="8" cm="1">
        <f t="array" aca="1" ref="Q253" ca="1">IF(ROW()-2&gt;1, (M253/INDIRECT("M"&amp;ROW()-1))-1, "")</f>
        <v>2.0201942497472869E-2</v>
      </c>
      <c r="R253" s="8" cm="1">
        <f t="array" aca="1" ref="R253" ca="1">IF(ROW()-2&gt;1, (N253/INDIRECT("N"&amp;ROW()-1))-1, "")</f>
        <v>4.2105103370464025E-2</v>
      </c>
      <c r="S253" s="8" cm="1">
        <f t="array" aca="1" ref="S253" ca="1">IF(ROW()-2&gt;1, (O253/INDIRECT("O"&amp;ROW()-1))-1, "")</f>
        <v>7.3684859450311446E-2</v>
      </c>
    </row>
    <row r="254" spans="2:19" x14ac:dyDescent="0.35">
      <c r="B254" s="3">
        <v>43717</v>
      </c>
      <c r="C254" s="4">
        <v>21717340</v>
      </c>
      <c r="D254" s="4">
        <v>5375041</v>
      </c>
      <c r="E254" s="4">
        <v>2257517</v>
      </c>
      <c r="F254" s="4">
        <v>1697427</v>
      </c>
      <c r="G254" s="4">
        <v>1419728</v>
      </c>
      <c r="H254" s="8">
        <f>IF(C254&gt;0, G254/C254, 0)</f>
        <v>6.5373015295611708E-2</v>
      </c>
      <c r="I254" s="8" cm="1">
        <f t="array" aca="1" ref="I254" ca="1">IF(ROW()-2&gt;7, (G254/INDIRECT("G"&amp;ROW()-7))-1, "")</f>
        <v>6.3144139792796983E-2</v>
      </c>
      <c r="J254" s="8" cm="1">
        <f t="array" aca="1" ref="J254" ca="1">IF(ROW()-2&gt;7, (C254/INDIRECT("C"&amp;ROW()-7))-1, "")</f>
        <v>-4.7619047619047672E-2</v>
      </c>
      <c r="K254" s="8" cm="1">
        <f t="array" aca="1" ref="K254" ca="1">IF(ROW()-2&gt;7, (H254/INDIRECT("H"&amp;ROW()-7))-1, "")</f>
        <v>0.11630134678243675</v>
      </c>
      <c r="L254" s="8">
        <f>IF(D254&gt;0, D254/C254, 0)</f>
        <v>0.24749997006999935</v>
      </c>
      <c r="M254" s="8">
        <f>IF(D254&gt;0, E254/D254, 0)</f>
        <v>0.41999995907007964</v>
      </c>
      <c r="N254" s="8">
        <f>IF(E254&gt;0, F254/E254, 0)</f>
        <v>0.75189998569224503</v>
      </c>
      <c r="O254" s="8">
        <f>IF(F254&gt;0, G254/F254, 0)</f>
        <v>0.83640003369806182</v>
      </c>
      <c r="P254" s="8" cm="1">
        <f t="array" aca="1" ref="P254" ca="1">IF(ROW()-2&gt;1, (L254/INDIRECT("L"&amp;ROW()-1))-1, "")</f>
        <v>0.15546205415732572</v>
      </c>
      <c r="Q254" s="8" cm="1">
        <f t="array" aca="1" ref="Q254" ca="1">IF(ROW()-2&gt;1, (M254/INDIRECT("M"&amp;ROW()-1))-1, "")</f>
        <v>0.22306339241255246</v>
      </c>
      <c r="R254" s="8" cm="1">
        <f t="array" aca="1" ref="R254" ca="1">IF(ROW()-2&gt;1, (N254/INDIRECT("N"&amp;ROW()-1))-1, "")</f>
        <v>0.11690448749572169</v>
      </c>
      <c r="S254" s="8" cm="1">
        <f t="array" aca="1" ref="S254" ca="1">IF(ROW()-2&gt;1, (O254/INDIRECT("O"&amp;ROW()-1))-1, "")</f>
        <v>5.1281885580992226E-2</v>
      </c>
    </row>
    <row r="255" spans="2:19" x14ac:dyDescent="0.35">
      <c r="B255" s="3">
        <v>43718</v>
      </c>
      <c r="C255" s="4">
        <v>22368860</v>
      </c>
      <c r="D255" s="4">
        <v>5480370</v>
      </c>
      <c r="E255" s="4">
        <v>2126383</v>
      </c>
      <c r="F255" s="4">
        <v>1505692</v>
      </c>
      <c r="G255" s="4">
        <v>1185281</v>
      </c>
      <c r="H255" s="8">
        <f>IF(C255&gt;0, G255/C255, 0)</f>
        <v>5.2987993129734817E-2</v>
      </c>
      <c r="I255" s="8" cm="1">
        <f t="array" aca="1" ref="I255" ca="1">IF(ROW()-2&gt;7, (G255/INDIRECT("G"&amp;ROW()-7))-1, "")</f>
        <v>1.2401324949050219E-2</v>
      </c>
      <c r="J255" s="8" cm="1">
        <f t="array" aca="1" ref="J255" ca="1">IF(ROW()-2&gt;7, (C255/INDIRECT("C"&amp;ROW()-7))-1, "")</f>
        <v>-9.6154110101844825E-3</v>
      </c>
      <c r="K255" s="8" cm="1">
        <f t="array" aca="1" ref="K255" ca="1">IF(ROW()-2&gt;7, (H255/INDIRECT("H"&amp;ROW()-7))-1, "")</f>
        <v>2.2230491269751518E-2</v>
      </c>
      <c r="L255" s="8">
        <f>IF(D255&gt;0, D255/C255, 0)</f>
        <v>0.24499996870649643</v>
      </c>
      <c r="M255" s="8">
        <f>IF(D255&gt;0, E255/D255, 0)</f>
        <v>0.38799989781711819</v>
      </c>
      <c r="N255" s="8">
        <f>IF(E255&gt;0, F255/E255, 0)</f>
        <v>0.70810009297478393</v>
      </c>
      <c r="O255" s="8">
        <f>IF(F255&gt;0, G255/F255, 0)</f>
        <v>0.7872001710841261</v>
      </c>
      <c r="P255" s="8" cm="1">
        <f t="array" aca="1" ref="P255" ca="1">IF(ROW()-2&gt;1, (L255/INDIRECT("L"&amp;ROW()-1))-1, "")</f>
        <v>-1.0101016831621679E-2</v>
      </c>
      <c r="Q255" s="8" cm="1">
        <f t="array" aca="1" ref="Q255" ca="1">IF(ROW()-2&gt;1, (M255/INDIRECT("M"&amp;ROW()-1))-1, "")</f>
        <v>-7.6190629455804348E-2</v>
      </c>
      <c r="R255" s="8" cm="1">
        <f t="array" aca="1" ref="R255" ca="1">IF(ROW()-2&gt;1, (N255/INDIRECT("N"&amp;ROW()-1))-1, "")</f>
        <v>-5.8252285611012811E-2</v>
      </c>
      <c r="S255" s="8" cm="1">
        <f t="array" aca="1" ref="S255" ca="1">IF(ROW()-2&gt;1, (O255/INDIRECT("O"&amp;ROW()-1))-1, "")</f>
        <v>-5.8823362783001487E-2</v>
      </c>
    </row>
    <row r="256" spans="2:19" x14ac:dyDescent="0.35">
      <c r="B256" s="3">
        <v>43719</v>
      </c>
      <c r="C256" s="4">
        <v>21065820</v>
      </c>
      <c r="D256" s="4">
        <v>5055796</v>
      </c>
      <c r="E256" s="4">
        <v>1981872</v>
      </c>
      <c r="F256" s="4">
        <v>1504637</v>
      </c>
      <c r="G256" s="4">
        <v>1246140</v>
      </c>
      <c r="H256" s="8">
        <f>IF(C256&gt;0, G256/C256, 0)</f>
        <v>5.9154592605462311E-2</v>
      </c>
      <c r="I256" s="8" cm="1">
        <f t="array" aca="1" ref="I256" ca="1">IF(ROW()-2&gt;7, (G256/INDIRECT("G"&amp;ROW()-7))-1, "")</f>
        <v>-4.9085629909993767E-2</v>
      </c>
      <c r="J256" s="8" cm="1">
        <f t="array" aca="1" ref="J256" ca="1">IF(ROW()-2&gt;7, (C256/INDIRECT("C"&amp;ROW()-7))-1, "")</f>
        <v>-5.8252409823299045E-2</v>
      </c>
      <c r="K256" s="8" cm="1">
        <f t="array" aca="1" ref="K256" ca="1">IF(ROW()-2&gt;7, (H256/INDIRECT("H"&amp;ROW()-7))-1, "")</f>
        <v>9.7337970480873004E-3</v>
      </c>
      <c r="L256" s="8">
        <f>IF(D256&gt;0, D256/C256, 0)</f>
        <v>0.2399999620237902</v>
      </c>
      <c r="M256" s="8">
        <f>IF(D256&gt;0, E256/D256, 0)</f>
        <v>0.39199999367063071</v>
      </c>
      <c r="N256" s="8">
        <f>IF(E256&gt;0, F256/E256, 0)</f>
        <v>0.75919988778286385</v>
      </c>
      <c r="O256" s="8">
        <f>IF(F256&gt;0, G256/F256, 0)</f>
        <v>0.82819975847995231</v>
      </c>
      <c r="P256" s="8" cm="1">
        <f t="array" aca="1" ref="P256" ca="1">IF(ROW()-2&gt;1, (L256/INDIRECT("L"&amp;ROW()-1))-1, "")</f>
        <v>-2.0408193148367726E-2</v>
      </c>
      <c r="Q256" s="8" cm="1">
        <f t="array" aca="1" ref="Q256" ca="1">IF(ROW()-2&gt;1, (M256/INDIRECT("M"&amp;ROW()-1))-1, "")</f>
        <v>1.0309528110747035E-2</v>
      </c>
      <c r="R256" s="8" cm="1">
        <f t="array" aca="1" ref="R256" ca="1">IF(ROW()-2&gt;1, (N256/INDIRECT("N"&amp;ROW()-1))-1, "")</f>
        <v>7.216464920009491E-2</v>
      </c>
      <c r="S256" s="8" cm="1">
        <f t="array" aca="1" ref="S256" ca="1">IF(ROW()-2&gt;1, (O256/INDIRECT("O"&amp;ROW()-1))-1, "")</f>
        <v>5.2082797872568865E-2</v>
      </c>
    </row>
    <row r="257" spans="2:19" x14ac:dyDescent="0.35">
      <c r="B257" s="3">
        <v>43720</v>
      </c>
      <c r="C257" s="4">
        <v>20848646</v>
      </c>
      <c r="D257" s="4">
        <v>5160040</v>
      </c>
      <c r="E257" s="4">
        <v>2022735</v>
      </c>
      <c r="F257" s="4">
        <v>1535660</v>
      </c>
      <c r="G257" s="4">
        <v>1309611</v>
      </c>
      <c r="H257" s="8">
        <f>IF(C257&gt;0, G257/C257, 0)</f>
        <v>6.2815158356087003E-2</v>
      </c>
      <c r="I257" s="8" cm="1">
        <f t="array" aca="1" ref="I257" ca="1">IF(ROW()-2&gt;7, (G257/INDIRECT("G"&amp;ROW()-7))-1, "")</f>
        <v>1.9644497734315314E-2</v>
      </c>
      <c r="J257" s="8" cm="1">
        <f t="array" aca="1" ref="J257" ca="1">IF(ROW()-2&gt;7, (C257/INDIRECT("C"&amp;ROW()-7))-1, "")</f>
        <v>1.0526296401619062E-2</v>
      </c>
      <c r="K257" s="8" cm="1">
        <f t="array" aca="1" ref="K257" ca="1">IF(ROW()-2&gt;7, (H257/INDIRECT("H"&amp;ROW()-7))-1, "")</f>
        <v>9.0232202419324725E-3</v>
      </c>
      <c r="L257" s="8">
        <f>IF(D257&gt;0, D257/C257, 0)</f>
        <v>0.24750000551594573</v>
      </c>
      <c r="M257" s="8">
        <f>IF(D257&gt;0, E257/D257, 0)</f>
        <v>0.39199986821807581</v>
      </c>
      <c r="N257" s="8">
        <f>IF(E257&gt;0, F257/E257, 0)</f>
        <v>0.75919979631538481</v>
      </c>
      <c r="O257" s="8">
        <f>IF(F257&gt;0, G257/F257, 0)</f>
        <v>0.852800098980243</v>
      </c>
      <c r="P257" s="8" cm="1">
        <f t="array" aca="1" ref="P257" ca="1">IF(ROW()-2&gt;1, (L257/INDIRECT("L"&amp;ROW()-1))-1, "")</f>
        <v>3.1250186162163018E-2</v>
      </c>
      <c r="Q257" s="8" cm="1">
        <f t="array" aca="1" ref="Q257" ca="1">IF(ROW()-2&gt;1, (M257/INDIRECT("M"&amp;ROW()-1))-1, "")</f>
        <v>-3.2003203298547334E-7</v>
      </c>
      <c r="R257" s="8" cm="1">
        <f t="array" aca="1" ref="R257" ca="1">IF(ROW()-2&gt;1, (N257/INDIRECT("N"&amp;ROW()-1))-1, "")</f>
        <v>-1.204787836162069E-7</v>
      </c>
      <c r="S257" s="8" cm="1">
        <f t="array" aca="1" ref="S257" ca="1">IF(ROW()-2&gt;1, (O257/INDIRECT("O"&amp;ROW()-1))-1, "")</f>
        <v>2.9703390092073123E-2</v>
      </c>
    </row>
    <row r="258" spans="2:19" x14ac:dyDescent="0.35">
      <c r="B258" s="3">
        <v>43721</v>
      </c>
      <c r="C258" s="4">
        <v>22803207</v>
      </c>
      <c r="D258" s="4">
        <v>5985841</v>
      </c>
      <c r="E258" s="4">
        <v>2322506</v>
      </c>
      <c r="F258" s="4">
        <v>1610658</v>
      </c>
      <c r="G258" s="4">
        <v>1360362</v>
      </c>
      <c r="H258" s="8">
        <f>IF(C258&gt;0, G258/C258, 0)</f>
        <v>5.9656608826995257E-2</v>
      </c>
      <c r="I258" s="8" cm="1">
        <f t="array" aca="1" ref="I258" ca="1">IF(ROW()-2&gt;7, (G258/INDIRECT("G"&amp;ROW()-7))-1, "")</f>
        <v>0.10249145391272219</v>
      </c>
      <c r="J258" s="8" cm="1">
        <f t="array" aca="1" ref="J258" ca="1">IF(ROW()-2&gt;7, (C258/INDIRECT("C"&amp;ROW()-7))-1, "")</f>
        <v>9.3750020984576077E-2</v>
      </c>
      <c r="K258" s="8" cm="1">
        <f t="array" aca="1" ref="K258" ca="1">IF(ROW()-2&gt;7, (H258/INDIRECT("H"&amp;ROW()-7))-1, "")</f>
        <v>7.9921670952536328E-3</v>
      </c>
      <c r="L258" s="8">
        <f>IF(D258&gt;0, D258/C258, 0)</f>
        <v>0.26249996327270986</v>
      </c>
      <c r="M258" s="8">
        <f>IF(D258&gt;0, E258/D258, 0)</f>
        <v>0.387999948545242</v>
      </c>
      <c r="N258" s="8">
        <f>IF(E258&gt;0, F258/E258, 0)</f>
        <v>0.69350003832067608</v>
      </c>
      <c r="O258" s="8">
        <f>IF(F258&gt;0, G258/F258, 0)</f>
        <v>0.84460015720283266</v>
      </c>
      <c r="P258" s="8" cm="1">
        <f t="array" aca="1" ref="P258" ca="1">IF(ROW()-2&gt;1, (L258/INDIRECT("L"&amp;ROW()-1))-1, "")</f>
        <v>6.060588857561755E-2</v>
      </c>
      <c r="Q258" s="8" cm="1">
        <f t="array" aca="1" ref="Q258" ca="1">IF(ROW()-2&gt;1, (M258/INDIRECT("M"&amp;ROW()-1))-1, "")</f>
        <v>-1.0203880146736677E-2</v>
      </c>
      <c r="R258" s="8" cm="1">
        <f t="array" aca="1" ref="R258" ca="1">IF(ROW()-2&gt;1, (N258/INDIRECT("N"&amp;ROW()-1))-1, "")</f>
        <v>-8.6538165992099292E-2</v>
      </c>
      <c r="S258" s="8" cm="1">
        <f t="array" aca="1" ref="S258" ca="1">IF(ROW()-2&gt;1, (O258/INDIRECT("O"&amp;ROW()-1))-1, "")</f>
        <v>-9.6153152271155617E-3</v>
      </c>
    </row>
    <row r="259" spans="2:19" x14ac:dyDescent="0.35">
      <c r="B259" s="3">
        <v>43722</v>
      </c>
      <c r="C259" s="4">
        <v>44440853</v>
      </c>
      <c r="D259" s="4">
        <v>9332579</v>
      </c>
      <c r="E259" s="4">
        <v>1396153</v>
      </c>
      <c r="F259" s="4">
        <v>939890</v>
      </c>
      <c r="G259" s="4">
        <v>696459</v>
      </c>
      <c r="H259" s="8">
        <f>IF(C259&gt;0, G259/C259, 0)</f>
        <v>1.5671593882322647E-2</v>
      </c>
      <c r="I259" s="8" cm="1">
        <f t="array" aca="1" ref="I259" ca="1">IF(ROW()-2&gt;7, (G259/INDIRECT("G"&amp;ROW()-7))-1, "")</f>
        <v>-0.53590439000986212</v>
      </c>
      <c r="J259" s="8" cm="1">
        <f t="array" aca="1" ref="J259" ca="1">IF(ROW()-2&gt;7, (C259/INDIRECT("C"&amp;ROW()-7))-1, "")</f>
        <v>-4.8076912366922908E-2</v>
      </c>
      <c r="K259" s="8" cm="1">
        <f t="array" aca="1" ref="K259" ca="1">IF(ROW()-2&gt;7, (H259/INDIRECT("H"&amp;ROW()-7))-1, "")</f>
        <v>-0.51246522327334754</v>
      </c>
      <c r="L259" s="8">
        <f>IF(D259&gt;0, D259/C259, 0)</f>
        <v>0.20999999707476361</v>
      </c>
      <c r="M259" s="8">
        <f>IF(D259&gt;0, E259/D259, 0)</f>
        <v>0.14959991230719827</v>
      </c>
      <c r="N259" s="8">
        <f>IF(E259&gt;0, F259/E259, 0)</f>
        <v>0.67319985703572605</v>
      </c>
      <c r="O259" s="8">
        <f>IF(F259&gt;0, G259/F259, 0)</f>
        <v>0.74100054261668924</v>
      </c>
      <c r="P259" s="8" cm="1">
        <f t="array" aca="1" ref="P259" ca="1">IF(ROW()-2&gt;1, (L259/INDIRECT("L"&amp;ROW()-1))-1, "")</f>
        <v>-0.19999989921295458</v>
      </c>
      <c r="Q259" s="8" cm="1">
        <f t="array" aca="1" ref="Q259" ca="1">IF(ROW()-2&gt;1, (M259/INDIRECT("M"&amp;ROW()-1))-1, "")</f>
        <v>-0.61443316457101416</v>
      </c>
      <c r="R259" s="8" cm="1">
        <f t="array" aca="1" ref="R259" ca="1">IF(ROW()-2&gt;1, (N259/INDIRECT("N"&amp;ROW()-1))-1, "")</f>
        <v>-2.9272069449494675E-2</v>
      </c>
      <c r="S259" s="8" cm="1">
        <f t="array" aca="1" ref="S259" ca="1">IF(ROW()-2&gt;1, (O259/INDIRECT("O"&amp;ROW()-1))-1, "")</f>
        <v>-0.12266113580803384</v>
      </c>
    </row>
    <row r="260" spans="2:19" x14ac:dyDescent="0.35">
      <c r="B260" s="3">
        <v>43723</v>
      </c>
      <c r="C260" s="4">
        <v>46236443</v>
      </c>
      <c r="D260" s="4">
        <v>9515460</v>
      </c>
      <c r="E260" s="4">
        <v>3364666</v>
      </c>
      <c r="F260" s="4">
        <v>2333732</v>
      </c>
      <c r="G260" s="4">
        <v>1856717</v>
      </c>
      <c r="H260" s="8">
        <f>IF(C260&gt;0, G260/C260, 0)</f>
        <v>4.0157003426928843E-2</v>
      </c>
      <c r="I260" s="8" cm="1">
        <f t="array" aca="1" ref="I260" ca="1">IF(ROW()-2&gt;7, (G260/INDIRECT("G"&amp;ROW()-7))-1, "")</f>
        <v>9.3625553154356611E-2</v>
      </c>
      <c r="J260" s="8" cm="1">
        <f t="array" aca="1" ref="J260" ca="1">IF(ROW()-2&gt;7, (C260/INDIRECT("C"&amp;ROW()-7))-1, "")</f>
        <v>7.2916678269166812E-2</v>
      </c>
      <c r="K260" s="8" cm="1">
        <f t="array" aca="1" ref="K260" ca="1">IF(ROW()-2&gt;7, (H260/INDIRECT("H"&amp;ROW()-7))-1, "")</f>
        <v>1.9301475412422109E-2</v>
      </c>
      <c r="L260" s="8">
        <f>IF(D260&gt;0, D260/C260, 0)</f>
        <v>0.20580000066181561</v>
      </c>
      <c r="M260" s="8">
        <f>IF(D260&gt;0, E260/D260, 0)</f>
        <v>0.35359993105955989</v>
      </c>
      <c r="N260" s="8">
        <f>IF(E260&gt;0, F260/E260, 0)</f>
        <v>0.69359989966314639</v>
      </c>
      <c r="O260" s="8">
        <f>IF(F260&gt;0, G260/F260, 0)</f>
        <v>0.79559992321311956</v>
      </c>
      <c r="P260" s="8" cm="1">
        <f t="array" aca="1" ref="P260" ca="1">IF(ROW()-2&gt;1, (L260/INDIRECT("L"&amp;ROW()-1))-1, "")</f>
        <v>-1.9999983197393711E-2</v>
      </c>
      <c r="Q260" s="8" cm="1">
        <f t="array" aca="1" ref="Q260" ca="1">IF(ROW()-2&gt;1, (M260/INDIRECT("M"&amp;ROW()-1))-1, "")</f>
        <v>1.3636372883257755</v>
      </c>
      <c r="R260" s="8" cm="1">
        <f t="array" aca="1" ref="R260" ca="1">IF(ROW()-2&gt;1, (N260/INDIRECT("N"&amp;ROW()-1))-1, "")</f>
        <v>3.0303100058943988E-2</v>
      </c>
      <c r="S260" s="8" cm="1">
        <f t="array" aca="1" ref="S260" ca="1">IF(ROW()-2&gt;1, (O260/INDIRECT("O"&amp;ROW()-1))-1, "")</f>
        <v>7.3683320667518037E-2</v>
      </c>
    </row>
    <row r="261" spans="2:19" x14ac:dyDescent="0.35">
      <c r="B261" s="3">
        <v>43724</v>
      </c>
      <c r="C261" s="4">
        <v>20631473</v>
      </c>
      <c r="D261" s="4">
        <v>5106289</v>
      </c>
      <c r="E261" s="4">
        <v>1960815</v>
      </c>
      <c r="F261" s="4">
        <v>1445709</v>
      </c>
      <c r="G261" s="4">
        <v>1161771</v>
      </c>
      <c r="H261" s="8">
        <f>IF(C261&gt;0, G261/C261, 0)</f>
        <v>5.631061824814932E-2</v>
      </c>
      <c r="I261" s="8" cm="1">
        <f t="array" aca="1" ref="I261" ca="1">IF(ROW()-2&gt;7, (G261/INDIRECT("G"&amp;ROW()-7))-1, "")</f>
        <v>-0.18169466263960421</v>
      </c>
      <c r="J261" s="8" cm="1">
        <f t="array" aca="1" ref="J261" ca="1">IF(ROW()-2&gt;7, (C261/INDIRECT("C"&amp;ROW()-7))-1, "")</f>
        <v>-5.0000000000000044E-2</v>
      </c>
      <c r="K261" s="8" cm="1">
        <f t="array" aca="1" ref="K261" ca="1">IF(ROW()-2&gt;7, (H261/INDIRECT("H"&amp;ROW()-7))-1, "")</f>
        <v>-0.1386259606732676</v>
      </c>
      <c r="L261" s="8">
        <f>IF(D261&gt;0, D261/C261, 0)</f>
        <v>0.24749997249348119</v>
      </c>
      <c r="M261" s="8">
        <f>IF(D261&gt;0, E261/D261, 0)</f>
        <v>0.38400000470008649</v>
      </c>
      <c r="N261" s="8">
        <f>IF(E261&gt;0, F261/E261, 0)</f>
        <v>0.73730005125419784</v>
      </c>
      <c r="O261" s="8">
        <f>IF(F261&gt;0, G261/F261, 0)</f>
        <v>0.80359947956331457</v>
      </c>
      <c r="P261" s="8" cm="1">
        <f t="array" aca="1" ref="P261" ca="1">IF(ROW()-2&gt;1, (L261/INDIRECT("L"&amp;ROW()-1))-1, "")</f>
        <v>0.20262376918156466</v>
      </c>
      <c r="Q261" s="8" cm="1">
        <f t="array" aca="1" ref="Q261" ca="1">IF(ROW()-2&gt;1, (M261/INDIRECT("M"&amp;ROW()-1))-1, "")</f>
        <v>8.5973075700080059E-2</v>
      </c>
      <c r="R261" s="8" cm="1">
        <f t="array" aca="1" ref="R261" ca="1">IF(ROW()-2&gt;1, (N261/INDIRECT("N"&amp;ROW()-1))-1, "")</f>
        <v>6.3004841281371071E-2</v>
      </c>
      <c r="S261" s="8" cm="1">
        <f t="array" aca="1" ref="S261" ca="1">IF(ROW()-2&gt;1, (O261/INDIRECT("O"&amp;ROW()-1))-1, "")</f>
        <v>1.0054747514162576E-2</v>
      </c>
    </row>
    <row r="262" spans="2:19" x14ac:dyDescent="0.35">
      <c r="B262" s="3">
        <v>43725</v>
      </c>
      <c r="C262" s="4">
        <v>22368860</v>
      </c>
      <c r="D262" s="4">
        <v>5312604</v>
      </c>
      <c r="E262" s="4">
        <v>2188793</v>
      </c>
      <c r="F262" s="4">
        <v>1581840</v>
      </c>
      <c r="G262" s="4">
        <v>1361964</v>
      </c>
      <c r="H262" s="8">
        <f>IF(C262&gt;0, G262/C262, 0)</f>
        <v>6.0886607542807281E-2</v>
      </c>
      <c r="I262" s="8" cm="1">
        <f t="array" aca="1" ref="I262" ca="1">IF(ROW()-2&gt;7, (G262/INDIRECT("G"&amp;ROW()-7))-1, "")</f>
        <v>0.14906423033862848</v>
      </c>
      <c r="J262" s="8" cm="1">
        <f t="array" aca="1" ref="J262" ca="1">IF(ROW()-2&gt;7, (C262/INDIRECT("C"&amp;ROW()-7))-1, "")</f>
        <v>0</v>
      </c>
      <c r="K262" s="8" cm="1">
        <f t="array" aca="1" ref="K262" ca="1">IF(ROW()-2&gt;7, (H262/INDIRECT("H"&amp;ROW()-7))-1, "")</f>
        <v>0.1490642303386287</v>
      </c>
      <c r="L262" s="8">
        <f>IF(D262&gt;0, D262/C262, 0)</f>
        <v>0.23749998882374873</v>
      </c>
      <c r="M262" s="8">
        <f>IF(D262&gt;0, E262/D262, 0)</f>
        <v>0.41200002861120461</v>
      </c>
      <c r="N262" s="8">
        <f>IF(E262&gt;0, F262/E262, 0)</f>
        <v>0.72269967968647564</v>
      </c>
      <c r="O262" s="8">
        <f>IF(F262&gt;0, G262/F262, 0)</f>
        <v>0.86099984827795484</v>
      </c>
      <c r="P262" s="8" cm="1">
        <f t="array" aca="1" ref="P262" ca="1">IF(ROW()-2&gt;1, (L262/INDIRECT("L"&amp;ROW()-1))-1, "")</f>
        <v>-4.0403978913556626E-2</v>
      </c>
      <c r="Q262" s="8" cm="1">
        <f t="array" aca="1" ref="Q262" ca="1">IF(ROW()-2&gt;1, (M262/INDIRECT("M"&amp;ROW()-1))-1, "")</f>
        <v>7.2916728042716539E-2</v>
      </c>
      <c r="R262" s="8" cm="1">
        <f t="array" aca="1" ref="R262" ca="1">IF(ROW()-2&gt;1, (N262/INDIRECT("N"&amp;ROW()-1))-1, "")</f>
        <v>-1.9802482778735753E-2</v>
      </c>
      <c r="S262" s="8" cm="1">
        <f t="array" aca="1" ref="S262" ca="1">IF(ROW()-2&gt;1, (O262/INDIRECT("O"&amp;ROW()-1))-1, "")</f>
        <v>7.1429076516864143E-2</v>
      </c>
    </row>
    <row r="263" spans="2:19" x14ac:dyDescent="0.35">
      <c r="B263" s="3">
        <v>43726</v>
      </c>
      <c r="C263" s="4">
        <v>21500167</v>
      </c>
      <c r="D263" s="4">
        <v>5643793</v>
      </c>
      <c r="E263" s="4">
        <v>2144641</v>
      </c>
      <c r="F263" s="4">
        <v>1502964</v>
      </c>
      <c r="G263" s="4">
        <v>1195458</v>
      </c>
      <c r="H263" s="8">
        <f>IF(C263&gt;0, G263/C263, 0)</f>
        <v>5.5602265787051797E-2</v>
      </c>
      <c r="I263" s="8" cm="1">
        <f t="array" aca="1" ref="I263" ca="1">IF(ROW()-2&gt;7, (G263/INDIRECT("G"&amp;ROW()-7))-1, "")</f>
        <v>-4.0671192642881215E-2</v>
      </c>
      <c r="J263" s="8" cm="1">
        <f t="array" aca="1" ref="J263" ca="1">IF(ROW()-2&gt;7, (C263/INDIRECT("C"&amp;ROW()-7))-1, "")</f>
        <v>2.0618565999329652E-2</v>
      </c>
      <c r="K263" s="8" cm="1">
        <f t="array" aca="1" ref="K263" ca="1">IF(ROW()-2&gt;7, (H263/INDIRECT("H"&amp;ROW()-7))-1, "")</f>
        <v>-6.0051581152846811E-2</v>
      </c>
      <c r="L263" s="8">
        <f>IF(D263&gt;0, D263/C263, 0)</f>
        <v>0.26249996104681417</v>
      </c>
      <c r="M263" s="8">
        <f>IF(D263&gt;0, E263/D263, 0)</f>
        <v>0.37999993975682667</v>
      </c>
      <c r="N263" s="8">
        <f>IF(E263&gt;0, F263/E263, 0)</f>
        <v>0.70079980752023296</v>
      </c>
      <c r="O263" s="8">
        <f>IF(F263&gt;0, G263/F263, 0)</f>
        <v>0.79540028902887894</v>
      </c>
      <c r="P263" s="8" cm="1">
        <f t="array" aca="1" ref="P263" ca="1">IF(ROW()-2&gt;1, (L263/INDIRECT("L"&amp;ROW()-1))-1, "")</f>
        <v>0.10526304589268087</v>
      </c>
      <c r="Q263" s="8" cm="1">
        <f t="array" aca="1" ref="Q263" ca="1">IF(ROW()-2&gt;1, (M263/INDIRECT("M"&amp;ROW()-1))-1, "")</f>
        <v>-7.7670113184811762E-2</v>
      </c>
      <c r="R263" s="8" cm="1">
        <f t="array" aca="1" ref="R263" ca="1">IF(ROW()-2&gt;1, (N263/INDIRECT("N"&amp;ROW()-1))-1, "")</f>
        <v>-3.0302866850229315E-2</v>
      </c>
      <c r="S263" s="8" cm="1">
        <f t="array" aca="1" ref="S263" ca="1">IF(ROW()-2&gt;1, (O263/INDIRECT("O"&amp;ROW()-1))-1, "")</f>
        <v>-7.6189977710540258E-2</v>
      </c>
    </row>
    <row r="264" spans="2:19" x14ac:dyDescent="0.35">
      <c r="B264" s="3">
        <v>43727</v>
      </c>
      <c r="C264" s="4">
        <v>21282993</v>
      </c>
      <c r="D264" s="4">
        <v>5054710</v>
      </c>
      <c r="E264" s="4">
        <v>2062322</v>
      </c>
      <c r="F264" s="4">
        <v>1535605</v>
      </c>
      <c r="G264" s="4">
        <v>1259196</v>
      </c>
      <c r="H264" s="8">
        <f>IF(C264&gt;0, G264/C264, 0)</f>
        <v>5.9164422973780051E-2</v>
      </c>
      <c r="I264" s="8" cm="1">
        <f t="array" aca="1" ref="I264" ca="1">IF(ROW()-2&gt;7, (G264/INDIRECT("G"&amp;ROW()-7))-1, "")</f>
        <v>-3.849616412812662E-2</v>
      </c>
      <c r="J264" s="8" cm="1">
        <f t="array" aca="1" ref="J264" ca="1">IF(ROW()-2&gt;7, (C264/INDIRECT("C"&amp;ROW()-7))-1, "")</f>
        <v>2.0833343325988629E-2</v>
      </c>
      <c r="K264" s="8" cm="1">
        <f t="array" aca="1" ref="K264" ca="1">IF(ROW()-2&gt;7, (H264/INDIRECT("H"&amp;ROW()-7))-1, "")</f>
        <v>-5.8118700610633511E-2</v>
      </c>
      <c r="L264" s="8">
        <f>IF(D264&gt;0, D264/C264, 0)</f>
        <v>0.2374999606493316</v>
      </c>
      <c r="M264" s="8">
        <f>IF(D264&gt;0, E264/D264, 0)</f>
        <v>0.4080000633072916</v>
      </c>
      <c r="N264" s="8">
        <f>IF(E264&gt;0, F264/E264, 0)</f>
        <v>0.74460001881374493</v>
      </c>
      <c r="O264" s="8">
        <f>IF(F264&gt;0, G264/F264, 0)</f>
        <v>0.81999993487908673</v>
      </c>
      <c r="P264" s="8" cm="1">
        <f t="array" aca="1" ref="P264" ca="1">IF(ROW()-2&gt;1, (L264/INDIRECT("L"&amp;ROW()-1))-1, "")</f>
        <v>-9.5238110884992011E-2</v>
      </c>
      <c r="Q264" s="8" cm="1">
        <f t="array" aca="1" ref="Q264" ca="1">IF(ROW()-2&gt;1, (M264/INDIRECT("M"&amp;ROW()-1))-1, "")</f>
        <v>7.3684547340673312E-2</v>
      </c>
      <c r="R264" s="8" cm="1">
        <f t="array" aca="1" ref="R264" ca="1">IF(ROW()-2&gt;1, (N264/INDIRECT("N"&amp;ROW()-1))-1, "")</f>
        <v>6.2500318669461707E-2</v>
      </c>
      <c r="S264" s="8" cm="1">
        <f t="array" aca="1" ref="S264" ca="1">IF(ROW()-2&gt;1, (O264/INDIRECT("O"&amp;ROW()-1))-1, "")</f>
        <v>3.092737856588168E-2</v>
      </c>
    </row>
    <row r="265" spans="2:19" x14ac:dyDescent="0.35">
      <c r="B265" s="3">
        <v>43728</v>
      </c>
      <c r="C265" s="4">
        <v>21282993</v>
      </c>
      <c r="D265" s="4">
        <v>5107918</v>
      </c>
      <c r="E265" s="4">
        <v>2043167</v>
      </c>
      <c r="F265" s="4">
        <v>1506427</v>
      </c>
      <c r="G265" s="4">
        <v>1235270</v>
      </c>
      <c r="H265" s="8">
        <f>IF(C265&gt;0, G265/C265, 0)</f>
        <v>5.8040238983304654E-2</v>
      </c>
      <c r="I265" s="8" cm="1">
        <f t="array" aca="1" ref="I265" ca="1">IF(ROW()-2&gt;7, (G265/INDIRECT("G"&amp;ROW()-7))-1, "")</f>
        <v>-9.1954935524514836E-2</v>
      </c>
      <c r="J265" s="8" cm="1">
        <f t="array" aca="1" ref="J265" ca="1">IF(ROW()-2&gt;7, (C265/INDIRECT("C"&amp;ROW()-7))-1, "")</f>
        <v>-6.6666675437362821E-2</v>
      </c>
      <c r="K265" s="8" cm="1">
        <f t="array" aca="1" ref="K265" ca="1">IF(ROW()-2&gt;7, (H265/INDIRECT("H"&amp;ROW()-7))-1, "")</f>
        <v>-2.7094564633703744E-2</v>
      </c>
      <c r="L265" s="8">
        <f>IF(D265&gt;0, D265/C265, 0)</f>
        <v>0.23999998496452074</v>
      </c>
      <c r="M265" s="8">
        <f>IF(D265&gt;0, E265/D265, 0)</f>
        <v>0.39999996084510364</v>
      </c>
      <c r="N265" s="8">
        <f>IF(E265&gt;0, F265/E265, 0)</f>
        <v>0.73729998575740507</v>
      </c>
      <c r="O265" s="8">
        <f>IF(F265&gt;0, G265/F265, 0)</f>
        <v>0.8199999070648627</v>
      </c>
      <c r="P265" s="8" cm="1">
        <f t="array" aca="1" ref="P265" ca="1">IF(ROW()-2&gt;1, (L265/INDIRECT("L"&amp;ROW()-1))-1, "")</f>
        <v>1.0526419913308604E-2</v>
      </c>
      <c r="Q265" s="8" cm="1">
        <f t="array" aca="1" ref="Q265" ca="1">IF(ROW()-2&gt;1, (M265/INDIRECT("M"&amp;ROW()-1))-1, "")</f>
        <v>-1.9608091227580449E-2</v>
      </c>
      <c r="R265" s="8" cm="1">
        <f t="array" aca="1" ref="R265" ca="1">IF(ROW()-2&gt;1, (N265/INDIRECT("N"&amp;ROW()-1))-1, "")</f>
        <v>-9.803965715673546E-3</v>
      </c>
      <c r="S265" s="8" cm="1">
        <f t="array" aca="1" ref="S265" ca="1">IF(ROW()-2&gt;1, (O265/INDIRECT("O"&amp;ROW()-1))-1, "")</f>
        <v>-3.3919788089420422E-8</v>
      </c>
    </row>
    <row r="266" spans="2:19" x14ac:dyDescent="0.35">
      <c r="B266" s="3">
        <v>43729</v>
      </c>
      <c r="C266" s="4">
        <v>43991955</v>
      </c>
      <c r="D266" s="4">
        <v>8868778</v>
      </c>
      <c r="E266" s="4">
        <v>3045538</v>
      </c>
      <c r="F266" s="4">
        <v>1967417</v>
      </c>
      <c r="G266" s="4">
        <v>1473202</v>
      </c>
      <c r="H266" s="8">
        <f>IF(C266&gt;0, G266/C266, 0)</f>
        <v>3.3487986610279082E-2</v>
      </c>
      <c r="I266" s="8" cm="1">
        <f t="array" aca="1" ref="I266" ca="1">IF(ROW()-2&gt;7, (G266/INDIRECT("G"&amp;ROW()-7))-1, "")</f>
        <v>1.1152745531323451</v>
      </c>
      <c r="J266" s="8" cm="1">
        <f t="array" aca="1" ref="J266" ca="1">IF(ROW()-2&gt;7, (C266/INDIRECT("C"&amp;ROW()-7))-1, "")</f>
        <v>-1.0101021238273722E-2</v>
      </c>
      <c r="K266" s="8" cm="1">
        <f t="array" aca="1" ref="K266" ca="1">IF(ROW()-2&gt;7, (H266/INDIRECT("H"&amp;ROW()-7))-1, "")</f>
        <v>1.1368590113895878</v>
      </c>
      <c r="L266" s="8">
        <f>IF(D266&gt;0, D266/C266, 0)</f>
        <v>0.2015999970903771</v>
      </c>
      <c r="M266" s="8">
        <f>IF(D266&gt;0, E266/D266, 0)</f>
        <v>0.34339995882183544</v>
      </c>
      <c r="N266" s="8">
        <f>IF(E266&gt;0, F266/E266, 0)</f>
        <v>0.6459998200646323</v>
      </c>
      <c r="O266" s="8">
        <f>IF(F266&gt;0, G266/F266, 0)</f>
        <v>0.74880007644541036</v>
      </c>
      <c r="P266" s="8" cm="1">
        <f t="array" aca="1" ref="P266" ca="1">IF(ROW()-2&gt;1, (L266/INDIRECT("L"&amp;ROW()-1))-1, "")</f>
        <v>-0.15999995949924883</v>
      </c>
      <c r="Q266" s="8" cm="1">
        <f t="array" aca="1" ref="Q266" ca="1">IF(ROW()-2&gt;1, (M266/INDIRECT("M"&amp;ROW()-1))-1, "")</f>
        <v>-0.14150001890921693</v>
      </c>
      <c r="R266" s="8" cm="1">
        <f t="array" aca="1" ref="R266" ca="1">IF(ROW()-2&gt;1, (N266/INDIRECT("N"&amp;ROW()-1))-1, "")</f>
        <v>-0.12383041835947273</v>
      </c>
      <c r="S266" s="8" cm="1">
        <f t="array" aca="1" ref="S266" ca="1">IF(ROW()-2&gt;1, (O266/INDIRECT("O"&amp;ROW()-1))-1, "")</f>
        <v>-8.6829071571858596E-2</v>
      </c>
    </row>
    <row r="267" spans="2:19" x14ac:dyDescent="0.35">
      <c r="B267" s="3">
        <v>43730</v>
      </c>
      <c r="C267" s="4">
        <v>45787545</v>
      </c>
      <c r="D267" s="4">
        <v>9423076</v>
      </c>
      <c r="E267" s="4">
        <v>3364038</v>
      </c>
      <c r="F267" s="4">
        <v>2401923</v>
      </c>
      <c r="G267" s="4">
        <v>1892235</v>
      </c>
      <c r="H267" s="8">
        <f>IF(C267&gt;0, G267/C267, 0)</f>
        <v>4.1326413110814308E-2</v>
      </c>
      <c r="I267" s="8" cm="1">
        <f t="array" aca="1" ref="I267" ca="1">IF(ROW()-2&gt;7, (G267/INDIRECT("G"&amp;ROW()-7))-1, "")</f>
        <v>1.9129463456197149E-2</v>
      </c>
      <c r="J267" s="8" cm="1">
        <f t="array" aca="1" ref="J267" ca="1">IF(ROW()-2&gt;7, (C267/INDIRECT("C"&amp;ROW()-7))-1, "")</f>
        <v>-9.7087485730682488E-3</v>
      </c>
      <c r="K267" s="8" cm="1">
        <f t="array" aca="1" ref="K267" ca="1">IF(ROW()-2&gt;7, (H267/INDIRECT("H"&amp;ROW()-7))-1, "")</f>
        <v>2.9120939913092947E-2</v>
      </c>
      <c r="L267" s="8">
        <f>IF(D267&gt;0, D267/C267, 0)</f>
        <v>0.20579998337975972</v>
      </c>
      <c r="M267" s="8">
        <f>IF(D267&gt;0, E267/D267, 0)</f>
        <v>0.35699998599183536</v>
      </c>
      <c r="N267" s="8">
        <f>IF(E267&gt;0, F267/E267, 0)</f>
        <v>0.71399996076144201</v>
      </c>
      <c r="O267" s="8">
        <f>IF(F267&gt;0, G267/F267, 0)</f>
        <v>0.78780002522978465</v>
      </c>
      <c r="P267" s="8" cm="1">
        <f t="array" aca="1" ref="P267" ca="1">IF(ROW()-2&gt;1, (L267/INDIRECT("L"&amp;ROW()-1))-1, "")</f>
        <v>2.0833265624997876E-2</v>
      </c>
      <c r="Q267" s="8" cm="1">
        <f t="array" aca="1" ref="Q267" ca="1">IF(ROW()-2&gt;1, (M267/INDIRECT("M"&amp;ROW()-1))-1, "")</f>
        <v>3.9604044265642901E-2</v>
      </c>
      <c r="R267" s="8" cm="1">
        <f t="array" aca="1" ref="R267" ca="1">IF(ROW()-2&gt;1, (N267/INDIRECT("N"&amp;ROW()-1))-1, "")</f>
        <v>0.1052634050114849</v>
      </c>
      <c r="S267" s="8" cm="1">
        <f t="array" aca="1" ref="S267" ca="1">IF(ROW()-2&gt;1, (O267/INDIRECT("O"&amp;ROW()-1))-1, "")</f>
        <v>5.2083259619188249E-2</v>
      </c>
    </row>
    <row r="268" spans="2:19" x14ac:dyDescent="0.35">
      <c r="B268" s="3">
        <v>43731</v>
      </c>
      <c r="C268" s="4">
        <v>20848646</v>
      </c>
      <c r="D268" s="4">
        <v>5264283</v>
      </c>
      <c r="E268" s="4">
        <v>2189941</v>
      </c>
      <c r="F268" s="4">
        <v>1518724</v>
      </c>
      <c r="G268" s="4">
        <v>1220447</v>
      </c>
      <c r="H268" s="8">
        <f>IF(C268&gt;0, G268/C268, 0)</f>
        <v>5.8538429785799997E-2</v>
      </c>
      <c r="I268" s="8" cm="1">
        <f t="array" aca="1" ref="I268" ca="1">IF(ROW()-2&gt;7, (G268/INDIRECT("G"&amp;ROW()-7))-1, "")</f>
        <v>5.0505650425083815E-2</v>
      </c>
      <c r="J268" s="8" cm="1">
        <f t="array" aca="1" ref="J268" ca="1">IF(ROW()-2&gt;7, (C268/INDIRECT("C"&amp;ROW()-7))-1, "")</f>
        <v>1.0526296401619062E-2</v>
      </c>
      <c r="K268" s="8" cm="1">
        <f t="array" aca="1" ref="K268" ca="1">IF(ROW()-2&gt;7, (H268/INDIRECT("H"&amp;ROW()-7))-1, "")</f>
        <v>3.9562903178103515E-2</v>
      </c>
      <c r="L268" s="8">
        <f>IF(D268&gt;0, D268/C268, 0)</f>
        <v>0.25249999448405425</v>
      </c>
      <c r="M268" s="8">
        <f>IF(D268&gt;0, E268/D268, 0)</f>
        <v>0.41599986170956232</v>
      </c>
      <c r="N268" s="8">
        <f>IF(E268&gt;0, F268/E268, 0)</f>
        <v>0.69349996187111895</v>
      </c>
      <c r="O268" s="8">
        <f>IF(F268&gt;0, G268/F268, 0)</f>
        <v>0.80360025916493061</v>
      </c>
      <c r="P268" s="8" cm="1">
        <f t="array" aca="1" ref="P268" ca="1">IF(ROW()-2&gt;1, (L268/INDIRECT("L"&amp;ROW()-1))-1, "")</f>
        <v>0.2269194114467914</v>
      </c>
      <c r="Q268" s="8" cm="1">
        <f t="array" aca="1" ref="Q268" ca="1">IF(ROW()-2&gt;1, (M268/INDIRECT("M"&amp;ROW()-1))-1, "")</f>
        <v>0.16526576479775068</v>
      </c>
      <c r="R268" s="8" cm="1">
        <f t="array" aca="1" ref="R268" ca="1">IF(ROW()-2&gt;1, (N268/INDIRECT("N"&amp;ROW()-1))-1, "")</f>
        <v>-2.8711484617535477E-2</v>
      </c>
      <c r="S268" s="8" cm="1">
        <f t="array" aca="1" ref="S268" ca="1">IF(ROW()-2&gt;1, (O268/INDIRECT("O"&amp;ROW()-1))-1, "")</f>
        <v>2.0056148044089506E-2</v>
      </c>
    </row>
    <row r="269" spans="2:19" x14ac:dyDescent="0.35">
      <c r="B269" s="3">
        <v>43732</v>
      </c>
      <c r="C269" s="4">
        <v>21934513</v>
      </c>
      <c r="D269" s="4">
        <v>5702973</v>
      </c>
      <c r="E269" s="4">
        <v>2235565</v>
      </c>
      <c r="F269" s="4">
        <v>1615643</v>
      </c>
      <c r="G269" s="4">
        <v>1338075</v>
      </c>
      <c r="H269" s="8">
        <f>IF(C269&gt;0, G269/C269, 0)</f>
        <v>6.1003177959775085E-2</v>
      </c>
      <c r="I269" s="8" cm="1">
        <f t="array" aca="1" ref="I269" ca="1">IF(ROW()-2&gt;7, (G269/INDIRECT("G"&amp;ROW()-7))-1, "")</f>
        <v>-1.7540111192366314E-2</v>
      </c>
      <c r="J269" s="8" cm="1">
        <f t="array" aca="1" ref="J269" ca="1">IF(ROW()-2&gt;7, (C269/INDIRECT("C"&amp;ROW()-7))-1, "")</f>
        <v>-1.9417484842768062E-2</v>
      </c>
      <c r="K269" s="8" cm="1">
        <f t="array" aca="1" ref="K269" ca="1">IF(ROW()-2&gt;7, (H269/INDIRECT("H"&amp;ROW()-7))-1, "")</f>
        <v>1.9145493840471151E-3</v>
      </c>
      <c r="L269" s="8">
        <f>IF(D269&gt;0, D269/C269, 0)</f>
        <v>0.25999998267570379</v>
      </c>
      <c r="M269" s="8">
        <f>IF(D269&gt;0, E269/D269, 0)</f>
        <v>0.39199992705559011</v>
      </c>
      <c r="N269" s="8">
        <f>IF(E269&gt;0, F269/E269, 0)</f>
        <v>0.7227000780563303</v>
      </c>
      <c r="O269" s="8">
        <f>IF(F269&gt;0, G269/F269, 0)</f>
        <v>0.82819967034796671</v>
      </c>
      <c r="P269" s="8" cm="1">
        <f t="array" aca="1" ref="P269" ca="1">IF(ROW()-2&gt;1, (L269/INDIRECT("L"&amp;ROW()-1))-1, "")</f>
        <v>2.970292418015541E-2</v>
      </c>
      <c r="Q269" s="8" cm="1">
        <f t="array" aca="1" ref="Q269" ca="1">IF(ROW()-2&gt;1, (M269/INDIRECT("M"&amp;ROW()-1))-1, "")</f>
        <v>-5.769216978905678E-2</v>
      </c>
      <c r="R269" s="8" cm="1">
        <f t="array" aca="1" ref="R269" ca="1">IF(ROW()-2&gt;1, (N269/INDIRECT("N"&amp;ROW()-1))-1, "")</f>
        <v>4.2105433007417981E-2</v>
      </c>
      <c r="S269" s="8" cm="1">
        <f t="array" aca="1" ref="S269" ca="1">IF(ROW()-2&gt;1, (O269/INDIRECT("O"&amp;ROW()-1))-1, "")</f>
        <v>3.0611502301652882E-2</v>
      </c>
    </row>
    <row r="270" spans="2:19" x14ac:dyDescent="0.35">
      <c r="B270" s="3">
        <v>43733</v>
      </c>
      <c r="C270" s="4">
        <v>21282993</v>
      </c>
      <c r="D270" s="4">
        <v>5586785</v>
      </c>
      <c r="E270" s="4">
        <v>2279408</v>
      </c>
      <c r="F270" s="4">
        <v>1747166</v>
      </c>
      <c r="G270" s="4">
        <v>1404023</v>
      </c>
      <c r="H270" s="8">
        <f>IF(C270&gt;0, G270/C270, 0)</f>
        <v>6.5969245960847703E-2</v>
      </c>
      <c r="I270" s="8" cm="1">
        <f t="array" aca="1" ref="I270" ca="1">IF(ROW()-2&gt;7, (G270/INDIRECT("G"&amp;ROW()-7))-1, "")</f>
        <v>0.17446451485539427</v>
      </c>
      <c r="J270" s="8" cm="1">
        <f t="array" aca="1" ref="J270" ca="1">IF(ROW()-2&gt;7, (C270/INDIRECT("C"&amp;ROW()-7))-1, "")</f>
        <v>-1.0101037819845726E-2</v>
      </c>
      <c r="K270" s="8" cm="1">
        <f t="array" aca="1" ref="K270" ca="1">IF(ROW()-2&gt;7, (H270/INDIRECT("H"&amp;ROW()-7))-1, "")</f>
        <v>0.18644887986219594</v>
      </c>
      <c r="L270" s="8">
        <f>IF(D270&gt;0, D270/C270, 0)</f>
        <v>0.26249996887185933</v>
      </c>
      <c r="M270" s="8">
        <f>IF(D270&gt;0, E270/D270, 0)</f>
        <v>0.40799994988172983</v>
      </c>
      <c r="N270" s="8">
        <f>IF(E270&gt;0, F270/E270, 0)</f>
        <v>0.76649989821918674</v>
      </c>
      <c r="O270" s="8">
        <f>IF(F270&gt;0, G270/F270, 0)</f>
        <v>0.80360023031583716</v>
      </c>
      <c r="P270" s="8" cm="1">
        <f t="array" aca="1" ref="P270" ca="1">IF(ROW()-2&gt;1, (L270/INDIRECT("L"&amp;ROW()-1))-1, "")</f>
        <v>9.6153321643630552E-3</v>
      </c>
      <c r="Q270" s="8" cm="1">
        <f t="array" aca="1" ref="Q270" ca="1">IF(ROW()-2&gt;1, (M270/INDIRECT("M"&amp;ROW()-1))-1, "")</f>
        <v>4.0816392355784048E-2</v>
      </c>
      <c r="R270" s="8" cm="1">
        <f t="array" aca="1" ref="R270" ca="1">IF(ROW()-2&gt;1, (N270/INDIRECT("N"&amp;ROW()-1))-1, "")</f>
        <v>6.0605805219579034E-2</v>
      </c>
      <c r="S270" s="8" cm="1">
        <f t="array" aca="1" ref="S270" ca="1">IF(ROW()-2&gt;1, (O270/INDIRECT("O"&amp;ROW()-1))-1, "")</f>
        <v>-2.970230599318413E-2</v>
      </c>
    </row>
    <row r="271" spans="2:19" x14ac:dyDescent="0.35">
      <c r="B271" s="3">
        <v>43734</v>
      </c>
      <c r="C271" s="4">
        <v>22368860</v>
      </c>
      <c r="D271" s="4">
        <v>5424448</v>
      </c>
      <c r="E271" s="4">
        <v>2213175</v>
      </c>
      <c r="F271" s="4">
        <v>1647930</v>
      </c>
      <c r="G271" s="4">
        <v>1337789</v>
      </c>
      <c r="H271" s="8">
        <f>IF(C271&gt;0, G271/C271, 0)</f>
        <v>5.9805864044926743E-2</v>
      </c>
      <c r="I271" s="8" cm="1">
        <f t="array" aca="1" ref="I271" ca="1">IF(ROW()-2&gt;7, (G271/INDIRECT("G"&amp;ROW()-7))-1, "")</f>
        <v>6.2415223682413146E-2</v>
      </c>
      <c r="J271" s="8" cm="1">
        <f t="array" aca="1" ref="J271" ca="1">IF(ROW()-2&gt;7, (C271/INDIRECT("C"&amp;ROW()-7))-1, "")</f>
        <v>5.1020408642713067E-2</v>
      </c>
      <c r="K271" s="8" cm="1">
        <f t="array" aca="1" ref="K271" ca="1">IF(ROW()-2&gt;7, (H271/INDIRECT("H"&amp;ROW()-7))-1, "")</f>
        <v>1.0841668673604143E-2</v>
      </c>
      <c r="L271" s="8">
        <f>IF(D271&gt;0, D271/C271, 0)</f>
        <v>0.24249997541224722</v>
      </c>
      <c r="M271" s="8">
        <f>IF(D271&gt;0, E271/D271, 0)</f>
        <v>0.40800003981971988</v>
      </c>
      <c r="N271" s="8">
        <f>IF(E271&gt;0, F271/E271, 0)</f>
        <v>0.74459995255684708</v>
      </c>
      <c r="O271" s="8">
        <f>IF(F271&gt;0, G271/F271, 0)</f>
        <v>0.81179965168423418</v>
      </c>
      <c r="P271" s="8" cm="1">
        <f t="array" aca="1" ref="P271" ca="1">IF(ROW()-2&gt;1, (L271/INDIRECT("L"&amp;ROW()-1))-1, "")</f>
        <v>-7.6190460309636165E-2</v>
      </c>
      <c r="Q271" s="8" cm="1">
        <f t="array" aca="1" ref="Q271" ca="1">IF(ROW()-2&gt;1, (M271/INDIRECT("M"&amp;ROW()-1))-1, "")</f>
        <v>2.2043627723178361E-7</v>
      </c>
      <c r="R271" s="8" cm="1">
        <f t="array" aca="1" ref="R271" ca="1">IF(ROW()-2&gt;1, (N271/INDIRECT("N"&amp;ROW()-1))-1, "")</f>
        <v>-2.8571361474698076E-2</v>
      </c>
      <c r="S271" s="8" cm="1">
        <f t="array" aca="1" ref="S271" ca="1">IF(ROW()-2&gt;1, (O271/INDIRECT("O"&amp;ROW()-1))-1, "")</f>
        <v>1.0203358659036654E-2</v>
      </c>
    </row>
    <row r="272" spans="2:19" x14ac:dyDescent="0.35">
      <c r="B272" s="3">
        <v>43735</v>
      </c>
      <c r="C272" s="4">
        <v>20848646</v>
      </c>
      <c r="D272" s="4">
        <v>5055796</v>
      </c>
      <c r="E272" s="4">
        <v>1961649</v>
      </c>
      <c r="F272" s="4">
        <v>1474964</v>
      </c>
      <c r="G272" s="4">
        <v>1197375</v>
      </c>
      <c r="H272" s="8">
        <f>IF(C272&gt;0, G272/C272, 0)</f>
        <v>5.7431787176970631E-2</v>
      </c>
      <c r="I272" s="8" cm="1">
        <f t="array" aca="1" ref="I272" ca="1">IF(ROW()-2&gt;7, (G272/INDIRECT("G"&amp;ROW()-7))-1, "")</f>
        <v>-3.0677503703643749E-2</v>
      </c>
      <c r="J272" s="8" cm="1">
        <f t="array" aca="1" ref="J272" ca="1">IF(ROW()-2&gt;7, (C272/INDIRECT("C"&amp;ROW()-7))-1, "")</f>
        <v>-2.0408172854259776E-2</v>
      </c>
      <c r="K272" s="8" cm="1">
        <f t="array" aca="1" ref="K272" ca="1">IF(ROW()-2&gt;7, (H272/INDIRECT("H"&amp;ROW()-7))-1, "")</f>
        <v>-1.0483275344697396E-2</v>
      </c>
      <c r="L272" s="8">
        <f>IF(D272&gt;0, D272/C272, 0)</f>
        <v>0.24249996858309167</v>
      </c>
      <c r="M272" s="8">
        <f>IF(D272&gt;0, E272/D272, 0)</f>
        <v>0.38800003006450418</v>
      </c>
      <c r="N272" s="8">
        <f>IF(E272&gt;0, F272/E272, 0)</f>
        <v>0.75190005959272022</v>
      </c>
      <c r="O272" s="8">
        <f>IF(F272&gt;0, G272/F272, 0)</f>
        <v>0.81179947442785039</v>
      </c>
      <c r="P272" s="8" cm="1">
        <f t="array" aca="1" ref="P272" ca="1">IF(ROW()-2&gt;1, (L272/INDIRECT("L"&amp;ROW()-1))-1, "")</f>
        <v>-2.816146904560668E-8</v>
      </c>
      <c r="Q272" s="8" cm="1">
        <f t="array" aca="1" ref="Q272" ca="1">IF(ROW()-2&gt;1, (M272/INDIRECT("M"&amp;ROW()-1))-1, "")</f>
        <v>-4.9019626968793806E-2</v>
      </c>
      <c r="R272" s="8" cm="1">
        <f t="array" aca="1" ref="R272" ca="1">IF(ROW()-2&gt;1, (N272/INDIRECT("N"&amp;ROW()-1))-1, "")</f>
        <v>9.8040659428000332E-3</v>
      </c>
      <c r="S272" s="8" cm="1">
        <f t="array" aca="1" ref="S272" ca="1">IF(ROW()-2&gt;1, (O272/INDIRECT("O"&amp;ROW()-1))-1, "")</f>
        <v>-2.1834991359437339E-7</v>
      </c>
    </row>
    <row r="273" spans="2:19" x14ac:dyDescent="0.35">
      <c r="B273" s="3">
        <v>43736</v>
      </c>
      <c r="C273" s="4">
        <v>43991955</v>
      </c>
      <c r="D273" s="4">
        <v>9238310</v>
      </c>
      <c r="E273" s="4">
        <v>3141025</v>
      </c>
      <c r="F273" s="4">
        <v>2135897</v>
      </c>
      <c r="G273" s="4">
        <v>1582700</v>
      </c>
      <c r="H273" s="8">
        <f>IF(C273&gt;0, G273/C273, 0)</f>
        <v>3.5977032618804958E-2</v>
      </c>
      <c r="I273" s="8" cm="1">
        <f t="array" aca="1" ref="I273" ca="1">IF(ROW()-2&gt;7, (G273/INDIRECT("G"&amp;ROW()-7))-1, "")</f>
        <v>7.4326534989770598E-2</v>
      </c>
      <c r="J273" s="8" cm="1">
        <f t="array" aca="1" ref="J273" ca="1">IF(ROW()-2&gt;7, (C273/INDIRECT("C"&amp;ROW()-7))-1, "")</f>
        <v>0</v>
      </c>
      <c r="K273" s="8" cm="1">
        <f t="array" aca="1" ref="K273" ca="1">IF(ROW()-2&gt;7, (H273/INDIRECT("H"&amp;ROW()-7))-1, "")</f>
        <v>7.4326534989770598E-2</v>
      </c>
      <c r="L273" s="8">
        <f>IF(D273&gt;0, D273/C273, 0)</f>
        <v>0.20999998749771406</v>
      </c>
      <c r="M273" s="8">
        <f>IF(D273&gt;0, E273/D273, 0)</f>
        <v>0.33999995670203748</v>
      </c>
      <c r="N273" s="8">
        <f>IF(E273&gt;0, F273/E273, 0)</f>
        <v>0.68</v>
      </c>
      <c r="O273" s="8">
        <f>IF(F273&gt;0, G273/F273, 0)</f>
        <v>0.74100015122452068</v>
      </c>
      <c r="P273" s="8" cm="1">
        <f t="array" aca="1" ref="P273" ca="1">IF(ROW()-2&gt;1, (L273/INDIRECT("L"&amp;ROW()-1))-1, "")</f>
        <v>-0.1340205579211925</v>
      </c>
      <c r="Q273" s="8" cm="1">
        <f t="array" aca="1" ref="Q273" ca="1">IF(ROW()-2&gt;1, (M273/INDIRECT("M"&amp;ROW()-1))-1, "")</f>
        <v>-0.12371151969881755</v>
      </c>
      <c r="R273" s="8" cm="1">
        <f t="array" aca="1" ref="R273" ca="1">IF(ROW()-2&gt;1, (N273/INDIRECT("N"&amp;ROW()-1))-1, "")</f>
        <v>-9.5624489818056491E-2</v>
      </c>
      <c r="S273" s="8" cm="1">
        <f t="array" aca="1" ref="S273" ca="1">IF(ROW()-2&gt;1, (O273/INDIRECT("O"&amp;ROW()-1))-1, "")</f>
        <v>-8.721282217289994E-2</v>
      </c>
    </row>
    <row r="274" spans="2:19" x14ac:dyDescent="0.35">
      <c r="B274" s="3">
        <v>43737</v>
      </c>
      <c r="C274" s="4">
        <v>42645263</v>
      </c>
      <c r="D274" s="4">
        <v>8865950</v>
      </c>
      <c r="E274" s="4">
        <v>2984278</v>
      </c>
      <c r="F274" s="4">
        <v>1948137</v>
      </c>
      <c r="G274" s="4">
        <v>1565133</v>
      </c>
      <c r="H274" s="8">
        <f>IF(C274&gt;0, G274/C274, 0)</f>
        <v>3.6701215795057938E-2</v>
      </c>
      <c r="I274" s="8" cm="1">
        <f t="array" aca="1" ref="I274" ca="1">IF(ROW()-2&gt;7, (G274/INDIRECT("G"&amp;ROW()-7))-1, "")</f>
        <v>-0.17286542104971103</v>
      </c>
      <c r="J274" s="8" cm="1">
        <f t="array" aca="1" ref="J274" ca="1">IF(ROW()-2&gt;7, (C274/INDIRECT("C"&amp;ROW()-7))-1, "")</f>
        <v>-6.8627440060392009E-2</v>
      </c>
      <c r="K274" s="8" cm="1">
        <f t="array" aca="1" ref="K274" ca="1">IF(ROW()-2&gt;7, (H274/INDIRECT("H"&amp;ROW()-7))-1, "")</f>
        <v>-0.11191867301316905</v>
      </c>
      <c r="L274" s="8">
        <f>IF(D274&gt;0, D274/C274, 0)</f>
        <v>0.20789999583306593</v>
      </c>
      <c r="M274" s="8">
        <f>IF(D274&gt;0, E274/D274, 0)</f>
        <v>0.33659991315087495</v>
      </c>
      <c r="N274" s="8">
        <f>IF(E274&gt;0, F274/E274, 0)</f>
        <v>0.65280010776475916</v>
      </c>
      <c r="O274" s="8">
        <f>IF(F274&gt;0, G274/F274, 0)</f>
        <v>0.80339986356195692</v>
      </c>
      <c r="P274" s="8" cm="1">
        <f t="array" aca="1" ref="P274" ca="1">IF(ROW()-2&gt;1, (L274/INDIRECT("L"&amp;ROW()-1))-1, "")</f>
        <v>-9.9999609031928838E-3</v>
      </c>
      <c r="Q274" s="8" cm="1">
        <f t="array" aca="1" ref="Q274" ca="1">IF(ROW()-2&gt;1, (M274/INDIRECT("M"&amp;ROW()-1))-1, "")</f>
        <v>-1.0000129365140387E-2</v>
      </c>
      <c r="R274" s="8" cm="1">
        <f t="array" aca="1" ref="R274" ca="1">IF(ROW()-2&gt;1, (N274/INDIRECT("N"&amp;ROW()-1))-1, "")</f>
        <v>-3.9999841522413093E-2</v>
      </c>
      <c r="S274" s="8" cm="1">
        <f t="array" aca="1" ref="S274" ca="1">IF(ROW()-2&gt;1, (O274/INDIRECT("O"&amp;ROW()-1))-1, "")</f>
        <v>8.4210120921458964E-2</v>
      </c>
    </row>
    <row r="275" spans="2:19" x14ac:dyDescent="0.35">
      <c r="B275" s="3">
        <v>43738</v>
      </c>
      <c r="C275" s="4">
        <v>21717340</v>
      </c>
      <c r="D275" s="4">
        <v>5375041</v>
      </c>
      <c r="E275" s="4">
        <v>2150016</v>
      </c>
      <c r="F275" s="4">
        <v>1553817</v>
      </c>
      <c r="G275" s="4">
        <v>1235906</v>
      </c>
      <c r="H275" s="8">
        <f>IF(C275&gt;0, G275/C275, 0)</f>
        <v>5.6908719023600493E-2</v>
      </c>
      <c r="I275" s="8" cm="1">
        <f t="array" aca="1" ref="I275" ca="1">IF(ROW()-2&gt;7, (G275/INDIRECT("G"&amp;ROW()-7))-1, "")</f>
        <v>1.2666670490402376E-2</v>
      </c>
      <c r="J275" s="8" cm="1">
        <f t="array" aca="1" ref="J275" ca="1">IF(ROW()-2&gt;7, (C275/INDIRECT("C"&amp;ROW()-7))-1, "")</f>
        <v>4.1666686651977258E-2</v>
      </c>
      <c r="K275" s="8" cm="1">
        <f t="array" aca="1" ref="K275" ca="1">IF(ROW()-2&gt;7, (H275/INDIRECT("H"&amp;ROW()-7))-1, "")</f>
        <v>-2.7840014980976324E-2</v>
      </c>
      <c r="L275" s="8">
        <f>IF(D275&gt;0, D275/C275, 0)</f>
        <v>0.24749997006999935</v>
      </c>
      <c r="M275" s="8">
        <f>IF(D275&gt;0, E275/D275, 0)</f>
        <v>0.39999992558196301</v>
      </c>
      <c r="N275" s="8">
        <f>IF(E275&gt;0, F275/E275, 0)</f>
        <v>0.72270020316127881</v>
      </c>
      <c r="O275" s="8">
        <f>IF(F275&gt;0, G275/F275, 0)</f>
        <v>0.79539997309850519</v>
      </c>
      <c r="P275" s="8" cm="1">
        <f t="array" aca="1" ref="P275" ca="1">IF(ROW()-2&gt;1, (L275/INDIRECT("L"&amp;ROW()-1))-1, "")</f>
        <v>0.19047607037342296</v>
      </c>
      <c r="Q275" s="8" cm="1">
        <f t="array" aca="1" ref="Q275" ca="1">IF(ROW()-2&gt;1, (M275/INDIRECT("M"&amp;ROW()-1))-1, "")</f>
        <v>0.18835421506086414</v>
      </c>
      <c r="R275" s="8" cm="1">
        <f t="array" aca="1" ref="R275" ca="1">IF(ROW()-2&gt;1, (N275/INDIRECT("N"&amp;ROW()-1))-1, "")</f>
        <v>0.1070773343403133</v>
      </c>
      <c r="S275" s="8" cm="1">
        <f t="array" aca="1" ref="S275" ca="1">IF(ROW()-2&gt;1, (O275/INDIRECT("O"&amp;ROW()-1))-1, "")</f>
        <v>-9.9575452104053719E-3</v>
      </c>
    </row>
    <row r="276" spans="2:19" x14ac:dyDescent="0.35">
      <c r="B276" s="3">
        <v>43739</v>
      </c>
      <c r="C276" s="4">
        <v>21934513</v>
      </c>
      <c r="D276" s="4">
        <v>5319119</v>
      </c>
      <c r="E276" s="4">
        <v>2085094</v>
      </c>
      <c r="F276" s="4">
        <v>1476455</v>
      </c>
      <c r="G276" s="4">
        <v>1174372</v>
      </c>
      <c r="H276" s="8">
        <f>IF(C276&gt;0, G276/C276, 0)</f>
        <v>5.3539916751285978E-2</v>
      </c>
      <c r="I276" s="8" cm="1">
        <f t="array" aca="1" ref="I276" ca="1">IF(ROW()-2&gt;7, (G276/INDIRECT("G"&amp;ROW()-7))-1, "")</f>
        <v>-0.12234217065560604</v>
      </c>
      <c r="J276" s="8" cm="1">
        <f t="array" aca="1" ref="J276" ca="1">IF(ROW()-2&gt;7, (C276/INDIRECT("C"&amp;ROW()-7))-1, "")</f>
        <v>0</v>
      </c>
      <c r="K276" s="8" cm="1">
        <f t="array" aca="1" ref="K276" ca="1">IF(ROW()-2&gt;7, (H276/INDIRECT("H"&amp;ROW()-7))-1, "")</f>
        <v>-0.12234217065560604</v>
      </c>
      <c r="L276" s="8">
        <f>IF(D276&gt;0, D276/C276, 0)</f>
        <v>0.24249998164992312</v>
      </c>
      <c r="M276" s="8">
        <f>IF(D276&gt;0, E276/D276, 0)</f>
        <v>0.3919998781753144</v>
      </c>
      <c r="N276" s="8">
        <f>IF(E276&gt;0, F276/E276, 0)</f>
        <v>0.70809997055288632</v>
      </c>
      <c r="O276" s="8">
        <f>IF(F276&gt;0, G276/F276, 0)</f>
        <v>0.79539979206951783</v>
      </c>
      <c r="P276" s="8" cm="1">
        <f t="array" aca="1" ref="P276" ca="1">IF(ROW()-2&gt;1, (L276/INDIRECT("L"&amp;ROW()-1))-1, "")</f>
        <v>-2.0201975857460086E-2</v>
      </c>
      <c r="Q276" s="8" cm="1">
        <f t="array" aca="1" ref="Q276" ca="1">IF(ROW()-2&gt;1, (M276/INDIRECT("M"&amp;ROW()-1))-1, "")</f>
        <v>-2.0000122237546103E-2</v>
      </c>
      <c r="R276" s="8" cm="1">
        <f t="array" aca="1" ref="R276" ca="1">IF(ROW()-2&gt;1, (N276/INDIRECT("N"&amp;ROW()-1))-1, "")</f>
        <v>-2.0202336383091213E-2</v>
      </c>
      <c r="S276" s="8" cm="1">
        <f t="array" aca="1" ref="S276" ca="1">IF(ROW()-2&gt;1, (O276/INDIRECT("O"&amp;ROW()-1))-1, "")</f>
        <v>-2.2759491258295128E-7</v>
      </c>
    </row>
    <row r="277" spans="2:19" x14ac:dyDescent="0.35">
      <c r="B277" s="3">
        <v>43740</v>
      </c>
      <c r="C277" s="4">
        <v>21500167</v>
      </c>
      <c r="D277" s="4">
        <v>5267540</v>
      </c>
      <c r="E277" s="4">
        <v>2085946</v>
      </c>
      <c r="F277" s="4">
        <v>1461831</v>
      </c>
      <c r="G277" s="4">
        <v>1150753</v>
      </c>
      <c r="H277" s="8">
        <f>IF(C277&gt;0, G277/C277, 0)</f>
        <v>5.3522979612204875E-2</v>
      </c>
      <c r="I277" s="8" cm="1">
        <f t="array" aca="1" ref="I277" ca="1">IF(ROW()-2&gt;7, (G277/INDIRECT("G"&amp;ROW()-7))-1, "")</f>
        <v>-0.18038878280484005</v>
      </c>
      <c r="J277" s="8" cm="1">
        <f t="array" aca="1" ref="J277" ca="1">IF(ROW()-2&gt;7, (C277/INDIRECT("C"&amp;ROW()-7))-1, "")</f>
        <v>1.0204109920066262E-2</v>
      </c>
      <c r="K277" s="8" cm="1">
        <f t="array" aca="1" ref="K277" ca="1">IF(ROW()-2&gt;7, (H277/INDIRECT("H"&amp;ROW()-7))-1, "")</f>
        <v>-0.18866770670729816</v>
      </c>
      <c r="L277" s="8">
        <f>IF(D277&gt;0, D277/C277, 0)</f>
        <v>0.24499995744219102</v>
      </c>
      <c r="M277" s="8">
        <f>IF(D277&gt;0, E277/D277, 0)</f>
        <v>0.39600003037471004</v>
      </c>
      <c r="N277" s="8">
        <f>IF(E277&gt;0, F277/E277, 0)</f>
        <v>0.700800020710028</v>
      </c>
      <c r="O277" s="8">
        <f>IF(F277&gt;0, G277/F277, 0)</f>
        <v>0.7871997515444672</v>
      </c>
      <c r="P277" s="8" cm="1">
        <f t="array" aca="1" ref="P277" ca="1">IF(ROW()-2&gt;1, (L277/INDIRECT("L"&amp;ROW()-1))-1, "")</f>
        <v>1.0309179304915927E-2</v>
      </c>
      <c r="Q277" s="8" cm="1">
        <f t="array" aca="1" ref="Q277" ca="1">IF(ROW()-2&gt;1, (M277/INDIRECT("M"&amp;ROW()-1))-1, "")</f>
        <v>1.0204473067735531E-2</v>
      </c>
      <c r="R277" s="8" cm="1">
        <f t="array" aca="1" ref="R277" ca="1">IF(ROW()-2&gt;1, (N277/INDIRECT("N"&amp;ROW()-1))-1, "")</f>
        <v>-1.0309207945819465E-2</v>
      </c>
      <c r="S277" s="8" cm="1">
        <f t="array" aca="1" ref="S277" ca="1">IF(ROW()-2&gt;1, (O277/INDIRECT("O"&amp;ROW()-1))-1, "")</f>
        <v>-1.0309331994813986E-2</v>
      </c>
    </row>
    <row r="278" spans="2:19" x14ac:dyDescent="0.35">
      <c r="B278" s="3">
        <v>43741</v>
      </c>
      <c r="C278" s="4">
        <v>21282993</v>
      </c>
      <c r="D278" s="4">
        <v>5480370</v>
      </c>
      <c r="E278" s="4">
        <v>2126383</v>
      </c>
      <c r="F278" s="4">
        <v>1567782</v>
      </c>
      <c r="G278" s="4">
        <v>1311293</v>
      </c>
      <c r="H278" s="8">
        <f>IF(C278&gt;0, G278/C278, 0)</f>
        <v>6.161224598438763E-2</v>
      </c>
      <c r="I278" s="8" cm="1">
        <f t="array" aca="1" ref="I278" ca="1">IF(ROW()-2&gt;7, (G278/INDIRECT("G"&amp;ROW()-7))-1, "")</f>
        <v>-1.9805813921328408E-2</v>
      </c>
      <c r="J278" s="8" cm="1">
        <f t="array" aca="1" ref="J278" ca="1">IF(ROW()-2&gt;7, (C278/INDIRECT("C"&amp;ROW()-7))-1, "")</f>
        <v>-4.8543689754417474E-2</v>
      </c>
      <c r="K278" s="8" cm="1">
        <f t="array" aca="1" ref="K278" ca="1">IF(ROW()-2&gt;7, (H278/INDIRECT("H"&amp;ROW()-7))-1, "")</f>
        <v>3.0204094001616832E-2</v>
      </c>
      <c r="L278" s="8">
        <f>IF(D278&gt;0, D278/C278, 0)</f>
        <v>0.2574999672273538</v>
      </c>
      <c r="M278" s="8">
        <f>IF(D278&gt;0, E278/D278, 0)</f>
        <v>0.38799989781711819</v>
      </c>
      <c r="N278" s="8">
        <f>IF(E278&gt;0, F278/E278, 0)</f>
        <v>0.73729991257454564</v>
      </c>
      <c r="O278" s="8">
        <f>IF(F278&gt;0, G278/F278, 0)</f>
        <v>0.83640008623647932</v>
      </c>
      <c r="P278" s="8" cm="1">
        <f t="array" aca="1" ref="P278" ca="1">IF(ROW()-2&gt;1, (L278/INDIRECT("L"&amp;ROW()-1))-1, "")</f>
        <v>5.1020456965231276E-2</v>
      </c>
      <c r="Q278" s="8" cm="1">
        <f t="array" aca="1" ref="Q278" ca="1">IF(ROW()-2&gt;1, (M278/INDIRECT("M"&amp;ROW()-1))-1, "")</f>
        <v>-2.0202353393816264E-2</v>
      </c>
      <c r="R278" s="8" cm="1">
        <f t="array" aca="1" ref="R278" ca="1">IF(ROW()-2&gt;1, (N278/INDIRECT("N"&amp;ROW()-1))-1, "")</f>
        <v>5.2083177491258015E-2</v>
      </c>
      <c r="S278" s="8" cm="1">
        <f t="array" aca="1" ref="S278" ca="1">IF(ROW()-2&gt;1, (O278/INDIRECT("O"&amp;ROW()-1))-1, "")</f>
        <v>6.2500444894046492E-2</v>
      </c>
    </row>
    <row r="279" spans="2:19" x14ac:dyDescent="0.35">
      <c r="B279" s="3">
        <v>43742</v>
      </c>
      <c r="C279" s="4">
        <v>21065820</v>
      </c>
      <c r="D279" s="4">
        <v>5213790</v>
      </c>
      <c r="E279" s="4">
        <v>2064661</v>
      </c>
      <c r="F279" s="4">
        <v>1431842</v>
      </c>
      <c r="G279" s="4">
        <v>1127146</v>
      </c>
      <c r="H279" s="8">
        <f>IF(C279&gt;0, G279/C279, 0)</f>
        <v>5.3505916218784741E-2</v>
      </c>
      <c r="I279" s="8" cm="1">
        <f t="array" aca="1" ref="I279" ca="1">IF(ROW()-2&gt;7, (G279/INDIRECT("G"&amp;ROW()-7))-1, "")</f>
        <v>-5.8652468942478331E-2</v>
      </c>
      <c r="J279" s="8" cm="1">
        <f t="array" aca="1" ref="J279" ca="1">IF(ROW()-2&gt;7, (C279/INDIRECT("C"&amp;ROW()-7))-1, "")</f>
        <v>1.0416695645367069E-2</v>
      </c>
      <c r="K279" s="8" cm="1">
        <f t="array" aca="1" ref="K279" ca="1">IF(ROW()-2&gt;7, (H279/INDIRECT("H"&amp;ROW()-7))-1, "")</f>
        <v>-6.835710938419326E-2</v>
      </c>
      <c r="L279" s="8">
        <f>IF(D279&gt;0, D279/C279, 0)</f>
        <v>0.247499978638382</v>
      </c>
      <c r="M279" s="8">
        <f>IF(D279&gt;0, E279/D279, 0)</f>
        <v>0.39600003068784895</v>
      </c>
      <c r="N279" s="8">
        <f>IF(E279&gt;0, F279/E279, 0)</f>
        <v>0.69349980456840132</v>
      </c>
      <c r="O279" s="8">
        <f>IF(F279&gt;0, G279/F279, 0)</f>
        <v>0.78719998435581584</v>
      </c>
      <c r="P279" s="8" cm="1">
        <f t="array" aca="1" ref="P279" ca="1">IF(ROW()-2&gt;1, (L279/INDIRECT("L"&amp;ROW()-1))-1, "")</f>
        <v>-3.883491208425105E-2</v>
      </c>
      <c r="Q279" s="8" cm="1">
        <f t="array" aca="1" ref="Q279" ca="1">IF(ROW()-2&gt;1, (M279/INDIRECT("M"&amp;ROW()-1))-1, "")</f>
        <v>2.0618904581520159E-2</v>
      </c>
      <c r="R279" s="8" cm="1">
        <f t="array" aca="1" ref="R279" ca="1">IF(ROW()-2&gt;1, (N279/INDIRECT("N"&amp;ROW()-1))-1, "")</f>
        <v>-5.9406094126880582E-2</v>
      </c>
      <c r="S279" s="8" cm="1">
        <f t="array" aca="1" ref="S279" ca="1">IF(ROW()-2&gt;1, (O279/INDIRECT("O"&amp;ROW()-1))-1, "")</f>
        <v>-5.8823645155331672E-2</v>
      </c>
    </row>
    <row r="280" spans="2:19" x14ac:dyDescent="0.35">
      <c r="B280" s="3">
        <v>43743</v>
      </c>
      <c r="C280" s="4">
        <v>46236443</v>
      </c>
      <c r="D280" s="4">
        <v>9612556</v>
      </c>
      <c r="E280" s="4">
        <v>3235586</v>
      </c>
      <c r="F280" s="4">
        <v>2178196</v>
      </c>
      <c r="G280" s="4">
        <v>1648023</v>
      </c>
      <c r="H280" s="8">
        <f>IF(C280&gt;0, G280/C280, 0)</f>
        <v>3.5643377670726097E-2</v>
      </c>
      <c r="I280" s="8" cm="1">
        <f t="array" aca="1" ref="I280" ca="1">IF(ROW()-2&gt;7, (G280/INDIRECT("G"&amp;ROW()-7))-1, "")</f>
        <v>4.1273140835281552E-2</v>
      </c>
      <c r="J280" s="8" cm="1">
        <f t="array" aca="1" ref="J280" ca="1">IF(ROW()-2&gt;7, (C280/INDIRECT("C"&amp;ROW()-7))-1, "")</f>
        <v>5.1020419528979843E-2</v>
      </c>
      <c r="K280" s="8" cm="1">
        <f t="array" aca="1" ref="K280" ca="1">IF(ROW()-2&gt;7, (H280/INDIRECT("H"&amp;ROW()-7))-1, "")</f>
        <v>-9.2741097247820425E-3</v>
      </c>
      <c r="L280" s="8">
        <f>IF(D280&gt;0, D280/C280, 0)</f>
        <v>0.20789998919250774</v>
      </c>
      <c r="M280" s="8">
        <f>IF(D280&gt;0, E280/D280, 0)</f>
        <v>0.33659996363090111</v>
      </c>
      <c r="N280" s="8">
        <f>IF(E280&gt;0, F280/E280, 0)</f>
        <v>0.67319984695198953</v>
      </c>
      <c r="O280" s="8">
        <f>IF(F280&gt;0, G280/F280, 0)</f>
        <v>0.75659995702866045</v>
      </c>
      <c r="P280" s="8" cm="1">
        <f t="array" aca="1" ref="P280" ca="1">IF(ROW()-2&gt;1, (L280/INDIRECT("L"&amp;ROW()-1))-1, "")</f>
        <v>-0.15999997116659603</v>
      </c>
      <c r="Q280" s="8" cm="1">
        <f t="array" aca="1" ref="Q280" ca="1">IF(ROW()-2&gt;1, (M280/INDIRECT("M"&amp;ROW()-1))-1, "")</f>
        <v>-0.15000015771152941</v>
      </c>
      <c r="R280" s="8" cm="1">
        <f t="array" aca="1" ref="R280" ca="1">IF(ROW()-2&gt;1, (N280/INDIRECT("N"&amp;ROW()-1))-1, "")</f>
        <v>-2.9271756794575388E-2</v>
      </c>
      <c r="S280" s="8" cm="1">
        <f t="array" aca="1" ref="S280" ca="1">IF(ROW()-2&gt;1, (O280/INDIRECT("O"&amp;ROW()-1))-1, "")</f>
        <v>-3.8871986706397244E-2</v>
      </c>
    </row>
    <row r="281" spans="2:19" x14ac:dyDescent="0.35">
      <c r="B281" s="3">
        <v>43744</v>
      </c>
      <c r="C281" s="4">
        <v>43543058</v>
      </c>
      <c r="D281" s="4">
        <v>9144042</v>
      </c>
      <c r="E281" s="4">
        <v>3140064</v>
      </c>
      <c r="F281" s="4">
        <v>2135243</v>
      </c>
      <c r="G281" s="4">
        <v>1698799</v>
      </c>
      <c r="H281" s="8">
        <f>IF(C281&gt;0, G281/C281, 0)</f>
        <v>3.9014232762430233E-2</v>
      </c>
      <c r="I281" s="8" cm="1">
        <f t="array" aca="1" ref="I281" ca="1">IF(ROW()-2&gt;7, (G281/INDIRECT("G"&amp;ROW()-7))-1, "")</f>
        <v>8.5402326831010456E-2</v>
      </c>
      <c r="J281" s="8" cm="1">
        <f t="array" aca="1" ref="J281" ca="1">IF(ROW()-2&gt;7, (C281/INDIRECT("C"&amp;ROW()-7))-1, "")</f>
        <v>2.1052631332113103E-2</v>
      </c>
      <c r="K281" s="8" cm="1">
        <f t="array" aca="1" ref="K281" ca="1">IF(ROW()-2&gt;7, (H281/INDIRECT("H"&amp;ROW()-7))-1, "")</f>
        <v>6.3022897668794764E-2</v>
      </c>
      <c r="L281" s="8">
        <f>IF(D281&gt;0, D281/C281, 0)</f>
        <v>0.2099999958661608</v>
      </c>
      <c r="M281" s="8">
        <f>IF(D281&gt;0, E281/D281, 0)</f>
        <v>0.34339999750657313</v>
      </c>
      <c r="N281" s="8">
        <f>IF(E281&gt;0, F281/E281, 0)</f>
        <v>0.67999983439827982</v>
      </c>
      <c r="O281" s="8">
        <f>IF(F281&gt;0, G281/F281, 0)</f>
        <v>0.79559984507618098</v>
      </c>
      <c r="P281" s="8" cm="1">
        <f t="array" aca="1" ref="P281" ca="1">IF(ROW()-2&gt;1, (L281/INDIRECT("L"&amp;ROW()-1))-1, "")</f>
        <v>1.0101042726406995E-2</v>
      </c>
      <c r="Q281" s="8" cm="1">
        <f t="array" aca="1" ref="Q281" ca="1">IF(ROW()-2&gt;1, (M281/INDIRECT("M"&amp;ROW()-1))-1, "")</f>
        <v>2.0202123025564456E-2</v>
      </c>
      <c r="R281" s="8" cm="1">
        <f t="array" aca="1" ref="R281" ca="1">IF(ROW()-2&gt;1, (N281/INDIRECT("N"&amp;ROW()-1))-1, "")</f>
        <v>1.0100993749594833E-2</v>
      </c>
      <c r="S281" s="8" cm="1">
        <f t="array" aca="1" ref="S281" ca="1">IF(ROW()-2&gt;1, (O281/INDIRECT("O"&amp;ROW()-1))-1, "")</f>
        <v>5.1546246712307342E-2</v>
      </c>
    </row>
    <row r="282" spans="2:19" x14ac:dyDescent="0.35">
      <c r="B282" s="3">
        <v>43745</v>
      </c>
      <c r="C282" s="4">
        <v>21500167</v>
      </c>
      <c r="D282" s="4">
        <v>5643793</v>
      </c>
      <c r="E282" s="4">
        <v>2234942</v>
      </c>
      <c r="F282" s="4">
        <v>1631507</v>
      </c>
      <c r="G282" s="4">
        <v>1377971</v>
      </c>
      <c r="H282" s="8">
        <f>IF(C282&gt;0, G282/C282, 0)</f>
        <v>6.4091176594116686E-2</v>
      </c>
      <c r="I282" s="8" cm="1">
        <f t="array" aca="1" ref="I282" ca="1">IF(ROW()-2&gt;7, (G282/INDIRECT("G"&amp;ROW()-7))-1, "")</f>
        <v>0.11494806239309452</v>
      </c>
      <c r="J282" s="8" cm="1">
        <f t="array" aca="1" ref="J282" ca="1">IF(ROW()-2&gt;7, (C282/INDIRECT("C"&amp;ROW()-7))-1, "")</f>
        <v>-9.9999815815380311E-3</v>
      </c>
      <c r="K282" s="8" cm="1">
        <f t="array" aca="1" ref="K282" ca="1">IF(ROW()-2&gt;7, (H282/INDIRECT("H"&amp;ROW()-7))-1, "")</f>
        <v>0.12621014308084444</v>
      </c>
      <c r="L282" s="8">
        <f>IF(D282&gt;0, D282/C282, 0)</f>
        <v>0.26249996104681417</v>
      </c>
      <c r="M282" s="8">
        <f>IF(D282&gt;0, E282/D282, 0)</f>
        <v>0.39599999503879751</v>
      </c>
      <c r="N282" s="8">
        <f>IF(E282&gt;0, F282/E282, 0)</f>
        <v>0.72999970469032305</v>
      </c>
      <c r="O282" s="8">
        <f>IF(F282&gt;0, G282/F282, 0)</f>
        <v>0.84460011510830169</v>
      </c>
      <c r="P282" s="8" cm="1">
        <f t="array" aca="1" ref="P282" ca="1">IF(ROW()-2&gt;1, (L282/INDIRECT("L"&amp;ROW()-1))-1, "")</f>
        <v>0.24999983911482149</v>
      </c>
      <c r="Q282" s="8" cm="1">
        <f t="array" aca="1" ref="Q282" ca="1">IF(ROW()-2&gt;1, (M282/INDIRECT("M"&amp;ROW()-1))-1, "")</f>
        <v>0.15317413486940268</v>
      </c>
      <c r="R282" s="8" cm="1">
        <f t="array" aca="1" ref="R282" ca="1">IF(ROW()-2&gt;1, (N282/INDIRECT("N"&amp;ROW()-1))-1, "")</f>
        <v>7.3529238924428864E-2</v>
      </c>
      <c r="S282" s="8" cm="1">
        <f t="array" aca="1" ref="S282" ca="1">IF(ROW()-2&gt;1, (O282/INDIRECT("O"&amp;ROW()-1))-1, "")</f>
        <v>6.1589089459197721E-2</v>
      </c>
    </row>
    <row r="283" spans="2:19" x14ac:dyDescent="0.35">
      <c r="B283" s="3">
        <v>43746</v>
      </c>
      <c r="C283" s="4">
        <v>22368860</v>
      </c>
      <c r="D283" s="4">
        <v>5536293</v>
      </c>
      <c r="E283" s="4">
        <v>2303097</v>
      </c>
      <c r="F283" s="4">
        <v>1630823</v>
      </c>
      <c r="G283" s="4">
        <v>1270411</v>
      </c>
      <c r="H283" s="8">
        <f>IF(C283&gt;0, G283/C283, 0)</f>
        <v>5.6793730212447123E-2</v>
      </c>
      <c r="I283" s="8" cm="1">
        <f t="array" aca="1" ref="I283" ca="1">IF(ROW()-2&gt;7, (G283/INDIRECT("G"&amp;ROW()-7))-1, "")</f>
        <v>8.1779027429128126E-2</v>
      </c>
      <c r="J283" s="8" cm="1">
        <f t="array" aca="1" ref="J283" ca="1">IF(ROW()-2&gt;7, (C283/INDIRECT("C"&amp;ROW()-7))-1, "")</f>
        <v>1.9801989677181275E-2</v>
      </c>
      <c r="K283" s="8" cm="1">
        <f t="array" aca="1" ref="K283" ca="1">IF(ROW()-2&gt;7, (H283/INDIRECT("H"&amp;ROW()-7))-1, "")</f>
        <v>6.077359956079853E-2</v>
      </c>
      <c r="L283" s="8">
        <f>IF(D283&gt;0, D283/C283, 0)</f>
        <v>0.24750000670575076</v>
      </c>
      <c r="M283" s="8">
        <f>IF(D283&gt;0, E283/D283, 0)</f>
        <v>0.41599983960386488</v>
      </c>
      <c r="N283" s="8">
        <f>IF(E283&gt;0, F283/E283, 0)</f>
        <v>0.70810000620903069</v>
      </c>
      <c r="O283" s="8">
        <f>IF(F283&gt;0, G283/F283, 0)</f>
        <v>0.77899992825708242</v>
      </c>
      <c r="P283" s="8" cm="1">
        <f t="array" aca="1" ref="P283" ca="1">IF(ROW()-2&gt;1, (L283/INDIRECT("L"&amp;ROW()-1))-1, "")</f>
        <v>-5.7142691683631619E-2</v>
      </c>
      <c r="Q283" s="8" cm="1">
        <f t="array" aca="1" ref="Q283" ca="1">IF(ROW()-2&gt;1, (M283/INDIRECT("M"&amp;ROW()-1))-1, "")</f>
        <v>5.0504658625331267E-2</v>
      </c>
      <c r="R283" s="8" cm="1">
        <f t="array" aca="1" ref="R283" ca="1">IF(ROW()-2&gt;1, (N283/INDIRECT("N"&amp;ROW()-1))-1, "")</f>
        <v>-2.9999599096526386E-2</v>
      </c>
      <c r="S283" s="8" cm="1">
        <f t="array" aca="1" ref="S283" ca="1">IF(ROW()-2&gt;1, (O283/INDIRECT("O"&amp;ROW()-1))-1, "")</f>
        <v>-7.7670113557594567E-2</v>
      </c>
    </row>
    <row r="284" spans="2:19" x14ac:dyDescent="0.35">
      <c r="B284" s="3">
        <v>43747</v>
      </c>
      <c r="C284" s="4">
        <v>20631473</v>
      </c>
      <c r="D284" s="4">
        <v>5415761</v>
      </c>
      <c r="E284" s="4">
        <v>2166304</v>
      </c>
      <c r="F284" s="4">
        <v>1660472</v>
      </c>
      <c r="G284" s="4">
        <v>1402435</v>
      </c>
      <c r="H284" s="8">
        <f>IF(C284&gt;0, G284/C284, 0)</f>
        <v>6.7975514884468013E-2</v>
      </c>
      <c r="I284" s="8" cm="1">
        <f t="array" aca="1" ref="I284" ca="1">IF(ROW()-2&gt;7, (G284/INDIRECT("G"&amp;ROW()-7))-1, "")</f>
        <v>0.21871070507745793</v>
      </c>
      <c r="J284" s="8" cm="1">
        <f t="array" aca="1" ref="J284" ca="1">IF(ROW()-2&gt;7, (C284/INDIRECT("C"&amp;ROW()-7))-1, "")</f>
        <v>-4.0404058256849784E-2</v>
      </c>
      <c r="K284" s="8" cm="1">
        <f t="array" aca="1" ref="K284" ca="1">IF(ROW()-2&gt;7, (H284/INDIRECT("H"&amp;ROW()-7))-1, "")</f>
        <v>0.27002486365627365</v>
      </c>
      <c r="L284" s="8">
        <f>IF(D284&gt;0, D284/C284, 0)</f>
        <v>0.2624999678888657</v>
      </c>
      <c r="M284" s="8">
        <f>IF(D284&gt;0, E284/D284, 0)</f>
        <v>0.39999992614149699</v>
      </c>
      <c r="N284" s="8">
        <f>IF(E284&gt;0, F284/E284, 0)</f>
        <v>0.76649999261414836</v>
      </c>
      <c r="O284" s="8">
        <f>IF(F284&gt;0, G284/F284, 0)</f>
        <v>0.84460021006075381</v>
      </c>
      <c r="P284" s="8" cm="1">
        <f t="array" aca="1" ref="P284" ca="1">IF(ROW()-2&gt;1, (L284/INDIRECT("L"&amp;ROW()-1))-1, "")</f>
        <v>6.060590212810868E-2</v>
      </c>
      <c r="Q284" s="8" cm="1">
        <f t="array" aca="1" ref="Q284" ca="1">IF(ROW()-2&gt;1, (M284/INDIRECT("M"&amp;ROW()-1))-1, "")</f>
        <v>-3.8461345267834179E-2</v>
      </c>
      <c r="R284" s="8" cm="1">
        <f t="array" aca="1" ref="R284" ca="1">IF(ROW()-2&gt;1, (N284/INDIRECT("N"&amp;ROW()-1))-1, "")</f>
        <v>8.2474206881842704E-2</v>
      </c>
      <c r="S284" s="8" cm="1">
        <f t="array" aca="1" ref="S284" ca="1">IF(ROW()-2&gt;1, (O284/INDIRECT("O"&amp;ROW()-1))-1, "")</f>
        <v>8.42108958218315E-2</v>
      </c>
    </row>
    <row r="285" spans="2:19" x14ac:dyDescent="0.35">
      <c r="B285" s="3">
        <v>43748</v>
      </c>
      <c r="C285" s="4">
        <v>21282993</v>
      </c>
      <c r="D285" s="4">
        <v>5267540</v>
      </c>
      <c r="E285" s="4">
        <v>2022735</v>
      </c>
      <c r="F285" s="4">
        <v>1402767</v>
      </c>
      <c r="G285" s="4">
        <v>1127263</v>
      </c>
      <c r="H285" s="8">
        <f>IF(C285&gt;0, G285/C285, 0)</f>
        <v>5.2965435829443727E-2</v>
      </c>
      <c r="I285" s="8" cm="1">
        <f t="array" aca="1" ref="I285" ca="1">IF(ROW()-2&gt;7, (G285/INDIRECT("G"&amp;ROW()-7))-1, "")</f>
        <v>-0.14034239487284683</v>
      </c>
      <c r="J285" s="8" cm="1">
        <f t="array" aca="1" ref="J285" ca="1">IF(ROW()-2&gt;7, (C285/INDIRECT("C"&amp;ROW()-7))-1, "")</f>
        <v>0</v>
      </c>
      <c r="K285" s="8" cm="1">
        <f t="array" aca="1" ref="K285" ca="1">IF(ROW()-2&gt;7, (H285/INDIRECT("H"&amp;ROW()-7))-1, "")</f>
        <v>-0.14034239487284683</v>
      </c>
      <c r="L285" s="8">
        <f>IF(D285&gt;0, D285/C285, 0)</f>
        <v>0.2474999639383427</v>
      </c>
      <c r="M285" s="8">
        <f>IF(D285&gt;0, E285/D285, 0)</f>
        <v>0.38399993165690244</v>
      </c>
      <c r="N285" s="8">
        <f>IF(E285&gt;0, F285/E285, 0)</f>
        <v>0.69350013719048709</v>
      </c>
      <c r="O285" s="8">
        <f>IF(F285&gt;0, G285/F285, 0)</f>
        <v>0.80359959993355989</v>
      </c>
      <c r="P285" s="8" cm="1">
        <f t="array" aca="1" ref="P285" ca="1">IF(ROW()-2&gt;1, (L285/INDIRECT("L"&amp;ROW()-1))-1, "")</f>
        <v>-5.7142879182650153E-2</v>
      </c>
      <c r="Q285" s="8" cm="1">
        <f t="array" aca="1" ref="Q285" ca="1">IF(ROW()-2&gt;1, (M285/INDIRECT("M"&amp;ROW()-1))-1, "")</f>
        <v>-3.9999993597335526E-2</v>
      </c>
      <c r="R285" s="8" cm="1">
        <f t="array" aca="1" ref="R285" ca="1">IF(ROW()-2&gt;1, (N285/INDIRECT("N"&amp;ROW()-1))-1, "")</f>
        <v>-9.5237907536952826E-2</v>
      </c>
      <c r="S285" s="8" cm="1">
        <f t="array" aca="1" ref="S285" ca="1">IF(ROW()-2&gt;1, (O285/INDIRECT("O"&amp;ROW()-1))-1, "")</f>
        <v>-4.8544399632868496E-2</v>
      </c>
    </row>
    <row r="286" spans="2:19" x14ac:dyDescent="0.35">
      <c r="B286" s="3">
        <v>43749</v>
      </c>
      <c r="C286" s="4">
        <v>21282993</v>
      </c>
      <c r="D286" s="4">
        <v>5267540</v>
      </c>
      <c r="E286" s="4">
        <v>2043805</v>
      </c>
      <c r="F286" s="4">
        <v>1536737</v>
      </c>
      <c r="G286" s="4">
        <v>1234922</v>
      </c>
      <c r="H286" s="8">
        <f>IF(C286&gt;0, G286/C286, 0)</f>
        <v>5.8023887899601341E-2</v>
      </c>
      <c r="I286" s="8" cm="1">
        <f t="array" aca="1" ref="I286" ca="1">IF(ROW()-2&gt;7, (G286/INDIRECT("G"&amp;ROW()-7))-1, "")</f>
        <v>9.5618491304586994E-2</v>
      </c>
      <c r="J286" s="8" cm="1">
        <f t="array" aca="1" ref="J286" ca="1">IF(ROW()-2&gt;7, (C286/INDIRECT("C"&amp;ROW()-7))-1, "")</f>
        <v>1.0309259264533743E-2</v>
      </c>
      <c r="K286" s="8" cm="1">
        <f t="array" aca="1" ref="K286" ca="1">IF(ROW()-2&gt;7, (H286/INDIRECT("H"&amp;ROW()-7))-1, "")</f>
        <v>8.443873126744883E-2</v>
      </c>
      <c r="L286" s="8">
        <f>IF(D286&gt;0, D286/C286, 0)</f>
        <v>0.2474999639383427</v>
      </c>
      <c r="M286" s="8">
        <f>IF(D286&gt;0, E286/D286, 0)</f>
        <v>0.38799990128219247</v>
      </c>
      <c r="N286" s="8">
        <f>IF(E286&gt;0, F286/E286, 0)</f>
        <v>0.75190001003031115</v>
      </c>
      <c r="O286" s="8">
        <f>IF(F286&gt;0, G286/F286, 0)</f>
        <v>0.80360009552708112</v>
      </c>
      <c r="P286" s="8" cm="1">
        <f t="array" aca="1" ref="P286" ca="1">IF(ROW()-2&gt;1, (L286/INDIRECT("L"&amp;ROW()-1))-1, "")</f>
        <v>0</v>
      </c>
      <c r="Q286" s="8" cm="1">
        <f t="array" aca="1" ref="Q286" ca="1">IF(ROW()-2&gt;1, (M286/INDIRECT("M"&amp;ROW()-1))-1, "")</f>
        <v>1.0416589419770972E-2</v>
      </c>
      <c r="R286" s="8" cm="1">
        <f t="array" aca="1" ref="R286" ca="1">IF(ROW()-2&gt;1, (N286/INDIRECT("N"&amp;ROW()-1))-1, "")</f>
        <v>8.4210326296998428E-2</v>
      </c>
      <c r="S286" s="8" cm="1">
        <f t="array" aca="1" ref="S286" ca="1">IF(ROW()-2&gt;1, (O286/INDIRECT("O"&amp;ROW()-1))-1, "")</f>
        <v>6.1671698348142456E-7</v>
      </c>
    </row>
    <row r="287" spans="2:19" x14ac:dyDescent="0.35">
      <c r="B287" s="3">
        <v>43750</v>
      </c>
      <c r="C287" s="4">
        <v>45338648</v>
      </c>
      <c r="D287" s="4">
        <v>9045060</v>
      </c>
      <c r="E287" s="4">
        <v>2983060</v>
      </c>
      <c r="F287" s="4">
        <v>2028481</v>
      </c>
      <c r="G287" s="4">
        <v>1645504</v>
      </c>
      <c r="H287" s="8">
        <f>IF(C287&gt;0, G287/C287, 0)</f>
        <v>3.6293627458851445E-2</v>
      </c>
      <c r="I287" s="8" cm="1">
        <f t="array" aca="1" ref="I287" ca="1">IF(ROW()-2&gt;7, (G287/INDIRECT("G"&amp;ROW()-7))-1, "")</f>
        <v>-1.5284980852815488E-3</v>
      </c>
      <c r="J287" s="8" cm="1">
        <f t="array" aca="1" ref="J287" ca="1">IF(ROW()-2&gt;7, (C287/INDIRECT("C"&amp;ROW()-7))-1, "")</f>
        <v>-1.9417475518175187E-2</v>
      </c>
      <c r="K287" s="8" cm="1">
        <f t="array" aca="1" ref="K287" ca="1">IF(ROW()-2&gt;7, (H287/INDIRECT("H"&amp;ROW()-7))-1, "")</f>
        <v>1.824321460587619E-2</v>
      </c>
      <c r="L287" s="8">
        <f>IF(D287&gt;0, D287/C287, 0)</f>
        <v>0.19949999391247838</v>
      </c>
      <c r="M287" s="8">
        <f>IF(D287&gt;0, E287/D287, 0)</f>
        <v>0.3297999128806221</v>
      </c>
      <c r="N287" s="8">
        <f>IF(E287&gt;0, F287/E287, 0)</f>
        <v>0.68000006704524885</v>
      </c>
      <c r="O287" s="8">
        <f>IF(F287&gt;0, G287/F287, 0)</f>
        <v>0.81120010490608485</v>
      </c>
      <c r="P287" s="8" cm="1">
        <f t="array" aca="1" ref="P287" ca="1">IF(ROW()-2&gt;1, (L287/INDIRECT("L"&amp;ROW()-1))-1, "")</f>
        <v>-0.19393930108944213</v>
      </c>
      <c r="Q287" s="8" cm="1">
        <f t="array" aca="1" ref="Q287" ca="1">IF(ROW()-2&gt;1, (M287/INDIRECT("M"&amp;ROW()-1))-1, "")</f>
        <v>-0.15000000827124305</v>
      </c>
      <c r="R287" s="8" cm="1">
        <f t="array" aca="1" ref="R287" ca="1">IF(ROW()-2&gt;1, (N287/INDIRECT("N"&amp;ROW()-1))-1, "")</f>
        <v>-9.5624341037266136E-2</v>
      </c>
      <c r="S287" s="8" cm="1">
        <f t="array" aca="1" ref="S287" ca="1">IF(ROW()-2&gt;1, (O287/INDIRECT("O"&amp;ROW()-1))-1, "")</f>
        <v>9.457452060180449E-3</v>
      </c>
    </row>
    <row r="288" spans="2:19" x14ac:dyDescent="0.35">
      <c r="B288" s="3">
        <v>43751</v>
      </c>
      <c r="C288" s="4">
        <v>43543058</v>
      </c>
      <c r="D288" s="4">
        <v>9509803</v>
      </c>
      <c r="E288" s="4">
        <v>3104000</v>
      </c>
      <c r="F288" s="4">
        <v>2089612</v>
      </c>
      <c r="G288" s="4">
        <v>1678794</v>
      </c>
      <c r="H288" s="8">
        <f>IF(C288&gt;0, G288/C288, 0)</f>
        <v>3.8554802467020116E-2</v>
      </c>
      <c r="I288" s="8" cm="1">
        <f t="array" aca="1" ref="I288" ca="1">IF(ROW()-2&gt;7, (G288/INDIRECT("G"&amp;ROW()-7))-1, "")</f>
        <v>-1.1775966432756357E-2</v>
      </c>
      <c r="J288" s="8" cm="1">
        <f t="array" aca="1" ref="J288" ca="1">IF(ROW()-2&gt;7, (C288/INDIRECT("C"&amp;ROW()-7))-1, "")</f>
        <v>0</v>
      </c>
      <c r="K288" s="8" cm="1">
        <f t="array" aca="1" ref="K288" ca="1">IF(ROW()-2&gt;7, (H288/INDIRECT("H"&amp;ROW()-7))-1, "")</f>
        <v>-1.1775966432756246E-2</v>
      </c>
      <c r="L288" s="8">
        <f>IF(D288&gt;0, D288/C288, 0)</f>
        <v>0.21839998008408137</v>
      </c>
      <c r="M288" s="8">
        <f>IF(D288&gt;0, E288/D288, 0)</f>
        <v>0.32640003163051851</v>
      </c>
      <c r="N288" s="8">
        <f>IF(E288&gt;0, F288/E288, 0)</f>
        <v>0.67319974226804125</v>
      </c>
      <c r="O288" s="8">
        <f>IF(F288&gt;0, G288/F288, 0)</f>
        <v>0.80339986562098609</v>
      </c>
      <c r="P288" s="8" cm="1">
        <f t="array" aca="1" ref="P288" ca="1">IF(ROW()-2&gt;1, (L288/INDIRECT("L"&amp;ROW()-1))-1, "")</f>
        <v>9.4736775680777763E-2</v>
      </c>
      <c r="Q288" s="8" cm="1">
        <f t="array" aca="1" ref="Q288" ca="1">IF(ROW()-2&gt;1, (M288/INDIRECT("M"&amp;ROW()-1))-1, "")</f>
        <v>-1.0308921007308625E-2</v>
      </c>
      <c r="R288" s="8" cm="1">
        <f t="array" aca="1" ref="R288" ca="1">IF(ROW()-2&gt;1, (N288/INDIRECT("N"&amp;ROW()-1))-1, "")</f>
        <v>-1.0000476627534005E-2</v>
      </c>
      <c r="S288" s="8" cm="1">
        <f t="array" aca="1" ref="S288" ca="1">IF(ROW()-2&gt;1, (O288/INDIRECT("O"&amp;ROW()-1))-1, "")</f>
        <v>-9.6156783485645825E-3</v>
      </c>
    </row>
    <row r="289" spans="2:19" x14ac:dyDescent="0.35">
      <c r="B289" s="3">
        <v>43752</v>
      </c>
      <c r="C289" s="4">
        <v>20848646</v>
      </c>
      <c r="D289" s="4">
        <v>5107918</v>
      </c>
      <c r="E289" s="4">
        <v>1981872</v>
      </c>
      <c r="F289" s="4">
        <v>1403363</v>
      </c>
      <c r="G289" s="4">
        <v>1104728</v>
      </c>
      <c r="H289" s="8">
        <f>IF(C289&gt;0, G289/C289, 0)</f>
        <v>5.2987997398008482E-2</v>
      </c>
      <c r="I289" s="8" cm="1">
        <f t="array" aca="1" ref="I289" ca="1">IF(ROW()-2&gt;7, (G289/INDIRECT("G"&amp;ROW()-7))-1, "")</f>
        <v>-0.19829372316253391</v>
      </c>
      <c r="J289" s="8" cm="1">
        <f t="array" aca="1" ref="J289" ca="1">IF(ROW()-2&gt;7, (C289/INDIRECT("C"&amp;ROW()-7))-1, "")</f>
        <v>-3.0303066948270674E-2</v>
      </c>
      <c r="K289" s="8" cm="1">
        <f t="array" aca="1" ref="K289" ca="1">IF(ROW()-2&gt;7, (H289/INDIRECT("H"&amp;ROW()-7))-1, "")</f>
        <v>-0.17324037076778254</v>
      </c>
      <c r="L289" s="8">
        <f>IF(D289&gt;0, D289/C289, 0)</f>
        <v>0.2449999870495187</v>
      </c>
      <c r="M289" s="8">
        <f>IF(D289&gt;0, E289/D289, 0)</f>
        <v>0.38799996397749531</v>
      </c>
      <c r="N289" s="8">
        <f>IF(E289&gt;0, F289/E289, 0)</f>
        <v>0.70809971582423081</v>
      </c>
      <c r="O289" s="8">
        <f>IF(F289&gt;0, G289/F289, 0)</f>
        <v>0.78720046060783988</v>
      </c>
      <c r="P289" s="8" cm="1">
        <f t="array" aca="1" ref="P289" ca="1">IF(ROW()-2&gt;1, (L289/INDIRECT("L"&amp;ROW()-1))-1, "")</f>
        <v>0.12179491479439064</v>
      </c>
      <c r="Q289" s="8" cm="1">
        <f t="array" aca="1" ref="Q289" ca="1">IF(ROW()-2&gt;1, (M289/INDIRECT("M"&amp;ROW()-1))-1, "")</f>
        <v>0.18872526463694483</v>
      </c>
      <c r="R289" s="8" cm="1">
        <f t="array" aca="1" ref="R289" ca="1">IF(ROW()-2&gt;1, (N289/INDIRECT("N"&amp;ROW()-1))-1, "")</f>
        <v>5.1841929467486114E-2</v>
      </c>
      <c r="S289" s="8" cm="1">
        <f t="array" aca="1" ref="S289" ca="1">IF(ROW()-2&gt;1, (O289/INDIRECT("O"&amp;ROW()-1))-1, "")</f>
        <v>-2.0163564504239617E-2</v>
      </c>
    </row>
    <row r="290" spans="2:19" x14ac:dyDescent="0.35">
      <c r="B290" s="3">
        <v>43753</v>
      </c>
      <c r="C290" s="4">
        <v>21934513</v>
      </c>
      <c r="D290" s="4">
        <v>5209447</v>
      </c>
      <c r="E290" s="4">
        <v>2000427</v>
      </c>
      <c r="F290" s="4">
        <v>1416502</v>
      </c>
      <c r="G290" s="4">
        <v>1126686</v>
      </c>
      <c r="H290" s="8">
        <f>IF(C290&gt;0, G290/C290, 0)</f>
        <v>5.1365899940427215E-2</v>
      </c>
      <c r="I290" s="8" cm="1">
        <f t="array" aca="1" ref="I290" ca="1">IF(ROW()-2&gt;7, (G290/INDIRECT("G"&amp;ROW()-7))-1, "")</f>
        <v>-0.11313267910935909</v>
      </c>
      <c r="J290" s="8" cm="1">
        <f t="array" aca="1" ref="J290" ca="1">IF(ROW()-2&gt;7, (C290/INDIRECT("C"&amp;ROW()-7))-1, "")</f>
        <v>-1.9417484842768062E-2</v>
      </c>
      <c r="K290" s="8" cm="1">
        <f t="array" aca="1" ref="K290" ca="1">IF(ROW()-2&gt;7, (H290/INDIRECT("H"&amp;ROW()-7))-1, "")</f>
        <v>-9.557094157605317E-2</v>
      </c>
      <c r="L290" s="8">
        <f>IF(D290&gt;0, D290/C290, 0)</f>
        <v>0.23750000740841615</v>
      </c>
      <c r="M290" s="8">
        <f>IF(D290&gt;0, E290/D290, 0)</f>
        <v>0.38399987561059745</v>
      </c>
      <c r="N290" s="8">
        <f>IF(E290&gt;0, F290/E290, 0)</f>
        <v>0.70809982068828303</v>
      </c>
      <c r="O290" s="8">
        <f>IF(F290&gt;0, G290/F290, 0)</f>
        <v>0.79540021828419583</v>
      </c>
      <c r="P290" s="8" cm="1">
        <f t="array" aca="1" ref="P290" ca="1">IF(ROW()-2&gt;1, (L290/INDIRECT("L"&amp;ROW()-1))-1, "")</f>
        <v>-3.061216341855022E-2</v>
      </c>
      <c r="Q290" s="8" cm="1">
        <f t="array" aca="1" ref="Q290" ca="1">IF(ROW()-2&gt;1, (M290/INDIRECT("M"&amp;ROW()-1))-1, "")</f>
        <v>-1.0309507057402412E-2</v>
      </c>
      <c r="R290" s="8" cm="1">
        <f t="array" aca="1" ref="R290" ca="1">IF(ROW()-2&gt;1, (N290/INDIRECT("N"&amp;ROW()-1))-1, "")</f>
        <v>1.480922104946103E-7</v>
      </c>
      <c r="S290" s="8" cm="1">
        <f t="array" aca="1" ref="S290" ca="1">IF(ROW()-2&gt;1, (O290/INDIRECT("O"&amp;ROW()-1))-1, "")</f>
        <v>1.0416352741999813E-2</v>
      </c>
    </row>
    <row r="291" spans="2:19" x14ac:dyDescent="0.35">
      <c r="B291" s="3">
        <v>43754</v>
      </c>
      <c r="C291" s="4">
        <v>20631473</v>
      </c>
      <c r="D291" s="4">
        <v>5364183</v>
      </c>
      <c r="E291" s="4">
        <v>2252956</v>
      </c>
      <c r="F291" s="4">
        <v>1644658</v>
      </c>
      <c r="G291" s="4">
        <v>1308161</v>
      </c>
      <c r="H291" s="8">
        <f>IF(C291&gt;0, G291/C291, 0)</f>
        <v>6.3406088358305773E-2</v>
      </c>
      <c r="I291" s="8" cm="1">
        <f t="array" aca="1" ref="I291" ca="1">IF(ROW()-2&gt;7, (G291/INDIRECT("G"&amp;ROW()-7))-1, "")</f>
        <v>-6.7221653766484701E-2</v>
      </c>
      <c r="J291" s="8" cm="1">
        <f t="array" aca="1" ref="J291" ca="1">IF(ROW()-2&gt;7, (C291/INDIRECT("C"&amp;ROW()-7))-1, "")</f>
        <v>0</v>
      </c>
      <c r="K291" s="8" cm="1">
        <f t="array" aca="1" ref="K291" ca="1">IF(ROW()-2&gt;7, (H291/INDIRECT("H"&amp;ROW()-7))-1, "")</f>
        <v>-6.7221653766484812E-2</v>
      </c>
      <c r="L291" s="8">
        <f>IF(D291&gt;0, D291/C291, 0)</f>
        <v>0.26000000096939274</v>
      </c>
      <c r="M291" s="8">
        <f>IF(D291&gt;0, E291/D291, 0)</f>
        <v>0.41999983967735627</v>
      </c>
      <c r="N291" s="8">
        <f>IF(E291&gt;0, F291/E291, 0)</f>
        <v>0.73000005326335715</v>
      </c>
      <c r="O291" s="8">
        <f>IF(F291&gt;0, G291/F291, 0)</f>
        <v>0.79540001629518109</v>
      </c>
      <c r="P291" s="8" cm="1">
        <f t="array" aca="1" ref="P291" ca="1">IF(ROW()-2&gt;1, (L291/INDIRECT("L"&amp;ROW()-1))-1, "")</f>
        <v>9.4736812038428875E-2</v>
      </c>
      <c r="Q291" s="8" cm="1">
        <f t="array" aca="1" ref="Q291" ca="1">IF(ROW()-2&gt;1, (M291/INDIRECT("M"&amp;ROW()-1))-1, "")</f>
        <v>9.3749936792337119E-2</v>
      </c>
      <c r="R291" s="8" cm="1">
        <f t="array" aca="1" ref="R291" ca="1">IF(ROW()-2&gt;1, (N291/INDIRECT("N"&amp;ROW()-1))-1, "")</f>
        <v>3.0928171332943899E-2</v>
      </c>
      <c r="S291" s="8" cm="1">
        <f t="array" aca="1" ref="S291" ca="1">IF(ROW()-2&gt;1, (O291/INDIRECT("O"&amp;ROW()-1))-1, "")</f>
        <v>-2.539463909156936E-7</v>
      </c>
    </row>
    <row r="292" spans="2:19" x14ac:dyDescent="0.35">
      <c r="B292" s="3">
        <v>43755</v>
      </c>
      <c r="C292" s="4">
        <v>22151687</v>
      </c>
      <c r="D292" s="4">
        <v>5648680</v>
      </c>
      <c r="E292" s="4">
        <v>2146498</v>
      </c>
      <c r="F292" s="4">
        <v>1504266</v>
      </c>
      <c r="G292" s="4">
        <v>1196493</v>
      </c>
      <c r="H292" s="8">
        <f>IF(C292&gt;0, G292/C292, 0)</f>
        <v>5.4013628849125576E-2</v>
      </c>
      <c r="I292" s="8" cm="1">
        <f t="array" aca="1" ref="I292" ca="1">IF(ROW()-2&gt;7, (G292/INDIRECT("G"&amp;ROW()-7))-1, "")</f>
        <v>6.1414239622874067E-2</v>
      </c>
      <c r="J292" s="8" cm="1">
        <f t="array" aca="1" ref="J292" ca="1">IF(ROW()-2&gt;7, (C292/INDIRECT("C"&amp;ROW()-7))-1, "")</f>
        <v>4.0816345708519552E-2</v>
      </c>
      <c r="K292" s="8" cm="1">
        <f t="array" aca="1" ref="K292" ca="1">IF(ROW()-2&gt;7, (H292/INDIRECT("H"&amp;ROW()-7))-1, "")</f>
        <v>1.9790133004043975E-2</v>
      </c>
      <c r="L292" s="8">
        <f>IF(D292&gt;0, D292/C292, 0)</f>
        <v>0.25499999164849158</v>
      </c>
      <c r="M292" s="8">
        <f>IF(D292&gt;0, E292/D292, 0)</f>
        <v>0.37999992918699588</v>
      </c>
      <c r="N292" s="8">
        <f>IF(E292&gt;0, F292/E292, 0)</f>
        <v>0.70080009392042297</v>
      </c>
      <c r="O292" s="8">
        <f>IF(F292&gt;0, G292/F292, 0)</f>
        <v>0.79539988273350593</v>
      </c>
      <c r="P292" s="8" cm="1">
        <f t="array" aca="1" ref="P292" ca="1">IF(ROW()-2&gt;1, (L292/INDIRECT("L"&amp;ROW()-1))-1, "")</f>
        <v>-1.9230805008688345E-2</v>
      </c>
      <c r="Q292" s="8" cm="1">
        <f t="array" aca="1" ref="Q292" ca="1">IF(ROW()-2&gt;1, (M292/INDIRECT("M"&amp;ROW()-1))-1, "")</f>
        <v>-9.5237918474179173E-2</v>
      </c>
      <c r="R292" s="8" cm="1">
        <f t="array" aca="1" ref="R292" ca="1">IF(ROW()-2&gt;1, (N292/INDIRECT("N"&amp;ROW()-1))-1, "")</f>
        <v>-3.9999941386853477E-2</v>
      </c>
      <c r="S292" s="8" cm="1">
        <f t="array" aca="1" ref="S292" ca="1">IF(ROW()-2&gt;1, (O292/INDIRECT("O"&amp;ROW()-1))-1, "")</f>
        <v>-1.6791761681123063E-7</v>
      </c>
    </row>
    <row r="293" spans="2:19" x14ac:dyDescent="0.35">
      <c r="B293" s="3">
        <v>43756</v>
      </c>
      <c r="C293" s="4">
        <v>20848646</v>
      </c>
      <c r="D293" s="4">
        <v>5316404</v>
      </c>
      <c r="E293" s="4">
        <v>2190358</v>
      </c>
      <c r="F293" s="4">
        <v>1566982</v>
      </c>
      <c r="G293" s="4">
        <v>1323473</v>
      </c>
      <c r="H293" s="8">
        <f>IF(C293&gt;0, G293/C293, 0)</f>
        <v>6.3480045658600562E-2</v>
      </c>
      <c r="I293" s="8" cm="1">
        <f t="array" aca="1" ref="I293" ca="1">IF(ROW()-2&gt;7, (G293/INDIRECT("G"&amp;ROW()-7))-1, "")</f>
        <v>7.1705743358689844E-2</v>
      </c>
      <c r="J293" s="8" cm="1">
        <f t="array" aca="1" ref="J293" ca="1">IF(ROW()-2&gt;7, (C293/INDIRECT("C"&amp;ROW()-7))-1, "")</f>
        <v>-2.0408172854259776E-2</v>
      </c>
      <c r="K293" s="8" cm="1">
        <f t="array" aca="1" ref="K293" ca="1">IF(ROW()-2&gt;7, (H293/INDIRECT("H"&amp;ROW()-7))-1, "")</f>
        <v>9.4032957054515309E-2</v>
      </c>
      <c r="L293" s="8">
        <f>IF(D293&gt;0, D293/C293, 0)</f>
        <v>0.25499996498573574</v>
      </c>
      <c r="M293" s="8">
        <f>IF(D293&gt;0, E293/D293, 0)</f>
        <v>0.41199991573251393</v>
      </c>
      <c r="N293" s="8">
        <f>IF(E293&gt;0, F293/E293, 0)</f>
        <v>0.7153999483189506</v>
      </c>
      <c r="O293" s="8">
        <f>IF(F293&gt;0, G293/F293, 0)</f>
        <v>0.84460000178687433</v>
      </c>
      <c r="P293" s="8" cm="1">
        <f t="array" aca="1" ref="P293" ca="1">IF(ROW()-2&gt;1, (L293/INDIRECT("L"&amp;ROW()-1))-1, "")</f>
        <v>-1.0455983023849313E-7</v>
      </c>
      <c r="Q293" s="8" cm="1">
        <f t="array" aca="1" ref="Q293" ca="1">IF(ROW()-2&gt;1, (M293/INDIRECT("M"&amp;ROW()-1))-1, "")</f>
        <v>8.4210506601886781E-2</v>
      </c>
      <c r="R293" s="8" cm="1">
        <f t="array" aca="1" ref="R293" ca="1">IF(ROW()-2&gt;1, (N293/INDIRECT("N"&amp;ROW()-1))-1, "")</f>
        <v>2.083312277664362E-2</v>
      </c>
      <c r="S293" s="8" cm="1">
        <f t="array" aca="1" ref="S293" ca="1">IF(ROW()-2&gt;1, (O293/INDIRECT("O"&amp;ROW()-1))-1, "")</f>
        <v>6.1855828899905152E-2</v>
      </c>
    </row>
    <row r="294" spans="2:19" x14ac:dyDescent="0.35">
      <c r="B294" s="3">
        <v>43757</v>
      </c>
      <c r="C294" s="4">
        <v>46236443</v>
      </c>
      <c r="D294" s="4">
        <v>9418363</v>
      </c>
      <c r="E294" s="4">
        <v>3202243</v>
      </c>
      <c r="F294" s="4">
        <v>2221076</v>
      </c>
      <c r="G294" s="4">
        <v>1697790</v>
      </c>
      <c r="H294" s="8">
        <f>IF(C294&gt;0, G294/C294, 0)</f>
        <v>3.671973642090072E-2</v>
      </c>
      <c r="I294" s="8" cm="1">
        <f t="array" aca="1" ref="I294" ca="1">IF(ROW()-2&gt;7, (G294/INDIRECT("G"&amp;ROW()-7))-1, "")</f>
        <v>3.177506709190614E-2</v>
      </c>
      <c r="J294" s="8" cm="1">
        <f t="array" aca="1" ref="J294" ca="1">IF(ROW()-2&gt;7, (C294/INDIRECT("C"&amp;ROW()-7))-1, "")</f>
        <v>1.9801979979641171E-2</v>
      </c>
      <c r="K294" s="8" cm="1">
        <f t="array" aca="1" ref="K294" ca="1">IF(ROW()-2&gt;7, (H294/INDIRECT("H"&amp;ROW()-7))-1, "")</f>
        <v>1.1740599986385547E-2</v>
      </c>
      <c r="L294" s="8">
        <f>IF(D294&gt;0, D294/C294, 0)</f>
        <v>0.2036999905031622</v>
      </c>
      <c r="M294" s="8">
        <f>IF(D294&gt;0, E294/D294, 0)</f>
        <v>0.33999995540626327</v>
      </c>
      <c r="N294" s="8">
        <f>IF(E294&gt;0, F294/E294, 0)</f>
        <v>0.69360007969413939</v>
      </c>
      <c r="O294" s="8">
        <f>IF(F294&gt;0, G294/F294, 0)</f>
        <v>0.76439977740518561</v>
      </c>
      <c r="P294" s="8" cm="1">
        <f t="array" aca="1" ref="P294" ca="1">IF(ROW()-2&gt;1, (L294/INDIRECT("L"&amp;ROW()-1))-1, "")</f>
        <v>-0.20117639814359645</v>
      </c>
      <c r="Q294" s="8" cm="1">
        <f t="array" aca="1" ref="Q294" ca="1">IF(ROW()-2&gt;1, (M294/INDIRECT("M"&amp;ROW()-1))-1, "")</f>
        <v>-0.17475722100146207</v>
      </c>
      <c r="R294" s="8" cm="1">
        <f t="array" aca="1" ref="R294" ca="1">IF(ROW()-2&gt;1, (N294/INDIRECT("N"&amp;ROW()-1))-1, "")</f>
        <v>-3.0472281520339206E-2</v>
      </c>
      <c r="S294" s="8" cm="1">
        <f t="array" aca="1" ref="S294" ca="1">IF(ROW()-2&gt;1, (O294/INDIRECT("O"&amp;ROW()-1))-1, "")</f>
        <v>-9.4956457745694389E-2</v>
      </c>
    </row>
    <row r="295" spans="2:19" x14ac:dyDescent="0.35">
      <c r="B295" s="3">
        <v>43758</v>
      </c>
      <c r="C295" s="4">
        <v>43094160</v>
      </c>
      <c r="D295" s="4">
        <v>9140271</v>
      </c>
      <c r="E295" s="4">
        <v>3169846</v>
      </c>
      <c r="F295" s="4">
        <v>2069275</v>
      </c>
      <c r="G295" s="4">
        <v>1694736</v>
      </c>
      <c r="H295" s="8">
        <f>IF(C295&gt;0, G295/C295, 0)</f>
        <v>3.9326349556413211E-2</v>
      </c>
      <c r="I295" s="8" cm="1">
        <f t="array" aca="1" ref="I295" ca="1">IF(ROW()-2&gt;7, (G295/INDIRECT("G"&amp;ROW()-7))-1, "")</f>
        <v>9.4961025593371939E-3</v>
      </c>
      <c r="J295" s="8" cm="1">
        <f t="array" aca="1" ref="J295" ca="1">IF(ROW()-2&gt;7, (C295/INDIRECT("C"&amp;ROW()-7))-1, "")</f>
        <v>-1.0309289715021874E-2</v>
      </c>
      <c r="K295" s="8" cm="1">
        <f t="array" aca="1" ref="K295" ca="1">IF(ROW()-2&gt;7, (H295/INDIRECT("H"&amp;ROW()-7))-1, "")</f>
        <v>2.0011698673675582E-2</v>
      </c>
      <c r="L295" s="8">
        <f>IF(D295&gt;0, D295/C295, 0)</f>
        <v>0.21209999220311987</v>
      </c>
      <c r="M295" s="8">
        <f>IF(D295&gt;0, E295/D295, 0)</f>
        <v>0.34680000188178228</v>
      </c>
      <c r="N295" s="8">
        <f>IF(E295&gt;0, F295/E295, 0)</f>
        <v>0.65279985210637992</v>
      </c>
      <c r="O295" s="8">
        <f>IF(F295&gt;0, G295/F295, 0)</f>
        <v>0.81899989126626471</v>
      </c>
      <c r="P295" s="8" cm="1">
        <f t="array" aca="1" ref="P295" ca="1">IF(ROW()-2&gt;1, (L295/INDIRECT("L"&amp;ROW()-1))-1, "")</f>
        <v>4.123712367000465E-2</v>
      </c>
      <c r="Q295" s="8" cm="1">
        <f t="array" aca="1" ref="Q295" ca="1">IF(ROW()-2&gt;1, (M295/INDIRECT("M"&amp;ROW()-1))-1, "")</f>
        <v>2.0000139315882182E-2</v>
      </c>
      <c r="R295" s="8" cm="1">
        <f t="array" aca="1" ref="R295" ca="1">IF(ROW()-2&gt;1, (N295/INDIRECT("N"&amp;ROW()-1))-1, "")</f>
        <v>-5.8823850778320752E-2</v>
      </c>
      <c r="S295" s="8" cm="1">
        <f t="array" aca="1" ref="S295" ca="1">IF(ROW()-2&gt;1, (O295/INDIRECT("O"&amp;ROW()-1))-1, "")</f>
        <v>7.1428741183603428E-2</v>
      </c>
    </row>
    <row r="296" spans="2:19" x14ac:dyDescent="0.35">
      <c r="B296" s="3">
        <v>43759</v>
      </c>
      <c r="C296" s="4">
        <v>22803207</v>
      </c>
      <c r="D296" s="4">
        <v>5700801</v>
      </c>
      <c r="E296" s="4">
        <v>2371533</v>
      </c>
      <c r="F296" s="4">
        <v>1748531</v>
      </c>
      <c r="G296" s="4">
        <v>1462471</v>
      </c>
      <c r="H296" s="8">
        <f>IF(C296&gt;0, G296/C296, 0)</f>
        <v>6.4134443896422116E-2</v>
      </c>
      <c r="I296" s="8" cm="1">
        <f t="array" aca="1" ref="I296" ca="1">IF(ROW()-2&gt;7, (G296/INDIRECT("G"&amp;ROW()-7))-1, "")</f>
        <v>0.32382903302894461</v>
      </c>
      <c r="J296" s="8" cm="1">
        <f t="array" aca="1" ref="J296" ca="1">IF(ROW()-2&gt;7, (C296/INDIRECT("C"&amp;ROW()-7))-1, "")</f>
        <v>9.3750020984576077E-2</v>
      </c>
      <c r="K296" s="8" cm="1">
        <f t="array" aca="1" ref="K296" ca="1">IF(ROW()-2&gt;7, (H296/INDIRECT("H"&amp;ROW()-7))-1, "")</f>
        <v>0.21035794983323086</v>
      </c>
      <c r="L296" s="8">
        <f>IF(D296&gt;0, D296/C296, 0)</f>
        <v>0.24999996710988942</v>
      </c>
      <c r="M296" s="8">
        <f>IF(D296&gt;0, E296/D296, 0)</f>
        <v>0.4159999621105876</v>
      </c>
      <c r="N296" s="8">
        <f>IF(E296&gt;0, F296/E296, 0)</f>
        <v>0.73729988155340875</v>
      </c>
      <c r="O296" s="8">
        <f>IF(F296&gt;0, G296/F296, 0)</f>
        <v>0.83639981218519999</v>
      </c>
      <c r="P296" s="8" cm="1">
        <f t="array" aca="1" ref="P296" ca="1">IF(ROW()-2&gt;1, (L296/INDIRECT("L"&amp;ROW()-1))-1, "")</f>
        <v>0.17868918576137527</v>
      </c>
      <c r="Q296" s="8" cm="1">
        <f t="array" aca="1" ref="Q296" ca="1">IF(ROW()-2&gt;1, (M296/INDIRECT("M"&amp;ROW()-1))-1, "")</f>
        <v>0.19953852322179144</v>
      </c>
      <c r="R296" s="8" cm="1">
        <f t="array" aca="1" ref="R296" ca="1">IF(ROW()-2&gt;1, (N296/INDIRECT("N"&amp;ROW()-1))-1, "")</f>
        <v>0.12944247639513673</v>
      </c>
      <c r="S296" s="8" cm="1">
        <f t="array" aca="1" ref="S296" ca="1">IF(ROW()-2&gt;1, (O296/INDIRECT("O"&amp;ROW()-1))-1, "")</f>
        <v>2.1245327507959821E-2</v>
      </c>
    </row>
    <row r="297" spans="2:19" x14ac:dyDescent="0.35">
      <c r="B297" s="3">
        <v>43760</v>
      </c>
      <c r="C297" s="4">
        <v>21717340</v>
      </c>
      <c r="D297" s="4">
        <v>5429335</v>
      </c>
      <c r="E297" s="4">
        <v>2106582</v>
      </c>
      <c r="F297" s="4">
        <v>1568560</v>
      </c>
      <c r="G297" s="4">
        <v>1350531</v>
      </c>
      <c r="H297" s="8">
        <f>IF(C297&gt;0, G297/C297, 0)</f>
        <v>6.2186759520272743E-2</v>
      </c>
      <c r="I297" s="8" cm="1">
        <f t="array" aca="1" ref="I297" ca="1">IF(ROW()-2&gt;7, (G297/INDIRECT("G"&amp;ROW()-7))-1, "")</f>
        <v>0.19867558485682779</v>
      </c>
      <c r="J297" s="8" cm="1">
        <f t="array" aca="1" ref="J297" ca="1">IF(ROW()-2&gt;7, (C297/INDIRECT("C"&amp;ROW()-7))-1, "")</f>
        <v>-9.9009720434640736E-3</v>
      </c>
      <c r="K297" s="8" cm="1">
        <f t="array" aca="1" ref="K297" ca="1">IF(ROW()-2&gt;7, (H297/INDIRECT("H"&amp;ROW()-7))-1, "")</f>
        <v>0.21066231862763574</v>
      </c>
      <c r="L297" s="8">
        <f>IF(D297&gt;0, D297/C297, 0)</f>
        <v>0.25</v>
      </c>
      <c r="M297" s="8">
        <f>IF(D297&gt;0, E297/D297, 0)</f>
        <v>0.38800000368369236</v>
      </c>
      <c r="N297" s="8">
        <f>IF(E297&gt;0, F297/E297, 0)</f>
        <v>0.74459954561464969</v>
      </c>
      <c r="O297" s="8">
        <f>IF(F297&gt;0, G297/F297, 0)</f>
        <v>0.86100053552302747</v>
      </c>
      <c r="P297" s="8" cm="1">
        <f t="array" aca="1" ref="P297" ca="1">IF(ROW()-2&gt;1, (L297/INDIRECT("L"&amp;ROW()-1))-1, "")</f>
        <v>1.3156045963746976E-7</v>
      </c>
      <c r="Q297" s="8" cm="1">
        <f t="array" aca="1" ref="Q297" ca="1">IF(ROW()-2&gt;1, (M297/INDIRECT("M"&amp;ROW()-1))-1, "")</f>
        <v>-6.7307598502741817E-2</v>
      </c>
      <c r="R297" s="8" cm="1">
        <f t="array" aca="1" ref="R297" ca="1">IF(ROW()-2&gt;1, (N297/INDIRECT("N"&amp;ROW()-1))-1, "")</f>
        <v>9.9005360557786748E-3</v>
      </c>
      <c r="S297" s="8" cm="1">
        <f t="array" aca="1" ref="S297" ca="1">IF(ROW()-2&gt;1, (O297/INDIRECT("O"&amp;ROW()-1))-1, "")</f>
        <v>2.9412636133376191E-2</v>
      </c>
    </row>
    <row r="298" spans="2:19" x14ac:dyDescent="0.35">
      <c r="B298" s="3">
        <v>43761</v>
      </c>
      <c r="C298" s="4">
        <v>21717340</v>
      </c>
      <c r="D298" s="4">
        <v>5320748</v>
      </c>
      <c r="E298" s="4">
        <v>2085733</v>
      </c>
      <c r="F298" s="4">
        <v>1568262</v>
      </c>
      <c r="G298" s="4">
        <v>1324554</v>
      </c>
      <c r="H298" s="8">
        <f>IF(C298&gt;0, G298/C298, 0)</f>
        <v>6.0990618556416208E-2</v>
      </c>
      <c r="I298" s="8" cm="1">
        <f t="array" aca="1" ref="I298" ca="1">IF(ROW()-2&gt;7, (G298/INDIRECT("G"&amp;ROW()-7))-1, "")</f>
        <v>1.2531332152540875E-2</v>
      </c>
      <c r="J298" s="8" cm="1">
        <f t="array" aca="1" ref="J298" ca="1">IF(ROW()-2&gt;7, (C298/INDIRECT("C"&amp;ROW()-7))-1, "")</f>
        <v>5.2631578947368363E-2</v>
      </c>
      <c r="K298" s="8" cm="1">
        <f t="array" aca="1" ref="K298" ca="1">IF(ROW()-2&gt;7, (H298/INDIRECT("H"&amp;ROW()-7))-1, "")</f>
        <v>-3.8095234455086113E-2</v>
      </c>
      <c r="L298" s="8">
        <f>IF(D298&gt;0, D298/C298, 0)</f>
        <v>0.24499998618615354</v>
      </c>
      <c r="M298" s="8">
        <f>IF(D298&gt;0, E298/D298, 0)</f>
        <v>0.39199995940420407</v>
      </c>
      <c r="N298" s="8">
        <f>IF(E298&gt;0, F298/E298, 0)</f>
        <v>0.75189969185892924</v>
      </c>
      <c r="O298" s="8">
        <f>IF(F298&gt;0, G298/F298, 0)</f>
        <v>0.84459994567234298</v>
      </c>
      <c r="P298" s="8" cm="1">
        <f t="array" aca="1" ref="P298" ca="1">IF(ROW()-2&gt;1, (L298/INDIRECT("L"&amp;ROW()-1))-1, "")</f>
        <v>-2.000005525538584E-2</v>
      </c>
      <c r="Q298" s="8" cm="1">
        <f t="array" aca="1" ref="Q298" ca="1">IF(ROW()-2&gt;1, (M298/INDIRECT("M"&amp;ROW()-1))-1, "")</f>
        <v>1.0309164130247295E-2</v>
      </c>
      <c r="R298" s="8" cm="1">
        <f t="array" aca="1" ref="R298" ca="1">IF(ROW()-2&gt;1, (N298/INDIRECT("N"&amp;ROW()-1))-1, "")</f>
        <v>9.8041239580040074E-3</v>
      </c>
      <c r="S298" s="8" cm="1">
        <f t="array" aca="1" ref="S298" ca="1">IF(ROW()-2&gt;1, (O298/INDIRECT("O"&amp;ROW()-1))-1, "")</f>
        <v>-1.9048292276289569E-2</v>
      </c>
    </row>
    <row r="299" spans="2:19" x14ac:dyDescent="0.35">
      <c r="B299" s="3">
        <v>43762</v>
      </c>
      <c r="C299" s="4">
        <v>21065820</v>
      </c>
      <c r="D299" s="4">
        <v>5319119</v>
      </c>
      <c r="E299" s="4">
        <v>2234030</v>
      </c>
      <c r="F299" s="4">
        <v>1663458</v>
      </c>
      <c r="G299" s="4">
        <v>1309474</v>
      </c>
      <c r="H299" s="8">
        <f>IF(C299&gt;0, G299/C299, 0)</f>
        <v>6.2161074195070498E-2</v>
      </c>
      <c r="I299" s="8" cm="1">
        <f t="array" aca="1" ref="I299" ca="1">IF(ROW()-2&gt;7, (G299/INDIRECT("G"&amp;ROW()-7))-1, "")</f>
        <v>9.4426795643601791E-2</v>
      </c>
      <c r="J299" s="8" cm="1">
        <f t="array" aca="1" ref="J299" ca="1">IF(ROW()-2&gt;7, (C299/INDIRECT("C"&amp;ROW()-7))-1, "")</f>
        <v>-4.9019607400555998E-2</v>
      </c>
      <c r="K299" s="8" cm="1">
        <f t="array" aca="1" ref="K299" ca="1">IF(ROW()-2&gt;7, (H299/INDIRECT("H"&amp;ROW()-7))-1, "")</f>
        <v>0.15084054746076969</v>
      </c>
      <c r="L299" s="8">
        <f>IF(D299&gt;0, D299/C299, 0)</f>
        <v>0.25249997389135576</v>
      </c>
      <c r="M299" s="8">
        <f>IF(D299&gt;0, E299/D299, 0)</f>
        <v>0.42000000376002117</v>
      </c>
      <c r="N299" s="8">
        <f>IF(E299&gt;0, F299/E299, 0)</f>
        <v>0.74459966965528668</v>
      </c>
      <c r="O299" s="8">
        <f>IF(F299&gt;0, G299/F299, 0)</f>
        <v>0.7871999172807489</v>
      </c>
      <c r="P299" s="8" cm="1">
        <f t="array" aca="1" ref="P299" ca="1">IF(ROW()-2&gt;1, (L299/INDIRECT("L"&amp;ROW()-1))-1, "")</f>
        <v>3.0612196441119899E-2</v>
      </c>
      <c r="Q299" s="8" cm="1">
        <f t="array" aca="1" ref="Q299" ca="1">IF(ROW()-2&gt;1, (M299/INDIRECT("M"&amp;ROW()-1))-1, "")</f>
        <v>7.1428691978371761E-2</v>
      </c>
      <c r="R299" s="8" cm="1">
        <f t="array" aca="1" ref="R299" ca="1">IF(ROW()-2&gt;1, (N299/INDIRECT("N"&amp;ROW()-1))-1, "")</f>
        <v>-9.7087713729402392E-3</v>
      </c>
      <c r="S299" s="8" cm="1">
        <f t="array" aca="1" ref="S299" ca="1">IF(ROW()-2&gt;1, (O299/INDIRECT("O"&amp;ROW()-1))-1, "")</f>
        <v>-6.79612030354807E-2</v>
      </c>
    </row>
    <row r="300" spans="2:19" x14ac:dyDescent="0.35">
      <c r="B300" s="3">
        <v>43763</v>
      </c>
      <c r="C300" s="4">
        <v>21500167</v>
      </c>
      <c r="D300" s="4">
        <v>5321291</v>
      </c>
      <c r="E300" s="4">
        <v>2107231</v>
      </c>
      <c r="F300" s="4">
        <v>1507513</v>
      </c>
      <c r="G300" s="4">
        <v>1186714</v>
      </c>
      <c r="H300" s="8">
        <f>IF(C300&gt;0, G300/C300, 0)</f>
        <v>5.5195571271609192E-2</v>
      </c>
      <c r="I300" s="8" cm="1">
        <f t="array" aca="1" ref="I300" ca="1">IF(ROW()-2&gt;7, (G300/INDIRECT("G"&amp;ROW()-7))-1, "")</f>
        <v>-0.10333342652249045</v>
      </c>
      <c r="J300" s="8" cm="1">
        <f t="array" aca="1" ref="J300" ca="1">IF(ROW()-2&gt;7, (C300/INDIRECT("C"&amp;ROW()-7))-1, "")</f>
        <v>3.1250038971355698E-2</v>
      </c>
      <c r="K300" s="8" cm="1">
        <f t="array" aca="1" ref="K300" ca="1">IF(ROW()-2&gt;7, (H300/INDIRECT("H"&amp;ROW()-7))-1, "")</f>
        <v>-0.13050517372885584</v>
      </c>
      <c r="L300" s="8">
        <f>IF(D300&gt;0, D300/C300, 0)</f>
        <v>0.24749998453500385</v>
      </c>
      <c r="M300" s="8">
        <f>IF(D300&gt;0, E300/D300, 0)</f>
        <v>0.39599995564986018</v>
      </c>
      <c r="N300" s="8">
        <f>IF(E300&gt;0, F300/E300, 0)</f>
        <v>0.71539997276046152</v>
      </c>
      <c r="O300" s="8">
        <f>IF(F300&gt;0, G300/F300, 0)</f>
        <v>0.78719984504279561</v>
      </c>
      <c r="P300" s="8" cm="1">
        <f t="array" aca="1" ref="P300" ca="1">IF(ROW()-2&gt;1, (L300/INDIRECT("L"&amp;ROW()-1))-1, "")</f>
        <v>-1.9801940092489922E-2</v>
      </c>
      <c r="Q300" s="8" cm="1">
        <f t="array" aca="1" ref="Q300" ca="1">IF(ROW()-2&gt;1, (M300/INDIRECT("M"&amp;ROW()-1))-1, "")</f>
        <v>-5.7142971179291013E-2</v>
      </c>
      <c r="R300" s="8" cm="1">
        <f t="array" aca="1" ref="R300" ca="1">IF(ROW()-2&gt;1, (N300/INDIRECT("N"&amp;ROW()-1))-1, "")</f>
        <v>-3.9215296601384675E-2</v>
      </c>
      <c r="S300" s="8" cm="1">
        <f t="array" aca="1" ref="S300" ca="1">IF(ROW()-2&gt;1, (O300/INDIRECT("O"&amp;ROW()-1))-1, "")</f>
        <v>-9.1765702370238955E-8</v>
      </c>
    </row>
    <row r="301" spans="2:19" x14ac:dyDescent="0.35">
      <c r="B301" s="3">
        <v>43764</v>
      </c>
      <c r="C301" s="4">
        <v>43991955</v>
      </c>
      <c r="D301" s="4">
        <v>9330693</v>
      </c>
      <c r="E301" s="4">
        <v>3204160</v>
      </c>
      <c r="F301" s="4">
        <v>2069887</v>
      </c>
      <c r="G301" s="4">
        <v>1582222</v>
      </c>
      <c r="H301" s="8">
        <f>IF(C301&gt;0, G301/C301, 0)</f>
        <v>3.5966166995760933E-2</v>
      </c>
      <c r="I301" s="8" cm="1">
        <f t="array" aca="1" ref="I301" ca="1">IF(ROW()-2&gt;7, (G301/INDIRECT("G"&amp;ROW()-7))-1, "")</f>
        <v>-6.8069667037737314E-2</v>
      </c>
      <c r="J301" s="8" cm="1">
        <f t="array" aca="1" ref="J301" ca="1">IF(ROW()-2&gt;7, (C301/INDIRECT("C"&amp;ROW()-7))-1, "")</f>
        <v>-4.8543699609418511E-2</v>
      </c>
      <c r="K301" s="8" cm="1">
        <f t="array" aca="1" ref="K301" ca="1">IF(ROW()-2&gt;7, (H301/INDIRECT("H"&amp;ROW()-7))-1, "")</f>
        <v>-2.0522190478220792E-2</v>
      </c>
      <c r="L301" s="8">
        <f>IF(D301&gt;0, D301/C301, 0)</f>
        <v>0.2120999850995483</v>
      </c>
      <c r="M301" s="8">
        <f>IF(D301&gt;0, E301/D301, 0)</f>
        <v>0.34340000255072156</v>
      </c>
      <c r="N301" s="8">
        <f>IF(E301&gt;0, F301/E301, 0)</f>
        <v>0.64599988764606009</v>
      </c>
      <c r="O301" s="8">
        <f>IF(F301&gt;0, G301/F301, 0)</f>
        <v>0.76440018223217021</v>
      </c>
      <c r="P301" s="8" cm="1">
        <f t="array" aca="1" ref="P301" ca="1">IF(ROW()-2&gt;1, (L301/INDIRECT("L"&amp;ROW()-1))-1, "")</f>
        <v>-0.1430303096865404</v>
      </c>
      <c r="Q301" s="8" cm="1">
        <f t="array" aca="1" ref="Q301" ca="1">IF(ROW()-2&gt;1, (M301/INDIRECT("M"&amp;ROW()-1))-1, "")</f>
        <v>-0.13282817926789636</v>
      </c>
      <c r="R301" s="8" cm="1">
        <f t="array" aca="1" ref="R301" ca="1">IF(ROW()-2&gt;1, (N301/INDIRECT("N"&amp;ROW()-1))-1, "")</f>
        <v>-9.7008789148554708E-2</v>
      </c>
      <c r="S301" s="8" cm="1">
        <f t="array" aca="1" ref="S301" ca="1">IF(ROW()-2&gt;1, (O301/INDIRECT("O"&amp;ROW()-1))-1, "")</f>
        <v>-2.8962991995235887E-2</v>
      </c>
    </row>
    <row r="302" spans="2:19" x14ac:dyDescent="0.35">
      <c r="B302" s="3">
        <v>43765</v>
      </c>
      <c r="C302" s="4">
        <v>43094160</v>
      </c>
      <c r="D302" s="4">
        <v>9321266</v>
      </c>
      <c r="E302" s="4">
        <v>3137538</v>
      </c>
      <c r="F302" s="4">
        <v>2154861</v>
      </c>
      <c r="G302" s="4">
        <v>1613560</v>
      </c>
      <c r="H302" s="8">
        <f>IF(C302&gt;0, G302/C302, 0)</f>
        <v>3.7442660444013759E-2</v>
      </c>
      <c r="I302" s="8" cm="1">
        <f t="array" aca="1" ref="I302" ca="1">IF(ROW()-2&gt;7, (G302/INDIRECT("G"&amp;ROW()-7))-1, "")</f>
        <v>-4.7898905788276158E-2</v>
      </c>
      <c r="J302" s="8" cm="1">
        <f t="array" aca="1" ref="J302" ca="1">IF(ROW()-2&gt;7, (C302/INDIRECT("C"&amp;ROW()-7))-1, "")</f>
        <v>0</v>
      </c>
      <c r="K302" s="8" cm="1">
        <f t="array" aca="1" ref="K302" ca="1">IF(ROW()-2&gt;7, (H302/INDIRECT("H"&amp;ROW()-7))-1, "")</f>
        <v>-4.7898905788276158E-2</v>
      </c>
      <c r="L302" s="8">
        <f>IF(D302&gt;0, D302/C302, 0)</f>
        <v>0.21629998125035968</v>
      </c>
      <c r="M302" s="8">
        <f>IF(D302&gt;0, E302/D302, 0)</f>
        <v>0.33659998545261982</v>
      </c>
      <c r="N302" s="8">
        <f>IF(E302&gt;0, F302/E302, 0)</f>
        <v>0.68679996863782999</v>
      </c>
      <c r="O302" s="8">
        <f>IF(F302&gt;0, G302/F302, 0)</f>
        <v>0.74880003861037903</v>
      </c>
      <c r="P302" s="8" cm="1">
        <f t="array" aca="1" ref="P302" ca="1">IF(ROW()-2&gt;1, (L302/INDIRECT("L"&amp;ROW()-1))-1, "")</f>
        <v>1.9801963441157922E-2</v>
      </c>
      <c r="Q302" s="8" cm="1">
        <f t="array" aca="1" ref="Q302" ca="1">IF(ROW()-2&gt;1, (M302/INDIRECT("M"&amp;ROW()-1))-1, "")</f>
        <v>-1.9802029841561652E-2</v>
      </c>
      <c r="R302" s="8" cm="1">
        <f t="array" aca="1" ref="R302" ca="1">IF(ROW()-2&gt;1, (N302/INDIRECT("N"&amp;ROW()-1))-1, "")</f>
        <v>6.3158031095702061E-2</v>
      </c>
      <c r="S302" s="8" cm="1">
        <f t="array" aca="1" ref="S302" ca="1">IF(ROW()-2&gt;1, (O302/INDIRECT("O"&amp;ROW()-1))-1, "")</f>
        <v>-2.0408346288244283E-2</v>
      </c>
    </row>
    <row r="303" spans="2:19" x14ac:dyDescent="0.35">
      <c r="B303" s="3">
        <v>43766</v>
      </c>
      <c r="C303" s="4">
        <v>21065820</v>
      </c>
      <c r="D303" s="4">
        <v>5424448</v>
      </c>
      <c r="E303" s="4">
        <v>2104686</v>
      </c>
      <c r="F303" s="4">
        <v>1490328</v>
      </c>
      <c r="G303" s="4">
        <v>1222069</v>
      </c>
      <c r="H303" s="8">
        <f>IF(C303&gt;0, G303/C303, 0)</f>
        <v>5.8011935922741197E-2</v>
      </c>
      <c r="I303" s="8" cm="1">
        <f t="array" aca="1" ref="I303" ca="1">IF(ROW()-2&gt;7, (G303/INDIRECT("G"&amp;ROW()-7))-1, "")</f>
        <v>-0.16438069541208</v>
      </c>
      <c r="J303" s="8" cm="1">
        <f t="array" aca="1" ref="J303" ca="1">IF(ROW()-2&gt;7, (C303/INDIRECT("C"&amp;ROW()-7))-1, "")</f>
        <v>-7.6190467419780084E-2</v>
      </c>
      <c r="K303" s="8" cm="1">
        <f t="array" aca="1" ref="K303" ca="1">IF(ROW()-2&gt;7, (H303/INDIRECT("H"&amp;ROW()-7))-1, "")</f>
        <v>-9.5463647951307462E-2</v>
      </c>
      <c r="L303" s="8">
        <f>IF(D303&gt;0, D303/C303, 0)</f>
        <v>0.25749996914432954</v>
      </c>
      <c r="M303" s="8">
        <f>IF(D303&gt;0, E303/D303, 0)</f>
        <v>0.3880000324456977</v>
      </c>
      <c r="N303" s="8">
        <f>IF(E303&gt;0, F303/E303, 0)</f>
        <v>0.70809992559460178</v>
      </c>
      <c r="O303" s="8">
        <f>IF(F303&gt;0, G303/F303, 0)</f>
        <v>0.82000002683972928</v>
      </c>
      <c r="P303" s="8" cm="1">
        <f t="array" aca="1" ref="P303" ca="1">IF(ROW()-2&gt;1, (L303/INDIRECT("L"&amp;ROW()-1))-1, "")</f>
        <v>0.19047615101862769</v>
      </c>
      <c r="Q303" s="8" cm="1">
        <f t="array" aca="1" ref="Q303" ca="1">IF(ROW()-2&gt;1, (M303/INDIRECT("M"&amp;ROW()-1))-1, "")</f>
        <v>0.15270365185536527</v>
      </c>
      <c r="R303" s="8" cm="1">
        <f t="array" aca="1" ref="R303" ca="1">IF(ROW()-2&gt;1, (N303/INDIRECT("N"&amp;ROW()-1))-1, "")</f>
        <v>3.1013334201248188E-2</v>
      </c>
      <c r="S303" s="8" cm="1">
        <f t="array" aca="1" ref="S303" ca="1">IF(ROW()-2&gt;1, (O303/INDIRECT("O"&amp;ROW()-1))-1, "")</f>
        <v>9.5085449463227834E-2</v>
      </c>
    </row>
    <row r="304" spans="2:19" x14ac:dyDescent="0.35">
      <c r="B304" s="3">
        <v>43767</v>
      </c>
      <c r="C304" s="4">
        <v>22151687</v>
      </c>
      <c r="D304" s="4">
        <v>5261025</v>
      </c>
      <c r="E304" s="4">
        <v>2020233</v>
      </c>
      <c r="F304" s="4">
        <v>1430527</v>
      </c>
      <c r="G304" s="4">
        <v>1173032</v>
      </c>
      <c r="H304" s="8">
        <f>IF(C304&gt;0, G304/C304, 0)</f>
        <v>5.2954522154452614E-2</v>
      </c>
      <c r="I304" s="8" cm="1">
        <f t="array" aca="1" ref="I304" ca="1">IF(ROW()-2&gt;7, (G304/INDIRECT("G"&amp;ROW()-7))-1, "")</f>
        <v>-0.13142904531624966</v>
      </c>
      <c r="J304" s="8" cm="1">
        <f t="array" aca="1" ref="J304" ca="1">IF(ROW()-2&gt;7, (C304/INDIRECT("C"&amp;ROW()-7))-1, "")</f>
        <v>2.0000009209230951E-2</v>
      </c>
      <c r="K304" s="8" cm="1">
        <f t="array" aca="1" ref="K304" ca="1">IF(ROW()-2&gt;7, (H304/INDIRECT("H"&amp;ROW()-7))-1, "")</f>
        <v>-0.14845985603752898</v>
      </c>
      <c r="L304" s="8">
        <f>IF(D304&gt;0, D304/C304, 0)</f>
        <v>0.23749997009257129</v>
      </c>
      <c r="M304" s="8">
        <f>IF(D304&gt;0, E304/D304, 0)</f>
        <v>0.38399988595378276</v>
      </c>
      <c r="N304" s="8">
        <f>IF(E304&gt;0, F304/E304, 0)</f>
        <v>0.70810000628640357</v>
      </c>
      <c r="O304" s="8">
        <f>IF(F304&gt;0, G304/F304, 0)</f>
        <v>0.81999990213396878</v>
      </c>
      <c r="P304" s="8" cm="1">
        <f t="array" aca="1" ref="P304" ca="1">IF(ROW()-2&gt;1, (L304/INDIRECT("L"&amp;ROW()-1))-1, "")</f>
        <v>-7.7669908537147059E-2</v>
      </c>
      <c r="Q304" s="8" cm="1">
        <f t="array" aca="1" ref="Q304" ca="1">IF(ROW()-2&gt;1, (M304/INDIRECT("M"&amp;ROW()-1))-1, "")</f>
        <v>-1.0309655044873689E-2</v>
      </c>
      <c r="R304" s="8" cm="1">
        <f t="array" aca="1" ref="R304" ca="1">IF(ROW()-2&gt;1, (N304/INDIRECT("N"&amp;ROW()-1))-1, "")</f>
        <v>1.1395538801473037E-7</v>
      </c>
      <c r="S304" s="8" cm="1">
        <f t="array" aca="1" ref="S304" ca="1">IF(ROW()-2&gt;1, (O304/INDIRECT("O"&amp;ROW()-1))-1, "")</f>
        <v>-1.5208019077395107E-7</v>
      </c>
    </row>
    <row r="305" spans="2:19" x14ac:dyDescent="0.35">
      <c r="B305" s="3">
        <v>43768</v>
      </c>
      <c r="C305" s="4">
        <v>21500167</v>
      </c>
      <c r="D305" s="4">
        <v>5643793</v>
      </c>
      <c r="E305" s="4">
        <v>2325243</v>
      </c>
      <c r="F305" s="4">
        <v>1629530</v>
      </c>
      <c r="G305" s="4">
        <v>1376301</v>
      </c>
      <c r="H305" s="8">
        <f>IF(C305&gt;0, G305/C305, 0)</f>
        <v>6.4013502778838882E-2</v>
      </c>
      <c r="I305" s="8" cm="1">
        <f t="array" aca="1" ref="I305" ca="1">IF(ROW()-2&gt;7, (G305/INDIRECT("G"&amp;ROW()-7))-1, "")</f>
        <v>3.906748988716191E-2</v>
      </c>
      <c r="J305" s="8" cm="1">
        <f t="array" aca="1" ref="J305" ca="1">IF(ROW()-2&gt;7, (C305/INDIRECT("C"&amp;ROW()-7))-1, "")</f>
        <v>-9.9999815815380311E-3</v>
      </c>
      <c r="K305" s="8" cm="1">
        <f t="array" aca="1" ref="K305" ca="1">IF(ROW()-2&gt;7, (H305/INDIRECT("H"&amp;ROW()-7))-1, "")</f>
        <v>4.9563101571539425E-2</v>
      </c>
      <c r="L305" s="8">
        <f>IF(D305&gt;0, D305/C305, 0)</f>
        <v>0.26249996104681417</v>
      </c>
      <c r="M305" s="8">
        <f>IF(D305&gt;0, E305/D305, 0)</f>
        <v>0.41200005032076831</v>
      </c>
      <c r="N305" s="8">
        <f>IF(E305&gt;0, F305/E305, 0)</f>
        <v>0.70079987338957694</v>
      </c>
      <c r="O305" s="8">
        <f>IF(F305&gt;0, G305/F305, 0)</f>
        <v>0.84459997668039255</v>
      </c>
      <c r="P305" s="8" cm="1">
        <f t="array" aca="1" ref="P305" ca="1">IF(ROW()-2&gt;1, (L305/INDIRECT("L"&amp;ROW()-1))-1, "")</f>
        <v>0.10526313306270541</v>
      </c>
      <c r="Q305" s="8" cm="1">
        <f t="array" aca="1" ref="Q305" ca="1">IF(ROW()-2&gt;1, (M305/INDIRECT("M"&amp;ROW()-1))-1, "")</f>
        <v>7.2917116361736589E-2</v>
      </c>
      <c r="R305" s="8" cm="1">
        <f t="array" aca="1" ref="R305" ca="1">IF(ROW()-2&gt;1, (N305/INDIRECT("N"&amp;ROW()-1))-1, "")</f>
        <v>-1.030946593986326E-2</v>
      </c>
      <c r="S305" s="8" cm="1">
        <f t="array" aca="1" ref="S305" ca="1">IF(ROW()-2&gt;1, (O305/INDIRECT("O"&amp;ROW()-1))-1, "")</f>
        <v>3.0000094490748808E-2</v>
      </c>
    </row>
    <row r="306" spans="2:19" x14ac:dyDescent="0.35">
      <c r="B306" s="3">
        <v>43769</v>
      </c>
      <c r="C306" s="4">
        <v>20631473</v>
      </c>
      <c r="D306" s="4">
        <v>5003132</v>
      </c>
      <c r="E306" s="4">
        <v>1921202</v>
      </c>
      <c r="F306" s="4">
        <v>1332354</v>
      </c>
      <c r="G306" s="4">
        <v>1070679</v>
      </c>
      <c r="H306" s="8">
        <f>IF(C306&gt;0, G306/C306, 0)</f>
        <v>5.1895422105828315E-2</v>
      </c>
      <c r="I306" s="8" cm="1">
        <f t="array" aca="1" ref="I306" ca="1">IF(ROW()-2&gt;7, (G306/INDIRECT("G"&amp;ROW()-7))-1, "")</f>
        <v>-0.18235948174610572</v>
      </c>
      <c r="J306" s="8" cm="1">
        <f t="array" aca="1" ref="J306" ca="1">IF(ROW()-2&gt;7, (C306/INDIRECT("C"&amp;ROW()-7))-1, "")</f>
        <v>-2.0618565999329763E-2</v>
      </c>
      <c r="K306" s="8" cm="1">
        <f t="array" aca="1" ref="K306" ca="1">IF(ROW()-2&gt;7, (H306/INDIRECT("H"&amp;ROW()-7))-1, "")</f>
        <v>-0.16514598922513912</v>
      </c>
      <c r="L306" s="8">
        <f>IF(D306&gt;0, D306/C306, 0)</f>
        <v>0.24249999018489857</v>
      </c>
      <c r="M306" s="8">
        <f>IF(D306&gt;0, E306/D306, 0)</f>
        <v>0.38399986248613871</v>
      </c>
      <c r="N306" s="8">
        <f>IF(E306&gt;0, F306/E306, 0)</f>
        <v>0.6935002149695868</v>
      </c>
      <c r="O306" s="8">
        <f>IF(F306&gt;0, G306/F306, 0)</f>
        <v>0.80359949382821683</v>
      </c>
      <c r="P306" s="8" cm="1">
        <f t="array" aca="1" ref="P306" ca="1">IF(ROW()-2&gt;1, (L306/INDIRECT("L"&amp;ROW()-1))-1, "")</f>
        <v>-7.6190376494375212E-2</v>
      </c>
      <c r="Q306" s="8" cm="1">
        <f t="array" aca="1" ref="Q306" ca="1">IF(ROW()-2&gt;1, (M306/INDIRECT("M"&amp;ROW()-1))-1, "")</f>
        <v>-6.7961612657157833E-2</v>
      </c>
      <c r="R306" s="8" cm="1">
        <f t="array" aca="1" ref="R306" ca="1">IF(ROW()-2&gt;1, (N306/INDIRECT("N"&amp;ROW()-1))-1, "")</f>
        <v>-1.0416181134114244E-2</v>
      </c>
      <c r="S306" s="8" cm="1">
        <f t="array" aca="1" ref="S306" ca="1">IF(ROW()-2&gt;1, (O306/INDIRECT("O"&amp;ROW()-1))-1, "")</f>
        <v>-4.8544262354024204E-2</v>
      </c>
    </row>
    <row r="307" spans="2:19" x14ac:dyDescent="0.35">
      <c r="B307" s="3">
        <v>43770</v>
      </c>
      <c r="C307" s="4">
        <v>21065820</v>
      </c>
      <c r="D307" s="4">
        <v>5055796</v>
      </c>
      <c r="E307" s="4">
        <v>2103211</v>
      </c>
      <c r="F307" s="4">
        <v>1581404</v>
      </c>
      <c r="G307" s="4">
        <v>1270816</v>
      </c>
      <c r="H307" s="8">
        <f>IF(C307&gt;0, G307/C307, 0)</f>
        <v>6.0325968796847214E-2</v>
      </c>
      <c r="I307" s="8" cm="1">
        <f t="array" aca="1" ref="I307" ca="1">IF(ROW()-2&gt;7, (G307/INDIRECT("G"&amp;ROW()-7))-1, "")</f>
        <v>7.0869645087190403E-2</v>
      </c>
      <c r="J307" s="8" cm="1">
        <f t="array" aca="1" ref="J307" ca="1">IF(ROW()-2&gt;7, (C307/INDIRECT("C"&amp;ROW()-7))-1, "")</f>
        <v>-2.0202029128424948E-2</v>
      </c>
      <c r="K307" s="8" cm="1">
        <f t="array" aca="1" ref="K307" ca="1">IF(ROW()-2&gt;7, (H307/INDIRECT("H"&amp;ROW()-7))-1, "")</f>
        <v>9.2949441541099409E-2</v>
      </c>
      <c r="L307" s="8">
        <f>IF(D307&gt;0, D307/C307, 0)</f>
        <v>0.2399999620237902</v>
      </c>
      <c r="M307" s="8">
        <f>IF(D307&gt;0, E307/D307, 0)</f>
        <v>0.41599997310018044</v>
      </c>
      <c r="N307" s="8">
        <f>IF(E307&gt;0, F307/E307, 0)</f>
        <v>0.75189983315986841</v>
      </c>
      <c r="O307" s="8">
        <f>IF(F307&gt;0, G307/F307, 0)</f>
        <v>0.80359983913029187</v>
      </c>
      <c r="P307" s="8" cm="1">
        <f t="array" aca="1" ref="P307" ca="1">IF(ROW()-2&gt;1, (L307/INDIRECT("L"&amp;ROW()-1))-1, "")</f>
        <v>-1.0309394896066526E-2</v>
      </c>
      <c r="Q307" s="8" cm="1">
        <f t="array" aca="1" ref="Q307" ca="1">IF(ROW()-2&gt;1, (M307/INDIRECT("M"&amp;ROW()-1))-1, "")</f>
        <v>8.3333651233265416E-2</v>
      </c>
      <c r="R307" s="8" cm="1">
        <f t="array" aca="1" ref="R307" ca="1">IF(ROW()-2&gt;1, (N307/INDIRECT("N"&amp;ROW()-1))-1, "")</f>
        <v>8.4209949657827687E-2</v>
      </c>
      <c r="S307" s="8" cm="1">
        <f t="array" aca="1" ref="S307" ca="1">IF(ROW()-2&gt;1, (O307/INDIRECT("O"&amp;ROW()-1))-1, "")</f>
        <v>4.296942415216165E-7</v>
      </c>
    </row>
    <row r="308" spans="2:19" x14ac:dyDescent="0.35">
      <c r="B308" s="3">
        <v>43771</v>
      </c>
      <c r="C308" s="4">
        <v>42645263</v>
      </c>
      <c r="D308" s="4">
        <v>9134615</v>
      </c>
      <c r="E308" s="4">
        <v>2981538</v>
      </c>
      <c r="F308" s="4">
        <v>1926073</v>
      </c>
      <c r="G308" s="4">
        <v>1457267</v>
      </c>
      <c r="H308" s="8">
        <f>IF(C308&gt;0, G308/C308, 0)</f>
        <v>3.4171837561419192E-2</v>
      </c>
      <c r="I308" s="8" cm="1">
        <f t="array" aca="1" ref="I308" ca="1">IF(ROW()-2&gt;7, (G308/INDIRECT("G"&amp;ROW()-7))-1, "")</f>
        <v>-7.8974379069435274E-2</v>
      </c>
      <c r="J308" s="8" cm="1">
        <f t="array" aca="1" ref="J308" ca="1">IF(ROW()-2&gt;7, (C308/INDIRECT("C"&amp;ROW()-7))-1, "")</f>
        <v>-3.0612233532244737E-2</v>
      </c>
      <c r="K308" s="8" cm="1">
        <f t="array" aca="1" ref="K308" ca="1">IF(ROW()-2&gt;7, (H308/INDIRECT("H"&amp;ROW()-7))-1, "")</f>
        <v>-4.9889370600798899E-2</v>
      </c>
      <c r="L308" s="8">
        <f>IF(D308&gt;0, D308/C308, 0)</f>
        <v>0.2141999921538765</v>
      </c>
      <c r="M308" s="8">
        <f>IF(D308&gt;0, E308/D308, 0)</f>
        <v>0.32639996321684056</v>
      </c>
      <c r="N308" s="8">
        <f>IF(E308&gt;0, F308/E308, 0)</f>
        <v>0.64599981620224189</v>
      </c>
      <c r="O308" s="8">
        <f>IF(F308&gt;0, G308/F308, 0)</f>
        <v>0.75660008732794659</v>
      </c>
      <c r="P308" s="8" cm="1">
        <f t="array" aca="1" ref="P308" ca="1">IF(ROW()-2&gt;1, (L308/INDIRECT("L"&amp;ROW()-1))-1, "")</f>
        <v>-0.10749989146813388</v>
      </c>
      <c r="Q308" s="8" cm="1">
        <f t="array" aca="1" ref="Q308" ca="1">IF(ROW()-2&gt;1, (M308/INDIRECT("M"&amp;ROW()-1))-1, "")</f>
        <v>-0.21538465307006771</v>
      </c>
      <c r="R308" s="8" cm="1">
        <f t="array" aca="1" ref="R308" ca="1">IF(ROW()-2&gt;1, (N308/INDIRECT("N"&amp;ROW()-1))-1, "")</f>
        <v>-0.14084325103861295</v>
      </c>
      <c r="S308" s="8" cm="1">
        <f t="array" aca="1" ref="S308" ca="1">IF(ROW()-2&gt;1, (O308/INDIRECT("O"&amp;ROW()-1))-1, "")</f>
        <v>-5.8486512208876795E-2</v>
      </c>
    </row>
    <row r="309" spans="2:19" x14ac:dyDescent="0.35">
      <c r="B309" s="3">
        <v>43772</v>
      </c>
      <c r="C309" s="4">
        <v>45787545</v>
      </c>
      <c r="D309" s="4">
        <v>9711538</v>
      </c>
      <c r="E309" s="4">
        <v>3268903</v>
      </c>
      <c r="F309" s="4">
        <v>2156168</v>
      </c>
      <c r="G309" s="4">
        <v>1648175</v>
      </c>
      <c r="H309" s="8">
        <f>IF(C309&gt;0, G309/C309, 0)</f>
        <v>3.5996142619133656E-2</v>
      </c>
      <c r="I309" s="8" cm="1">
        <f t="array" aca="1" ref="I309" ca="1">IF(ROW()-2&gt;7, (G309/INDIRECT("G"&amp;ROW()-7))-1, "")</f>
        <v>2.14525645157293E-2</v>
      </c>
      <c r="J309" s="8" cm="1">
        <f t="array" aca="1" ref="J309" ca="1">IF(ROW()-2&gt;7, (C309/INDIRECT("C"&amp;ROW()-7))-1, "")</f>
        <v>6.25E-2</v>
      </c>
      <c r="K309" s="8" cm="1">
        <f t="array" aca="1" ref="K309" ca="1">IF(ROW()-2&gt;7, (H309/INDIRECT("H"&amp;ROW()-7))-1, "")</f>
        <v>-3.8632880455784169E-2</v>
      </c>
      <c r="L309" s="8">
        <f>IF(D309&gt;0, D309/C309, 0)</f>
        <v>0.2120999935681199</v>
      </c>
      <c r="M309" s="8">
        <f>IF(D309&gt;0, E309/D309, 0)</f>
        <v>0.33659992886811541</v>
      </c>
      <c r="N309" s="8">
        <f>IF(E309&gt;0, F309/E309, 0)</f>
        <v>0.65959987188362579</v>
      </c>
      <c r="O309" s="8">
        <f>IF(F309&gt;0, G309/F309, 0)</f>
        <v>0.76440008385246416</v>
      </c>
      <c r="P309" s="8" cm="1">
        <f t="array" aca="1" ref="P309" ca="1">IF(ROW()-2&gt;1, (L309/INDIRECT("L"&amp;ROW()-1))-1, "")</f>
        <v>-9.8039153253003386E-3</v>
      </c>
      <c r="Q309" s="8" cm="1">
        <f t="array" aca="1" ref="Q309" ca="1">IF(ROW()-2&gt;1, (M309/INDIRECT("M"&amp;ROW()-1))-1, "")</f>
        <v>3.1249898286595634E-2</v>
      </c>
      <c r="R309" s="8" cm="1">
        <f t="array" aca="1" ref="R309" ca="1">IF(ROW()-2&gt;1, (N309/INDIRECT("N"&amp;ROW()-1))-1, "")</f>
        <v>2.1052723762890579E-2</v>
      </c>
      <c r="S309" s="8" cm="1">
        <f t="array" aca="1" ref="S309" ca="1">IF(ROW()-2&gt;1, (O309/INDIRECT("O"&amp;ROW()-1))-1, "")</f>
        <v>1.0309272567049943E-2</v>
      </c>
    </row>
    <row r="310" spans="2:19" x14ac:dyDescent="0.35">
      <c r="B310" s="3">
        <v>43773</v>
      </c>
      <c r="C310" s="4">
        <v>21282993</v>
      </c>
      <c r="D310" s="4">
        <v>5107918</v>
      </c>
      <c r="E310" s="4">
        <v>1941009</v>
      </c>
      <c r="F310" s="4">
        <v>1360259</v>
      </c>
      <c r="G310" s="4">
        <v>1070795</v>
      </c>
      <c r="H310" s="8">
        <f>IF(C310&gt;0, G310/C310, 0)</f>
        <v>5.0312237569217828E-2</v>
      </c>
      <c r="I310" s="8" cm="1">
        <f t="array" aca="1" ref="I310" ca="1">IF(ROW()-2&gt;7, (G310/INDIRECT("G"&amp;ROW()-7))-1, "")</f>
        <v>-0.12378515452073491</v>
      </c>
      <c r="J310" s="8" cm="1">
        <f t="array" aca="1" ref="J310" ca="1">IF(ROW()-2&gt;7, (C310/INDIRECT("C"&amp;ROW()-7))-1, "")</f>
        <v>1.0309259264533743E-2</v>
      </c>
      <c r="K310" s="8" cm="1">
        <f t="array" aca="1" ref="K310" ca="1">IF(ROW()-2&gt;7, (H310/INDIRECT("H"&amp;ROW()-7))-1, "")</f>
        <v>-0.13272610594787992</v>
      </c>
      <c r="L310" s="8">
        <f>IF(D310&gt;0, D310/C310, 0)</f>
        <v>0.23999998496452074</v>
      </c>
      <c r="M310" s="8">
        <f>IF(D310&gt;0, E310/D310, 0)</f>
        <v>0.38000003132391708</v>
      </c>
      <c r="N310" s="8">
        <f>IF(E310&gt;0, F310/E310, 0)</f>
        <v>0.70079994477099283</v>
      </c>
      <c r="O310" s="8">
        <f>IF(F310&gt;0, G310/F310, 0)</f>
        <v>0.78719934953563986</v>
      </c>
      <c r="P310" s="8" cm="1">
        <f t="array" aca="1" ref="P310" ca="1">IF(ROW()-2&gt;1, (L310/INDIRECT("L"&amp;ROW()-1))-1, "")</f>
        <v>0.13154168902621977</v>
      </c>
      <c r="Q310" s="8" cm="1">
        <f t="array" aca="1" ref="Q310" ca="1">IF(ROW()-2&gt;1, (M310/INDIRECT("M"&amp;ROW()-1))-1, "")</f>
        <v>0.12893675468602495</v>
      </c>
      <c r="R310" s="8" cm="1">
        <f t="array" aca="1" ref="R310" ca="1">IF(ROW()-2&gt;1, (N310/INDIRECT("N"&amp;ROW()-1))-1, "")</f>
        <v>6.2462220875985963E-2</v>
      </c>
      <c r="S310" s="8" cm="1">
        <f t="array" aca="1" ref="S310" ca="1">IF(ROW()-2&gt;1, (O310/INDIRECT("O"&amp;ROW()-1))-1, "")</f>
        <v>2.9826351625016567E-2</v>
      </c>
    </row>
    <row r="311" spans="2:19" x14ac:dyDescent="0.35">
      <c r="B311" s="3">
        <v>43774</v>
      </c>
      <c r="C311" s="4">
        <v>20848646</v>
      </c>
      <c r="D311" s="4">
        <v>5420648</v>
      </c>
      <c r="E311" s="4">
        <v>2168259</v>
      </c>
      <c r="F311" s="4">
        <v>1567000</v>
      </c>
      <c r="G311" s="4">
        <v>1259241</v>
      </c>
      <c r="H311" s="8">
        <f>IF(C311&gt;0, G311/C311, 0)</f>
        <v>6.0399174123825596E-2</v>
      </c>
      <c r="I311" s="8" cm="1">
        <f t="array" aca="1" ref="I311" ca="1">IF(ROW()-2&gt;7, (G311/INDIRECT("G"&amp;ROW()-7))-1, "")</f>
        <v>7.3492453743802422E-2</v>
      </c>
      <c r="J311" s="8" cm="1">
        <f t="array" aca="1" ref="J311" ca="1">IF(ROW()-2&gt;7, (C311/INDIRECT("C"&amp;ROW()-7))-1, "")</f>
        <v>-5.8823555966640351E-2</v>
      </c>
      <c r="K311" s="8" cm="1">
        <f t="array" aca="1" ref="K311" ca="1">IF(ROW()-2&gt;7, (H311/INDIRECT("H"&amp;ROW()-7))-1, "")</f>
        <v>0.14058576428391034</v>
      </c>
      <c r="L311" s="8">
        <f>IF(D311&gt;0, D311/C311, 0)</f>
        <v>0.2600000019185898</v>
      </c>
      <c r="M311" s="8">
        <f>IF(D311&gt;0, E311/D311, 0)</f>
        <v>0.39999996310404218</v>
      </c>
      <c r="N311" s="8">
        <f>IF(E311&gt;0, F311/E311, 0)</f>
        <v>0.7226996405872177</v>
      </c>
      <c r="O311" s="8">
        <f>IF(F311&gt;0, G311/F311, 0)</f>
        <v>0.80359987236758135</v>
      </c>
      <c r="P311" s="8" cm="1">
        <f t="array" aca="1" ref="P311" ca="1">IF(ROW()-2&gt;1, (L311/INDIRECT("L"&amp;ROW()-1))-1, "")</f>
        <v>8.3333409195945007E-2</v>
      </c>
      <c r="Q311" s="8" cm="1">
        <f t="array" aca="1" ref="Q311" ca="1">IF(ROW()-2&gt;1, (M311/INDIRECT("M"&amp;ROW()-1))-1, "")</f>
        <v>5.2631395082904264E-2</v>
      </c>
      <c r="R311" s="8" cm="1">
        <f t="array" aca="1" ref="R311" ca="1">IF(ROW()-2&gt;1, (N311/INDIRECT("N"&amp;ROW()-1))-1, "")</f>
        <v>3.1249568410541606E-2</v>
      </c>
      <c r="S311" s="8" cm="1">
        <f t="array" aca="1" ref="S311" ca="1">IF(ROW()-2&gt;1, (O311/INDIRECT("O"&amp;ROW()-1))-1, "")</f>
        <v>2.0834014715098492E-2</v>
      </c>
    </row>
    <row r="312" spans="2:19" x14ac:dyDescent="0.35">
      <c r="B312" s="3">
        <v>43775</v>
      </c>
      <c r="C312" s="4">
        <v>21500167</v>
      </c>
      <c r="D312" s="4">
        <v>5106289</v>
      </c>
      <c r="E312" s="4">
        <v>2022090</v>
      </c>
      <c r="F312" s="4">
        <v>1461364</v>
      </c>
      <c r="G312" s="4">
        <v>1162369</v>
      </c>
      <c r="H312" s="8">
        <f>IF(C312&gt;0, G312/C312, 0)</f>
        <v>5.4063254485418648E-2</v>
      </c>
      <c r="I312" s="8" cm="1">
        <f t="array" aca="1" ref="I312" ca="1">IF(ROW()-2&gt;7, (G312/INDIRECT("G"&amp;ROW()-7))-1, "")</f>
        <v>-0.15543983474545175</v>
      </c>
      <c r="J312" s="8" cm="1">
        <f t="array" aca="1" ref="J312" ca="1">IF(ROW()-2&gt;7, (C312/INDIRECT("C"&amp;ROW()-7))-1, "")</f>
        <v>0</v>
      </c>
      <c r="K312" s="8" cm="1">
        <f t="array" aca="1" ref="K312" ca="1">IF(ROW()-2&gt;7, (H312/INDIRECT("H"&amp;ROW()-7))-1, "")</f>
        <v>-0.15543983474545175</v>
      </c>
      <c r="L312" s="8">
        <f>IF(D312&gt;0, D312/C312, 0)</f>
        <v>0.23749996918628585</v>
      </c>
      <c r="M312" s="8">
        <f>IF(D312&gt;0, E312/D312, 0)</f>
        <v>0.39599991304839971</v>
      </c>
      <c r="N312" s="8">
        <f>IF(E312&gt;0, F312/E312, 0)</f>
        <v>0.72269978091974141</v>
      </c>
      <c r="O312" s="8">
        <f>IF(F312&gt;0, G312/F312, 0)</f>
        <v>0.79540005091134036</v>
      </c>
      <c r="P312" s="8" cm="1">
        <f t="array" aca="1" ref="P312" ca="1">IF(ROW()-2&gt;1, (L312/INDIRECT("L"&amp;ROW()-1))-1, "")</f>
        <v>-8.6538586793353467E-2</v>
      </c>
      <c r="Q312" s="8" cm="1">
        <f t="array" aca="1" ref="Q312" ca="1">IF(ROW()-2&gt;1, (M312/INDIRECT("M"&amp;ROW()-1))-1, "")</f>
        <v>-1.000012606151679E-2</v>
      </c>
      <c r="R312" s="8" cm="1">
        <f t="array" aca="1" ref="R312" ca="1">IF(ROW()-2&gt;1, (N312/INDIRECT("N"&amp;ROW()-1))-1, "")</f>
        <v>1.9417821151002101E-7</v>
      </c>
      <c r="S312" s="8" cm="1">
        <f t="array" aca="1" ref="S312" ca="1">IF(ROW()-2&gt;1, (O312/INDIRECT("O"&amp;ROW()-1))-1, "")</f>
        <v>-1.0203861073400211E-2</v>
      </c>
    </row>
    <row r="313" spans="2:19" x14ac:dyDescent="0.35">
      <c r="B313" s="3">
        <v>43776</v>
      </c>
      <c r="C313" s="4">
        <v>20848646</v>
      </c>
      <c r="D313" s="4">
        <v>5264283</v>
      </c>
      <c r="E313" s="4">
        <v>2000427</v>
      </c>
      <c r="F313" s="4">
        <v>1489518</v>
      </c>
      <c r="G313" s="4">
        <v>1209191</v>
      </c>
      <c r="H313" s="8">
        <f>IF(C313&gt;0, G313/C313, 0)</f>
        <v>5.7998538610133245E-2</v>
      </c>
      <c r="I313" s="8" cm="1">
        <f t="array" aca="1" ref="I313" ca="1">IF(ROW()-2&gt;7, (G313/INDIRECT("G"&amp;ROW()-7))-1, "")</f>
        <v>0.1293683727802637</v>
      </c>
      <c r="J313" s="8" cm="1">
        <f t="array" aca="1" ref="J313" ca="1">IF(ROW()-2&gt;7, (C313/INDIRECT("C"&amp;ROW()-7))-1, "")</f>
        <v>1.0526296401619062E-2</v>
      </c>
      <c r="K313" s="8" cm="1">
        <f t="array" aca="1" ref="K313" ca="1">IF(ROW()-2&gt;7, (H313/INDIRECT("H"&amp;ROW()-7))-1, "")</f>
        <v>0.11760414033937483</v>
      </c>
      <c r="L313" s="8">
        <f>IF(D313&gt;0, D313/C313, 0)</f>
        <v>0.25249999448405425</v>
      </c>
      <c r="M313" s="8">
        <f>IF(D313&gt;0, E313/D313, 0)</f>
        <v>0.37999989742192813</v>
      </c>
      <c r="N313" s="8">
        <f>IF(E313&gt;0, F313/E313, 0)</f>
        <v>0.74460002789404467</v>
      </c>
      <c r="O313" s="8">
        <f>IF(F313&gt;0, G313/F313, 0)</f>
        <v>0.81180019308259455</v>
      </c>
      <c r="P313" s="8" cm="1">
        <f t="array" aca="1" ref="P313" ca="1">IF(ROW()-2&gt;1, (L313/INDIRECT("L"&amp;ROW()-1))-1, "")</f>
        <v>6.3158009448005314E-2</v>
      </c>
      <c r="Q313" s="8" cm="1">
        <f t="array" aca="1" ref="Q313" ca="1">IF(ROW()-2&gt;1, (M313/INDIRECT("M"&amp;ROW()-1))-1, "")</f>
        <v>-4.0404088736544774E-2</v>
      </c>
      <c r="R313" s="8" cm="1">
        <f t="array" aca="1" ref="R313" ca="1">IF(ROW()-2&gt;1, (N313/INDIRECT("N"&amp;ROW()-1))-1, "")</f>
        <v>3.0303381227585247E-2</v>
      </c>
      <c r="S313" s="8" cm="1">
        <f t="array" aca="1" ref="S313" ca="1">IF(ROW()-2&gt;1, (O313/INDIRECT("O"&amp;ROW()-1))-1, "")</f>
        <v>2.0618734123116322E-2</v>
      </c>
    </row>
    <row r="314" spans="2:19" x14ac:dyDescent="0.35">
      <c r="B314" s="3">
        <v>43777</v>
      </c>
      <c r="C314" s="4">
        <v>21065820</v>
      </c>
      <c r="D314" s="4">
        <v>5108461</v>
      </c>
      <c r="E314" s="4">
        <v>2084252</v>
      </c>
      <c r="F314" s="4">
        <v>1445428</v>
      </c>
      <c r="G314" s="4">
        <v>1232661</v>
      </c>
      <c r="H314" s="8">
        <f>IF(C314&gt;0, G314/C314, 0)</f>
        <v>5.8514740940537803E-2</v>
      </c>
      <c r="I314" s="8" cm="1">
        <f t="array" aca="1" ref="I314" ca="1">IF(ROW()-2&gt;7, (G314/INDIRECT("G"&amp;ROW()-7))-1, "")</f>
        <v>-3.0024016065268277E-2</v>
      </c>
      <c r="J314" s="8" cm="1">
        <f t="array" aca="1" ref="J314" ca="1">IF(ROW()-2&gt;7, (C314/INDIRECT("C"&amp;ROW()-7))-1, "")</f>
        <v>0</v>
      </c>
      <c r="K314" s="8" cm="1">
        <f t="array" aca="1" ref="K314" ca="1">IF(ROW()-2&gt;7, (H314/INDIRECT("H"&amp;ROW()-7))-1, "")</f>
        <v>-3.0024016065268277E-2</v>
      </c>
      <c r="L314" s="8">
        <f>IF(D314&gt;0, D314/C314, 0)</f>
        <v>0.24249998338540821</v>
      </c>
      <c r="M314" s="8">
        <f>IF(D314&gt;0, E314/D314, 0)</f>
        <v>0.40799998277367683</v>
      </c>
      <c r="N314" s="8">
        <f>IF(E314&gt;0, F314/E314, 0)</f>
        <v>0.69349963440121443</v>
      </c>
      <c r="O314" s="8">
        <f>IF(F314&gt;0, G314/F314, 0)</f>
        <v>0.85280000110693854</v>
      </c>
      <c r="P314" s="8" cm="1">
        <f t="array" aca="1" ref="P314" ca="1">IF(ROW()-2&gt;1, (L314/INDIRECT("L"&amp;ROW()-1))-1, "")</f>
        <v>-3.9604005216235971E-2</v>
      </c>
      <c r="Q314" s="8" cm="1">
        <f t="array" aca="1" ref="Q314" ca="1">IF(ROW()-2&gt;1, (M314/INDIRECT("M"&amp;ROW()-1))-1, "")</f>
        <v>7.368445502673171E-2</v>
      </c>
      <c r="R314" s="8" cm="1">
        <f t="array" aca="1" ref="R314" ca="1">IF(ROW()-2&gt;1, (N314/INDIRECT("N"&amp;ROW()-1))-1, "")</f>
        <v>-6.8627976871499352E-2</v>
      </c>
      <c r="S314" s="8" cm="1">
        <f t="array" aca="1" ref="S314" ca="1">IF(ROW()-2&gt;1, (O314/INDIRECT("O"&amp;ROW()-1))-1, "")</f>
        <v>5.050480201126617E-2</v>
      </c>
    </row>
    <row r="315" spans="2:19" x14ac:dyDescent="0.35">
      <c r="B315" s="3">
        <v>43778</v>
      </c>
      <c r="C315" s="4">
        <v>45787545</v>
      </c>
      <c r="D315" s="4">
        <v>9711538</v>
      </c>
      <c r="E315" s="4">
        <v>3367961</v>
      </c>
      <c r="F315" s="4">
        <v>2290213</v>
      </c>
      <c r="G315" s="4">
        <v>1839957</v>
      </c>
      <c r="H315" s="8">
        <f>IF(C315&gt;0, G315/C315, 0)</f>
        <v>4.0184661571176179E-2</v>
      </c>
      <c r="I315" s="8" cm="1">
        <f t="array" aca="1" ref="I315" ca="1">IF(ROW()-2&gt;7, (G315/INDIRECT("G"&amp;ROW()-7))-1, "")</f>
        <v>0.26260801898348074</v>
      </c>
      <c r="J315" s="8" cm="1">
        <f t="array" aca="1" ref="J315" ca="1">IF(ROW()-2&gt;7, (C315/INDIRECT("C"&amp;ROW()-7))-1, "")</f>
        <v>7.3684197937763818E-2</v>
      </c>
      <c r="K315" s="8" cm="1">
        <f t="array" aca="1" ref="K315" ca="1">IF(ROW()-2&gt;7, (H315/INDIRECT("H"&amp;ROW()-7))-1, "")</f>
        <v>0.17595846284092165</v>
      </c>
      <c r="L315" s="8">
        <f>IF(D315&gt;0, D315/C315, 0)</f>
        <v>0.2120999935681199</v>
      </c>
      <c r="M315" s="8">
        <f>IF(D315&gt;0, E315/D315, 0)</f>
        <v>0.34679996103603777</v>
      </c>
      <c r="N315" s="8">
        <f>IF(E315&gt;0, F315/E315, 0)</f>
        <v>0.67999985748053493</v>
      </c>
      <c r="O315" s="8">
        <f>IF(F315&gt;0, G315/F315, 0)</f>
        <v>0.80339994576923635</v>
      </c>
      <c r="P315" s="8" cm="1">
        <f t="array" aca="1" ref="P315" ca="1">IF(ROW()-2&gt;1, (L315/INDIRECT("L"&amp;ROW()-1))-1, "")</f>
        <v>-0.12536079134064615</v>
      </c>
      <c r="Q315" s="8" cm="1">
        <f t="array" aca="1" ref="Q315" ca="1">IF(ROW()-2&gt;1, (M315/INDIRECT("M"&amp;ROW()-1))-1, "")</f>
        <v>-0.15000005961173668</v>
      </c>
      <c r="R315" s="8" cm="1">
        <f t="array" aca="1" ref="R315" ca="1">IF(ROW()-2&gt;1, (N315/INDIRECT("N"&amp;ROW()-1))-1, "")</f>
        <v>-1.9466162995652514E-2</v>
      </c>
      <c r="S315" s="8" cm="1">
        <f t="array" aca="1" ref="S315" ca="1">IF(ROW()-2&gt;1, (O315/INDIRECT("O"&amp;ROW()-1))-1, "")</f>
        <v>-5.7926894082528935E-2</v>
      </c>
    </row>
    <row r="316" spans="2:19" x14ac:dyDescent="0.35">
      <c r="B316" s="3">
        <v>43779</v>
      </c>
      <c r="C316" s="4">
        <v>47134238</v>
      </c>
      <c r="D316" s="4">
        <v>10096153</v>
      </c>
      <c r="E316" s="4">
        <v>3261057</v>
      </c>
      <c r="F316" s="4">
        <v>2173168</v>
      </c>
      <c r="G316" s="4">
        <v>1627268</v>
      </c>
      <c r="H316" s="8">
        <f>IF(C316&gt;0, G316/C316, 0)</f>
        <v>3.4524118115582987E-2</v>
      </c>
      <c r="I316" s="8" cm="1">
        <f t="array" aca="1" ref="I316" ca="1">IF(ROW()-2&gt;7, (G316/INDIRECT("G"&amp;ROW()-7))-1, "")</f>
        <v>-1.2684939402672679E-2</v>
      </c>
      <c r="J316" s="8" cm="1">
        <f t="array" aca="1" ref="J316" ca="1">IF(ROW()-2&gt;7, (C316/INDIRECT("C"&amp;ROW()-7))-1, "")</f>
        <v>2.9411775625882486E-2</v>
      </c>
      <c r="K316" s="8" cm="1">
        <f t="array" aca="1" ref="K316" ca="1">IF(ROW()-2&gt;7, (H316/INDIRECT("H"&amp;ROW()-7))-1, "")</f>
        <v>-4.0893951308222043E-2</v>
      </c>
      <c r="L316" s="8">
        <f>IF(D316&gt;0, D316/C316, 0)</f>
        <v>0.21419998346000629</v>
      </c>
      <c r="M316" s="8">
        <f>IF(D316&gt;0, E316/D316, 0)</f>
        <v>0.32299995849904412</v>
      </c>
      <c r="N316" s="8">
        <f>IF(E316&gt;0, F316/E316, 0)</f>
        <v>0.66639988200144917</v>
      </c>
      <c r="O316" s="8">
        <f>IF(F316&gt;0, G316/F316, 0)</f>
        <v>0.74879990870471125</v>
      </c>
      <c r="P316" s="8" cm="1">
        <f t="array" aca="1" ref="P316" ca="1">IF(ROW()-2&gt;1, (L316/INDIRECT("L"&amp;ROW()-1))-1, "")</f>
        <v>9.9009427419523011E-3</v>
      </c>
      <c r="Q316" s="8" cm="1">
        <f t="array" aca="1" ref="Q316" ca="1">IF(ROW()-2&gt;1, (M316/INDIRECT("M"&amp;ROW()-1))-1, "")</f>
        <v>-6.8627466006319637E-2</v>
      </c>
      <c r="R316" s="8" cm="1">
        <f t="array" aca="1" ref="R316" ca="1">IF(ROW()-2&gt;1, (N316/INDIRECT("N"&amp;ROW()-1))-1, "")</f>
        <v>-1.9999968131574342E-2</v>
      </c>
      <c r="S316" s="8" cm="1">
        <f t="array" aca="1" ref="S316" ca="1">IF(ROW()-2&gt;1, (O316/INDIRECT("O"&amp;ROW()-1))-1, "")</f>
        <v>-6.7961215770617089E-2</v>
      </c>
    </row>
    <row r="317" spans="2:19" x14ac:dyDescent="0.35">
      <c r="B317" s="3">
        <v>43780</v>
      </c>
      <c r="C317" s="4">
        <v>21500167</v>
      </c>
      <c r="D317" s="4">
        <v>5482542</v>
      </c>
      <c r="E317" s="4">
        <v>2083366</v>
      </c>
      <c r="F317" s="4">
        <v>1566483</v>
      </c>
      <c r="G317" s="4">
        <v>1245980</v>
      </c>
      <c r="H317" s="8">
        <f>IF(C317&gt;0, G317/C317, 0)</f>
        <v>5.79521079999053E-2</v>
      </c>
      <c r="I317" s="8" cm="1">
        <f t="array" aca="1" ref="I317" ca="1">IF(ROW()-2&gt;7, (G317/INDIRECT("G"&amp;ROW()-7))-1, "")</f>
        <v>0.16360274375580763</v>
      </c>
      <c r="J317" s="8" cm="1">
        <f t="array" aca="1" ref="J317" ca="1">IF(ROW()-2&gt;7, (C317/INDIRECT("C"&amp;ROW()-7))-1, "")</f>
        <v>1.0204109920066262E-2</v>
      </c>
      <c r="K317" s="8" cm="1">
        <f t="array" aca="1" ref="K317" ca="1">IF(ROW()-2&gt;7, (H317/INDIRECT("H"&amp;ROW()-7))-1, "")</f>
        <v>0.15184914843385378</v>
      </c>
      <c r="L317" s="8">
        <f>IF(D317&gt;0, D317/C317, 0)</f>
        <v>0.25499997279090902</v>
      </c>
      <c r="M317" s="8">
        <f>IF(D317&gt;0, E317/D317, 0)</f>
        <v>0.38000000729588573</v>
      </c>
      <c r="N317" s="8">
        <f>IF(E317&gt;0, F317/E317, 0)</f>
        <v>0.75190005020721273</v>
      </c>
      <c r="O317" s="8">
        <f>IF(F317&gt;0, G317/F317, 0)</f>
        <v>0.79539963089289833</v>
      </c>
      <c r="P317" s="8" cm="1">
        <f t="array" aca="1" ref="P317" ca="1">IF(ROW()-2&gt;1, (L317/INDIRECT("L"&amp;ROW()-1))-1, "")</f>
        <v>0.19047615537524343</v>
      </c>
      <c r="Q317" s="8" cm="1">
        <f t="array" aca="1" ref="Q317" ca="1">IF(ROW()-2&gt;1, (M317/INDIRECT("M"&amp;ROW()-1))-1, "")</f>
        <v>0.1764707619831174</v>
      </c>
      <c r="R317" s="8" cm="1">
        <f t="array" aca="1" ref="R317" ca="1">IF(ROW()-2&gt;1, (N317/INDIRECT("N"&amp;ROW()-1))-1, "")</f>
        <v>0.12830159565601118</v>
      </c>
      <c r="S317" s="8" cm="1">
        <f t="array" aca="1" ref="S317" ca="1">IF(ROW()-2&gt;1, (O317/INDIRECT("O"&amp;ROW()-1))-1, "")</f>
        <v>6.2232542561064363E-2</v>
      </c>
    </row>
    <row r="318" spans="2:19" x14ac:dyDescent="0.35">
      <c r="B318" s="3">
        <v>43781</v>
      </c>
      <c r="C318" s="4">
        <v>20631473</v>
      </c>
      <c r="D318" s="4">
        <v>4899974</v>
      </c>
      <c r="E318" s="4">
        <v>2018789</v>
      </c>
      <c r="F318" s="4">
        <v>1547402</v>
      </c>
      <c r="G318" s="4">
        <v>1230803</v>
      </c>
      <c r="H318" s="8">
        <f>IF(C318&gt;0, G318/C318, 0)</f>
        <v>5.9656574205826214E-2</v>
      </c>
      <c r="I318" s="8" cm="1">
        <f t="array" aca="1" ref="I318" ca="1">IF(ROW()-2&gt;7, (G318/INDIRECT("G"&amp;ROW()-7))-1, "")</f>
        <v>-2.2583445107012823E-2</v>
      </c>
      <c r="J318" s="8" cm="1">
        <f t="array" aca="1" ref="J318" ca="1">IF(ROW()-2&gt;7, (C318/INDIRECT("C"&amp;ROW()-7))-1, "")</f>
        <v>-1.041664768062156E-2</v>
      </c>
      <c r="K318" s="8" cm="1">
        <f t="array" aca="1" ref="K318" ca="1">IF(ROW()-2&gt;7, (H318/INDIRECT("H"&amp;ROW()-7))-1, "")</f>
        <v>-1.2294868742359966E-2</v>
      </c>
      <c r="L318" s="8">
        <f>IF(D318&gt;0, D318/C318, 0)</f>
        <v>0.23749995940667931</v>
      </c>
      <c r="M318" s="8">
        <f>IF(D318&gt;0, E318/D318, 0)</f>
        <v>0.41199994122417793</v>
      </c>
      <c r="N318" s="8">
        <f>IF(E318&gt;0, F318/E318, 0)</f>
        <v>0.76650011467270729</v>
      </c>
      <c r="O318" s="8">
        <f>IF(F318&gt;0, G318/F318, 0)</f>
        <v>0.79539964404854069</v>
      </c>
      <c r="P318" s="8" cm="1">
        <f t="array" aca="1" ref="P318" ca="1">IF(ROW()-2&gt;1, (L318/INDIRECT("L"&amp;ROW()-1))-1, "")</f>
        <v>-6.8627510790281954E-2</v>
      </c>
      <c r="Q318" s="8" cm="1">
        <f t="array" aca="1" ref="Q318" ca="1">IF(ROW()-2&gt;1, (M318/INDIRECT("M"&amp;ROW()-1))-1, "")</f>
        <v>8.4210350826060765E-2</v>
      </c>
      <c r="R318" s="8" cm="1">
        <f t="array" aca="1" ref="R318" ca="1">IF(ROW()-2&gt;1, (N318/INDIRECT("N"&amp;ROW()-1))-1, "")</f>
        <v>1.9417560168364156E-2</v>
      </c>
      <c r="S318" s="8" cm="1">
        <f t="array" aca="1" ref="S318" ca="1">IF(ROW()-2&gt;1, (O318/INDIRECT("O"&amp;ROW()-1))-1, "")</f>
        <v>1.6539663638681645E-8</v>
      </c>
    </row>
    <row r="319" spans="2:19" x14ac:dyDescent="0.35">
      <c r="B319" s="3">
        <v>43782</v>
      </c>
      <c r="C319" s="4">
        <v>21500167</v>
      </c>
      <c r="D319" s="4">
        <v>5643793</v>
      </c>
      <c r="E319" s="4">
        <v>2302667</v>
      </c>
      <c r="F319" s="4">
        <v>1748185</v>
      </c>
      <c r="G319" s="4">
        <v>1361836</v>
      </c>
      <c r="H319" s="8">
        <f>IF(C319&gt;0, G319/C319, 0)</f>
        <v>6.3340717306986496E-2</v>
      </c>
      <c r="I319" s="8" cm="1">
        <f t="array" aca="1" ref="I319" ca="1">IF(ROW()-2&gt;7, (G319/INDIRECT("G"&amp;ROW()-7))-1, "")</f>
        <v>0.17160385385363863</v>
      </c>
      <c r="J319" s="8" cm="1">
        <f t="array" aca="1" ref="J319" ca="1">IF(ROW()-2&gt;7, (C319/INDIRECT("C"&amp;ROW()-7))-1, "")</f>
        <v>0</v>
      </c>
      <c r="K319" s="8" cm="1">
        <f t="array" aca="1" ref="K319" ca="1">IF(ROW()-2&gt;7, (H319/INDIRECT("H"&amp;ROW()-7))-1, "")</f>
        <v>0.17160385385363841</v>
      </c>
      <c r="L319" s="8">
        <f>IF(D319&gt;0, D319/C319, 0)</f>
        <v>0.26249996104681417</v>
      </c>
      <c r="M319" s="8">
        <f>IF(D319&gt;0, E319/D319, 0)</f>
        <v>0.40799990361092264</v>
      </c>
      <c r="N319" s="8">
        <f>IF(E319&gt;0, F319/E319, 0)</f>
        <v>0.75920009276200162</v>
      </c>
      <c r="O319" s="8">
        <f>IF(F319&gt;0, G319/F319, 0)</f>
        <v>0.77899993421748848</v>
      </c>
      <c r="P319" s="8" cm="1">
        <f t="array" aca="1" ref="P319" ca="1">IF(ROW()-2&gt;1, (L319/INDIRECT("L"&amp;ROW()-1))-1, "")</f>
        <v>0.10526318279207159</v>
      </c>
      <c r="Q319" s="8" cm="1">
        <f t="array" aca="1" ref="Q319" ca="1">IF(ROW()-2&gt;1, (M319/INDIRECT("M"&amp;ROW()-1))-1, "")</f>
        <v>-9.7088305434460676E-3</v>
      </c>
      <c r="R319" s="8" cm="1">
        <f t="array" aca="1" ref="R319" ca="1">IF(ROW()-2&gt;1, (N319/INDIRECT("N"&amp;ROW()-1))-1, "")</f>
        <v>-9.5238366843856115E-3</v>
      </c>
      <c r="S319" s="8" cm="1">
        <f t="array" aca="1" ref="S319" ca="1">IF(ROW()-2&gt;1, (O319/INDIRECT("O"&amp;ROW()-1))-1, "")</f>
        <v>-2.0618201119098511E-2</v>
      </c>
    </row>
    <row r="320" spans="2:19" x14ac:dyDescent="0.35">
      <c r="B320" s="3">
        <v>43783</v>
      </c>
      <c r="C320" s="4">
        <v>20848646</v>
      </c>
      <c r="D320" s="4">
        <v>5160040</v>
      </c>
      <c r="E320" s="4">
        <v>2125936</v>
      </c>
      <c r="F320" s="4">
        <v>1629530</v>
      </c>
      <c r="G320" s="4">
        <v>1349577</v>
      </c>
      <c r="H320" s="8">
        <f>IF(C320&gt;0, G320/C320, 0)</f>
        <v>6.4732117375871798E-2</v>
      </c>
      <c r="I320" s="8" cm="1">
        <f t="array" aca="1" ref="I320" ca="1">IF(ROW()-2&gt;7, (G320/INDIRECT("G"&amp;ROW()-7))-1, "")</f>
        <v>0.11609911089315084</v>
      </c>
      <c r="J320" s="8" cm="1">
        <f t="array" aca="1" ref="J320" ca="1">IF(ROW()-2&gt;7, (C320/INDIRECT("C"&amp;ROW()-7))-1, "")</f>
        <v>0</v>
      </c>
      <c r="K320" s="8" cm="1">
        <f t="array" aca="1" ref="K320" ca="1">IF(ROW()-2&gt;7, (H320/INDIRECT("H"&amp;ROW()-7))-1, "")</f>
        <v>0.11609911089315084</v>
      </c>
      <c r="L320" s="8">
        <f>IF(D320&gt;0, D320/C320, 0)</f>
        <v>0.24750000551594573</v>
      </c>
      <c r="M320" s="8">
        <f>IF(D320&gt;0, E320/D320, 0)</f>
        <v>0.4119999069774653</v>
      </c>
      <c r="N320" s="8">
        <f>IF(E320&gt;0, F320/E320, 0)</f>
        <v>0.76650002634133863</v>
      </c>
      <c r="O320" s="8">
        <f>IF(F320&gt;0, G320/F320, 0)</f>
        <v>0.82820015587316587</v>
      </c>
      <c r="P320" s="8" cm="1">
        <f t="array" aca="1" ref="P320" ca="1">IF(ROW()-2&gt;1, (L320/INDIRECT("L"&amp;ROW()-1))-1, "")</f>
        <v>-5.7142696216222921E-2</v>
      </c>
      <c r="Q320" s="8" cm="1">
        <f t="array" aca="1" ref="Q320" ca="1">IF(ROW()-2&gt;1, (M320/INDIRECT("M"&amp;ROW()-1))-1, "")</f>
        <v>9.8039321361143017E-3</v>
      </c>
      <c r="R320" s="8" cm="1">
        <f t="array" aca="1" ref="R320" ca="1">IF(ROW()-2&gt;1, (N320/INDIRECT("N"&amp;ROW()-1))-1, "")</f>
        <v>9.6152959528488235E-3</v>
      </c>
      <c r="S320" s="8" cm="1">
        <f t="array" aca="1" ref="S320" ca="1">IF(ROW()-2&gt;1, (O320/INDIRECT("O"&amp;ROW()-1))-1, "")</f>
        <v>6.3158184608961943E-2</v>
      </c>
    </row>
    <row r="321" spans="2:19" x14ac:dyDescent="0.35">
      <c r="B321" s="3">
        <v>43784</v>
      </c>
      <c r="C321" s="4">
        <v>21717340</v>
      </c>
      <c r="D321" s="4">
        <v>5212161</v>
      </c>
      <c r="E321" s="4">
        <v>2126561</v>
      </c>
      <c r="F321" s="4">
        <v>1567914</v>
      </c>
      <c r="G321" s="4">
        <v>1324260</v>
      </c>
      <c r="H321" s="8">
        <f>IF(C321&gt;0, G321/C321, 0)</f>
        <v>6.0977080986898025E-2</v>
      </c>
      <c r="I321" s="8" cm="1">
        <f t="array" aca="1" ref="I321" ca="1">IF(ROW()-2&gt;7, (G321/INDIRECT("G"&amp;ROW()-7))-1, "")</f>
        <v>7.4309968434143725E-2</v>
      </c>
      <c r="J321" s="8" cm="1">
        <f t="array" aca="1" ref="J321" ca="1">IF(ROW()-2&gt;7, (C321/INDIRECT("C"&amp;ROW()-7))-1, "")</f>
        <v>3.0927825263863395E-2</v>
      </c>
      <c r="K321" s="8" cm="1">
        <f t="array" aca="1" ref="K321" ca="1">IF(ROW()-2&gt;7, (H321/INDIRECT("H"&amp;ROW()-7))-1, "")</f>
        <v>4.2080679274687949E-2</v>
      </c>
      <c r="L321" s="8">
        <f>IF(D321&gt;0, D321/C321, 0)</f>
        <v>0.23999997237230711</v>
      </c>
      <c r="M321" s="8">
        <f>IF(D321&gt;0, E321/D321, 0)</f>
        <v>0.40799986800100763</v>
      </c>
      <c r="N321" s="8">
        <f>IF(E321&gt;0, F321/E321, 0)</f>
        <v>0.73730027024853739</v>
      </c>
      <c r="O321" s="8">
        <f>IF(F321&gt;0, G321/F321, 0)</f>
        <v>0.84459989514731038</v>
      </c>
      <c r="P321" s="8" cm="1">
        <f t="array" aca="1" ref="P321" ca="1">IF(ROW()-2&gt;1, (L321/INDIRECT("L"&amp;ROW()-1))-1, "")</f>
        <v>-3.0303163541365752E-2</v>
      </c>
      <c r="Q321" s="8" cm="1">
        <f t="array" aca="1" ref="Q321" ca="1">IF(ROW()-2&gt;1, (M321/INDIRECT("M"&amp;ROW()-1))-1, "")</f>
        <v>-9.7088346592186792E-3</v>
      </c>
      <c r="R321" s="8" cm="1">
        <f t="array" aca="1" ref="R321" ca="1">IF(ROW()-2&gt;1, (N321/INDIRECT("N"&amp;ROW()-1))-1, "")</f>
        <v>-3.8094918577077697E-2</v>
      </c>
      <c r="S321" s="8" cm="1">
        <f t="array" aca="1" ref="S321" ca="1">IF(ROW()-2&gt;1, (O321/INDIRECT("O"&amp;ROW()-1))-1, "")</f>
        <v>1.9801661660947545E-2</v>
      </c>
    </row>
    <row r="322" spans="2:19" x14ac:dyDescent="0.35">
      <c r="B322" s="3">
        <v>43785</v>
      </c>
      <c r="C322" s="4">
        <v>47134238</v>
      </c>
      <c r="D322" s="4">
        <v>9403280</v>
      </c>
      <c r="E322" s="4">
        <v>3037259</v>
      </c>
      <c r="F322" s="4">
        <v>2003376</v>
      </c>
      <c r="G322" s="4">
        <v>1547007</v>
      </c>
      <c r="H322" s="8">
        <f>IF(C322&gt;0, G322/C322, 0)</f>
        <v>3.2821300728358017E-2</v>
      </c>
      <c r="I322" s="8" cm="1">
        <f t="array" aca="1" ref="I322" ca="1">IF(ROW()-2&gt;7, (G322/INDIRECT("G"&amp;ROW()-7))-1, "")</f>
        <v>-0.15921567732289399</v>
      </c>
      <c r="J322" s="8" cm="1">
        <f t="array" aca="1" ref="J322" ca="1">IF(ROW()-2&gt;7, (C322/INDIRECT("C"&amp;ROW()-7))-1, "")</f>
        <v>2.9411775625882486E-2</v>
      </c>
      <c r="K322" s="8" cm="1">
        <f t="array" aca="1" ref="K322" ca="1">IF(ROW()-2&gt;7, (H322/INDIRECT("H"&amp;ROW()-7))-1, "")</f>
        <v>-0.18323809520645018</v>
      </c>
      <c r="L322" s="8">
        <f>IF(D322&gt;0, D322/C322, 0)</f>
        <v>0.19949998979510394</v>
      </c>
      <c r="M322" s="8">
        <f>IF(D322&gt;0, E322/D322, 0)</f>
        <v>0.32299995320781683</v>
      </c>
      <c r="N322" s="8">
        <f>IF(E322&gt;0, F322/E322, 0)</f>
        <v>0.65959998801551001</v>
      </c>
      <c r="O322" s="8">
        <f>IF(F322&gt;0, G322/F322, 0)</f>
        <v>0.77220002635551188</v>
      </c>
      <c r="P322" s="8" cm="1">
        <f t="array" aca="1" ref="P322" ca="1">IF(ROW()-2&gt;1, (L322/INDIRECT("L"&amp;ROW()-1))-1, "")</f>
        <v>-0.16874994683072864</v>
      </c>
      <c r="Q322" s="8" cm="1">
        <f t="array" aca="1" ref="Q322" ca="1">IF(ROW()-2&gt;1, (M322/INDIRECT("M"&amp;ROW()-1))-1, "")</f>
        <v>-0.20833319189451527</v>
      </c>
      <c r="R322" s="8" cm="1">
        <f t="array" aca="1" ref="R322" ca="1">IF(ROW()-2&gt;1, (N322/INDIRECT("N"&amp;ROW()-1))-1, "")</f>
        <v>-0.10538485521893992</v>
      </c>
      <c r="S322" s="8" cm="1">
        <f t="array" aca="1" ref="S322" ca="1">IF(ROW()-2&gt;1, (O322/INDIRECT("O"&amp;ROW()-1))-1, "")</f>
        <v>-8.5720906677558717E-2</v>
      </c>
    </row>
    <row r="323" spans="2:19" x14ac:dyDescent="0.35">
      <c r="B323" s="3">
        <v>43786</v>
      </c>
      <c r="C323" s="4">
        <v>43991955</v>
      </c>
      <c r="D323" s="4">
        <v>9330693</v>
      </c>
      <c r="E323" s="4">
        <v>1268974</v>
      </c>
      <c r="F323" s="4">
        <v>906047</v>
      </c>
      <c r="G323" s="4">
        <v>699650</v>
      </c>
      <c r="H323" s="8">
        <f>IF(C323&gt;0, G323/C323, 0)</f>
        <v>1.5904044273549561E-2</v>
      </c>
      <c r="I323" s="8" cm="1">
        <f t="array" aca="1" ref="I323" ca="1">IF(ROW()-2&gt;7, (G323/INDIRECT("G"&amp;ROW()-7))-1, "")</f>
        <v>-0.57004623700582813</v>
      </c>
      <c r="J323" s="8" cm="1">
        <f t="array" aca="1" ref="J323" ca="1">IF(ROW()-2&gt;7, (C323/INDIRECT("C"&amp;ROW()-7))-1, "")</f>
        <v>-6.6666676567466721E-2</v>
      </c>
      <c r="K323" s="8" cm="1">
        <f t="array" aca="1" ref="K323" ca="1">IF(ROW()-2&gt;7, (H323/INDIRECT("H"&amp;ROW()-7))-1, "")</f>
        <v>-0.53933524904808428</v>
      </c>
      <c r="L323" s="8">
        <f>IF(D323&gt;0, D323/C323, 0)</f>
        <v>0.2120999850995483</v>
      </c>
      <c r="M323" s="8">
        <f>IF(D323&gt;0, E323/D323, 0)</f>
        <v>0.13599997342105244</v>
      </c>
      <c r="N323" s="8">
        <f>IF(E323&gt;0, F323/E323, 0)</f>
        <v>0.71399965641534024</v>
      </c>
      <c r="O323" s="8">
        <f>IF(F323&gt;0, G323/F323, 0)</f>
        <v>0.77220055913214214</v>
      </c>
      <c r="P323" s="8" cm="1">
        <f t="array" aca="1" ref="P323" ca="1">IF(ROW()-2&gt;1, (L323/INDIRECT("L"&amp;ROW()-1))-1, "")</f>
        <v>6.315787443089671E-2</v>
      </c>
      <c r="Q323" s="8" cm="1">
        <f t="array" aca="1" ref="Q323" ca="1">IF(ROW()-2&gt;1, (M323/INDIRECT("M"&amp;ROW()-1))-1, "")</f>
        <v>-0.5789473897120021</v>
      </c>
      <c r="R323" s="8" cm="1">
        <f t="array" aca="1" ref="R323" ca="1">IF(ROW()-2&gt;1, (N323/INDIRECT("N"&amp;ROW()-1))-1, "")</f>
        <v>8.2473725573432022E-2</v>
      </c>
      <c r="S323" s="8" cm="1">
        <f t="array" aca="1" ref="S323" ca="1">IF(ROW()-2&gt;1, (O323/INDIRECT("O"&amp;ROW()-1))-1, "")</f>
        <v>6.8994640267661111E-7</v>
      </c>
    </row>
    <row r="324" spans="2:19" x14ac:dyDescent="0.35">
      <c r="B324" s="3">
        <v>43787</v>
      </c>
      <c r="C324" s="4">
        <v>22803207</v>
      </c>
      <c r="D324" s="4">
        <v>5985841</v>
      </c>
      <c r="E324" s="4">
        <v>2298563</v>
      </c>
      <c r="F324" s="4">
        <v>1761848</v>
      </c>
      <c r="G324" s="4">
        <v>1459163</v>
      </c>
      <c r="H324" s="8">
        <f>IF(C324&gt;0, G324/C324, 0)</f>
        <v>6.3989376581986918E-2</v>
      </c>
      <c r="I324" s="8" cm="1">
        <f t="array" aca="1" ref="I324" ca="1">IF(ROW()-2&gt;7, (G324/INDIRECT("G"&amp;ROW()-7))-1, "")</f>
        <v>0.17109664681616077</v>
      </c>
      <c r="J324" s="8" cm="1">
        <f t="array" aca="1" ref="J324" ca="1">IF(ROW()-2&gt;7, (C324/INDIRECT("C"&amp;ROW()-7))-1, "")</f>
        <v>6.0606040874008116E-2</v>
      </c>
      <c r="K324" s="8" cm="1">
        <f t="array" aca="1" ref="K324" ca="1">IF(ROW()-2&gt;7, (H324/INDIRECT("H"&amp;ROW()-7))-1, "")</f>
        <v>0.10417685896933171</v>
      </c>
      <c r="L324" s="8">
        <f>IF(D324&gt;0, D324/C324, 0)</f>
        <v>0.26249996327270986</v>
      </c>
      <c r="M324" s="8">
        <f>IF(D324&gt;0, E324/D324, 0)</f>
        <v>0.38400000935541057</v>
      </c>
      <c r="N324" s="8">
        <f>IF(E324&gt;0, F324/E324, 0)</f>
        <v>0.76649976528813868</v>
      </c>
      <c r="O324" s="8">
        <f>IF(F324&gt;0, G324/F324, 0)</f>
        <v>0.8282002760737589</v>
      </c>
      <c r="P324" s="8" cm="1">
        <f t="array" aca="1" ref="P324" ca="1">IF(ROW()-2&gt;1, (L324/INDIRECT("L"&amp;ROW()-1))-1, "")</f>
        <v>0.23762367616153535</v>
      </c>
      <c r="Q324" s="8" cm="1">
        <f t="array" aca="1" ref="Q324" ca="1">IF(ROW()-2&gt;1, (M324/INDIRECT("M"&amp;ROW()-1))-1, "")</f>
        <v>1.823530032366671</v>
      </c>
      <c r="R324" s="8" cm="1">
        <f t="array" aca="1" ref="R324" ca="1">IF(ROW()-2&gt;1, (N324/INDIRECT("N"&amp;ROW()-1))-1, "")</f>
        <v>7.352959963086958E-2</v>
      </c>
      <c r="S324" s="8" cm="1">
        <f t="array" aca="1" ref="S324" ca="1">IF(ROW()-2&gt;1, (O324/INDIRECT("O"&amp;ROW()-1))-1, "")</f>
        <v>7.2519653449297561E-2</v>
      </c>
    </row>
    <row r="325" spans="2:19" x14ac:dyDescent="0.35">
      <c r="B325" s="3">
        <v>43788</v>
      </c>
      <c r="C325" s="4">
        <v>21282993</v>
      </c>
      <c r="D325" s="4">
        <v>5373955</v>
      </c>
      <c r="E325" s="4">
        <v>2149582</v>
      </c>
      <c r="F325" s="4">
        <v>1537811</v>
      </c>
      <c r="G325" s="4">
        <v>1197954</v>
      </c>
      <c r="H325" s="8">
        <f>IF(C325&gt;0, G325/C325, 0)</f>
        <v>5.6286914157233428E-2</v>
      </c>
      <c r="I325" s="8" cm="1">
        <f t="array" aca="1" ref="I325" ca="1">IF(ROW()-2&gt;7, (G325/INDIRECT("G"&amp;ROW()-7))-1, "")</f>
        <v>-2.6689080218361472E-2</v>
      </c>
      <c r="J325" s="8" cm="1">
        <f t="array" aca="1" ref="J325" ca="1">IF(ROW()-2&gt;7, (C325/INDIRECT("C"&amp;ROW()-7))-1, "")</f>
        <v>3.1578937674493712E-2</v>
      </c>
      <c r="K325" s="8" cm="1">
        <f t="array" aca="1" ref="K325" ca="1">IF(ROW()-2&gt;7, (H325/INDIRECT("H"&amp;ROW()-7))-1, "")</f>
        <v>-5.6484303590193408E-2</v>
      </c>
      <c r="L325" s="8">
        <f>IF(D325&gt;0, D325/C325, 0)</f>
        <v>0.25249996558284826</v>
      </c>
      <c r="M325" s="8">
        <f>IF(D325&gt;0, E325/D325, 0)</f>
        <v>0.4</v>
      </c>
      <c r="N325" s="8">
        <f>IF(E325&gt;0, F325/E325, 0)</f>
        <v>0.71540001730569014</v>
      </c>
      <c r="O325" s="8">
        <f>IF(F325&gt;0, G325/F325, 0)</f>
        <v>0.778999499938549</v>
      </c>
      <c r="P325" s="8" cm="1">
        <f t="array" aca="1" ref="P325" ca="1">IF(ROW()-2&gt;1, (L325/INDIRECT("L"&amp;ROW()-1))-1, "")</f>
        <v>-3.8095234624747953E-2</v>
      </c>
      <c r="Q325" s="8" cm="1">
        <f t="array" aca="1" ref="Q325" ca="1">IF(ROW()-2&gt;1, (M325/INDIRECT("M"&amp;ROW()-1))-1, "")</f>
        <v>4.1666641288492068E-2</v>
      </c>
      <c r="R325" s="8" cm="1">
        <f t="array" aca="1" ref="R325" ca="1">IF(ROW()-2&gt;1, (N325/INDIRECT("N"&amp;ROW()-1))-1, "")</f>
        <v>-6.6666358290715655E-2</v>
      </c>
      <c r="S325" s="8" cm="1">
        <f t="array" aca="1" ref="S325" ca="1">IF(ROW()-2&gt;1, (O325/INDIRECT("O"&amp;ROW()-1))-1, "")</f>
        <v>-5.9406857926268208E-2</v>
      </c>
    </row>
    <row r="326" spans="2:19" x14ac:dyDescent="0.35">
      <c r="B326" s="3">
        <v>43789</v>
      </c>
      <c r="C326" s="4">
        <v>22368860</v>
      </c>
      <c r="D326" s="4">
        <v>5648137</v>
      </c>
      <c r="E326" s="4">
        <v>2281847</v>
      </c>
      <c r="F326" s="4">
        <v>1649091</v>
      </c>
      <c r="G326" s="4">
        <v>1338732</v>
      </c>
      <c r="H326" s="8">
        <f>IF(C326&gt;0, G326/C326, 0)</f>
        <v>5.9848020864719971E-2</v>
      </c>
      <c r="I326" s="8" cm="1">
        <f t="array" aca="1" ref="I326" ca="1">IF(ROW()-2&gt;7, (G326/INDIRECT("G"&amp;ROW()-7))-1, "")</f>
        <v>-1.6965332095788321E-2</v>
      </c>
      <c r="J326" s="8" cm="1">
        <f t="array" aca="1" ref="J326" ca="1">IF(ROW()-2&gt;7, (C326/INDIRECT("C"&amp;ROW()-7))-1, "")</f>
        <v>4.0404011745583279E-2</v>
      </c>
      <c r="K326" s="8" cm="1">
        <f t="array" aca="1" ref="K326" ca="1">IF(ROW()-2&gt;7, (H326/INDIRECT("H"&amp;ROW()-7))-1, "")</f>
        <v>-5.5141409677109565E-2</v>
      </c>
      <c r="L326" s="8">
        <f>IF(D326&gt;0, D326/C326, 0)</f>
        <v>0.25249999329424921</v>
      </c>
      <c r="M326" s="8">
        <f>IF(D326&gt;0, E326/D326, 0)</f>
        <v>0.40399993838676362</v>
      </c>
      <c r="N326" s="8">
        <f>IF(E326&gt;0, F326/E326, 0)</f>
        <v>0.72270007585959972</v>
      </c>
      <c r="O326" s="8">
        <f>IF(F326&gt;0, G326/F326, 0)</f>
        <v>0.81179995524807302</v>
      </c>
      <c r="P326" s="8" cm="1">
        <f t="array" aca="1" ref="P326" ca="1">IF(ROW()-2&gt;1, (L326/INDIRECT("L"&amp;ROW()-1))-1, "")</f>
        <v>1.097481374667808E-7</v>
      </c>
      <c r="Q326" s="8" cm="1">
        <f t="array" aca="1" ref="Q326" ca="1">IF(ROW()-2&gt;1, (M326/INDIRECT("M"&amp;ROW()-1))-1, "")</f>
        <v>9.99984596690906E-3</v>
      </c>
      <c r="R326" s="8" cm="1">
        <f t="array" aca="1" ref="R326" ca="1">IF(ROW()-2&gt;1, (N326/INDIRECT("N"&amp;ROW()-1))-1, "")</f>
        <v>1.0204163233602959E-2</v>
      </c>
      <c r="S326" s="8" cm="1">
        <f t="array" aca="1" ref="S326" ca="1">IF(ROW()-2&gt;1, (O326/INDIRECT("O"&amp;ROW()-1))-1, "")</f>
        <v>4.2105874666301446E-2</v>
      </c>
    </row>
    <row r="327" spans="2:19" x14ac:dyDescent="0.35">
      <c r="B327" s="3">
        <v>43790</v>
      </c>
      <c r="C327" s="4">
        <v>21282993</v>
      </c>
      <c r="D327" s="4">
        <v>5054710</v>
      </c>
      <c r="E327" s="4">
        <v>2102759</v>
      </c>
      <c r="F327" s="4">
        <v>1550364</v>
      </c>
      <c r="G327" s="4">
        <v>1220447</v>
      </c>
      <c r="H327" s="8">
        <f>IF(C327&gt;0, G327/C327, 0)</f>
        <v>5.7343767392114449E-2</v>
      </c>
      <c r="I327" s="8" cm="1">
        <f t="array" aca="1" ref="I327" ca="1">IF(ROW()-2&gt;7, (G327/INDIRECT("G"&amp;ROW()-7))-1, "")</f>
        <v>-9.5681832159261737E-2</v>
      </c>
      <c r="J327" s="8" cm="1">
        <f t="array" aca="1" ref="J327" ca="1">IF(ROW()-2&gt;7, (C327/INDIRECT("C"&amp;ROW()-7))-1, "")</f>
        <v>2.0833343325988629E-2</v>
      </c>
      <c r="K327" s="8" cm="1">
        <f t="array" aca="1" ref="K327" ca="1">IF(ROW()-2&gt;7, (H327/INDIRECT("H"&amp;ROW()-7))-1, "")</f>
        <v>-0.11413731364380297</v>
      </c>
      <c r="L327" s="8">
        <f>IF(D327&gt;0, D327/C327, 0)</f>
        <v>0.2374999606493316</v>
      </c>
      <c r="M327" s="8">
        <f>IF(D327&gt;0, E327/D327, 0)</f>
        <v>0.41599992877929692</v>
      </c>
      <c r="N327" s="8">
        <f>IF(E327&gt;0, F327/E327, 0)</f>
        <v>0.73729989979831256</v>
      </c>
      <c r="O327" s="8">
        <f>IF(F327&gt;0, G327/F327, 0)</f>
        <v>0.78720029618850795</v>
      </c>
      <c r="P327" s="8" cm="1">
        <f t="array" aca="1" ref="P327" ca="1">IF(ROW()-2&gt;1, (L327/INDIRECT("L"&amp;ROW()-1))-1, "")</f>
        <v>-5.9406071458534382E-2</v>
      </c>
      <c r="Q327" s="8" cm="1">
        <f t="array" aca="1" ref="Q327" ca="1">IF(ROW()-2&gt;1, (M327/INDIRECT("M"&amp;ROW()-1))-1, "")</f>
        <v>2.9702951046109538E-2</v>
      </c>
      <c r="R327" s="8" cm="1">
        <f t="array" aca="1" ref="R327" ca="1">IF(ROW()-2&gt;1, (N327/INDIRECT("N"&amp;ROW()-1))-1, "")</f>
        <v>2.0201774465496536E-2</v>
      </c>
      <c r="S327" s="8" cm="1">
        <f t="array" aca="1" ref="S327" ca="1">IF(ROW()-2&gt;1, (O327/INDIRECT("O"&amp;ROW()-1))-1, "")</f>
        <v>-3.0302611992689465E-2</v>
      </c>
    </row>
    <row r="328" spans="2:19" x14ac:dyDescent="0.35">
      <c r="B328" s="3">
        <v>43791</v>
      </c>
      <c r="C328" s="4">
        <v>22803207</v>
      </c>
      <c r="D328" s="4">
        <v>5529777</v>
      </c>
      <c r="E328" s="4">
        <v>2300387</v>
      </c>
      <c r="F328" s="4">
        <v>1763247</v>
      </c>
      <c r="G328" s="4">
        <v>1518155</v>
      </c>
      <c r="H328" s="8">
        <f>IF(C328&gt;0, G328/C328, 0)</f>
        <v>6.6576381120427491E-2</v>
      </c>
      <c r="I328" s="8" cm="1">
        <f t="array" aca="1" ref="I328" ca="1">IF(ROW()-2&gt;7, (G328/INDIRECT("G"&amp;ROW()-7))-1, "")</f>
        <v>0.14641762191714625</v>
      </c>
      <c r="J328" s="8" cm="1">
        <f t="array" aca="1" ref="J328" ca="1">IF(ROW()-2&gt;7, (C328/INDIRECT("C"&amp;ROW()-7))-1, "")</f>
        <v>5.0000000000000044E-2</v>
      </c>
      <c r="K328" s="8" cm="1">
        <f t="array" aca="1" ref="K328" ca="1">IF(ROW()-2&gt;7, (H328/INDIRECT("H"&amp;ROW()-7))-1, "")</f>
        <v>9.1826306587758255E-2</v>
      </c>
      <c r="L328" s="8">
        <f>IF(D328&gt;0, D328/C328, 0)</f>
        <v>0.24249996941219715</v>
      </c>
      <c r="M328" s="8">
        <f>IF(D328&gt;0, E328/D328, 0)</f>
        <v>0.41599995804532441</v>
      </c>
      <c r="N328" s="8">
        <f>IF(E328&gt;0, F328/E328, 0)</f>
        <v>0.76650015845159969</v>
      </c>
      <c r="O328" s="8">
        <f>IF(F328&gt;0, G328/F328, 0)</f>
        <v>0.86099962172060973</v>
      </c>
      <c r="P328" s="8" cm="1">
        <f t="array" aca="1" ref="P328" ca="1">IF(ROW()-2&gt;1, (L328/INDIRECT("L"&amp;ROW()-1))-1, "")</f>
        <v>2.10526719633779E-2</v>
      </c>
      <c r="Q328" s="8" cm="1">
        <f t="array" aca="1" ref="Q328" ca="1">IF(ROW()-2&gt;1, (M328/INDIRECT("M"&amp;ROW()-1))-1, "")</f>
        <v>7.0351039660465631E-8</v>
      </c>
      <c r="R328" s="8" cm="1">
        <f t="array" aca="1" ref="R328" ca="1">IF(ROW()-2&gt;1, (N328/INDIRECT("N"&amp;ROW()-1))-1, "")</f>
        <v>3.9604316589863631E-2</v>
      </c>
      <c r="S328" s="8" cm="1">
        <f t="array" aca="1" ref="S328" ca="1">IF(ROW()-2&gt;1, (O328/INDIRECT("O"&amp;ROW()-1))-1, "")</f>
        <v>9.3749107932791453E-2</v>
      </c>
    </row>
    <row r="329" spans="2:19" x14ac:dyDescent="0.35">
      <c r="B329" s="3">
        <v>43792</v>
      </c>
      <c r="C329" s="4">
        <v>45787545</v>
      </c>
      <c r="D329" s="4">
        <v>9519230</v>
      </c>
      <c r="E329" s="4">
        <v>3268903</v>
      </c>
      <c r="F329" s="4">
        <v>2133940</v>
      </c>
      <c r="G329" s="4">
        <v>1631184</v>
      </c>
      <c r="H329" s="8">
        <f>IF(C329&gt;0, G329/C329, 0)</f>
        <v>3.5625059172751015E-2</v>
      </c>
      <c r="I329" s="8" cm="1">
        <f t="array" aca="1" ref="I329" ca="1">IF(ROW()-2&gt;7, (G329/INDIRECT("G"&amp;ROW()-7))-1, "")</f>
        <v>5.4412811318888643E-2</v>
      </c>
      <c r="J329" s="8" cm="1">
        <f t="array" aca="1" ref="J329" ca="1">IF(ROW()-2&gt;7, (C329/INDIRECT("C"&amp;ROW()-7))-1, "")</f>
        <v>-2.8571438876342947E-2</v>
      </c>
      <c r="K329" s="8" cm="1">
        <f t="array" aca="1" ref="K329" ca="1">IF(ROW()-2&gt;7, (H329/INDIRECT("H"&amp;ROW()-7))-1, "")</f>
        <v>8.5424964342455612E-2</v>
      </c>
      <c r="L329" s="8">
        <f>IF(D329&gt;0, D329/C329, 0)</f>
        <v>0.20789998677587979</v>
      </c>
      <c r="M329" s="8">
        <f>IF(D329&gt;0, E329/D329, 0)</f>
        <v>0.34339993886060111</v>
      </c>
      <c r="N329" s="8">
        <f>IF(E329&gt;0, F329/E329, 0)</f>
        <v>0.65280003719902369</v>
      </c>
      <c r="O329" s="8">
        <f>IF(F329&gt;0, G329/F329, 0)</f>
        <v>0.76440012371481858</v>
      </c>
      <c r="P329" s="8" cm="1">
        <f t="array" aca="1" ref="P329" ca="1">IF(ROW()-2&gt;1, (L329/INDIRECT("L"&amp;ROW()-1))-1, "")</f>
        <v>-0.14268035876534457</v>
      </c>
      <c r="Q329" s="8" cm="1">
        <f t="array" aca="1" ref="Q329" ca="1">IF(ROW()-2&gt;1, (M329/INDIRECT("M"&amp;ROW()-1))-1, "")</f>
        <v>-0.17451929448707615</v>
      </c>
      <c r="R329" s="8" cm="1">
        <f t="array" aca="1" ref="R329" ca="1">IF(ROW()-2&gt;1, (N329/INDIRECT("N"&amp;ROW()-1))-1, "")</f>
        <v>-0.14833672243755391</v>
      </c>
      <c r="S329" s="8" cm="1">
        <f t="array" aca="1" ref="S329" ca="1">IF(ROW()-2&gt;1, (O329/INDIRECT("O"&amp;ROW()-1))-1, "")</f>
        <v>-0.11219458820753958</v>
      </c>
    </row>
    <row r="330" spans="2:19" x14ac:dyDescent="0.35">
      <c r="B330" s="3">
        <v>43793</v>
      </c>
      <c r="C330" s="4">
        <v>46236443</v>
      </c>
      <c r="D330" s="4">
        <v>9709653</v>
      </c>
      <c r="E330" s="4">
        <v>3301282</v>
      </c>
      <c r="F330" s="4">
        <v>2177525</v>
      </c>
      <c r="G330" s="4">
        <v>1647515</v>
      </c>
      <c r="H330" s="8">
        <f>IF(C330&gt;0, G330/C330, 0)</f>
        <v>3.5632390666384087E-2</v>
      </c>
      <c r="I330" s="8" cm="1">
        <f t="array" aca="1" ref="I330" ca="1">IF(ROW()-2&gt;7, (G330/INDIRECT("G"&amp;ROW()-7))-1, "")</f>
        <v>1.3547702422639891</v>
      </c>
      <c r="J330" s="8" cm="1">
        <f t="array" aca="1" ref="J330" ca="1">IF(ROW()-2&gt;7, (C330/INDIRECT("C"&amp;ROW()-7))-1, "")</f>
        <v>5.1020419528979843E-2</v>
      </c>
      <c r="K330" s="8" cm="1">
        <f t="array" aca="1" ref="K330" ca="1">IF(ROW()-2&gt;7, (H330/INDIRECT("H"&amp;ROW()-7))-1, "")</f>
        <v>1.2404609829743283</v>
      </c>
      <c r="L330" s="8">
        <f>IF(D330&gt;0, D330/C330, 0)</f>
        <v>0.20999999935116115</v>
      </c>
      <c r="M330" s="8">
        <f>IF(D330&gt;0, E330/D330, 0)</f>
        <v>0.33999999794019414</v>
      </c>
      <c r="N330" s="8">
        <f>IF(E330&gt;0, F330/E330, 0)</f>
        <v>0.65959981607145346</v>
      </c>
      <c r="O330" s="8">
        <f>IF(F330&gt;0, G330/F330, 0)</f>
        <v>0.75659980941665428</v>
      </c>
      <c r="P330" s="8" cm="1">
        <f t="array" aca="1" ref="P330" ca="1">IF(ROW()-2&gt;1, (L330/INDIRECT("L"&amp;ROW()-1))-1, "")</f>
        <v>1.0101071230683711E-2</v>
      </c>
      <c r="Q330" s="8" cm="1">
        <f t="array" aca="1" ref="Q330" ca="1">IF(ROW()-2&gt;1, (M330/INDIRECT("M"&amp;ROW()-1))-1, "")</f>
        <v>-9.9008198186870677E-3</v>
      </c>
      <c r="R330" s="8" cm="1">
        <f t="array" aca="1" ref="R330" ca="1">IF(ROW()-2&gt;1, (N330/INDIRECT("N"&amp;ROW()-1))-1, "")</f>
        <v>1.041632733601805E-2</v>
      </c>
      <c r="S330" s="8" cm="1">
        <f t="array" aca="1" ref="S330" ca="1">IF(ROW()-2&gt;1, (O330/INDIRECT("O"&amp;ROW()-1))-1, "")</f>
        <v>-1.0204491150860195E-2</v>
      </c>
    </row>
    <row r="331" spans="2:19" x14ac:dyDescent="0.35">
      <c r="B331" s="3">
        <v>43794</v>
      </c>
      <c r="C331" s="4">
        <v>22151687</v>
      </c>
      <c r="D331" s="4">
        <v>5593301</v>
      </c>
      <c r="E331" s="4">
        <v>2237320</v>
      </c>
      <c r="F331" s="4">
        <v>1698573</v>
      </c>
      <c r="G331" s="4">
        <v>1364973</v>
      </c>
      <c r="H331" s="8">
        <f>IF(C331&gt;0, G331/C331, 0)</f>
        <v>6.1619370118402267E-2</v>
      </c>
      <c r="I331" s="8" cm="1">
        <f t="array" aca="1" ref="I331" ca="1">IF(ROW()-2&gt;7, (G331/INDIRECT("G"&amp;ROW()-7))-1, "")</f>
        <v>-6.4550704753341459E-2</v>
      </c>
      <c r="J331" s="8" cm="1">
        <f t="array" aca="1" ref="J331" ca="1">IF(ROW()-2&gt;7, (C331/INDIRECT("C"&amp;ROW()-7))-1, "")</f>
        <v>-2.8571419800732412E-2</v>
      </c>
      <c r="K331" s="8" cm="1">
        <f t="array" aca="1" ref="K331" ca="1">IF(ROW()-2&gt;7, (H331/INDIRECT("H"&amp;ROW()-7))-1, "")</f>
        <v>-3.7037498881522302E-2</v>
      </c>
      <c r="L331" s="8">
        <f>IF(D331&gt;0, D331/C331, 0)</f>
        <v>0.2525000014671569</v>
      </c>
      <c r="M331" s="8">
        <f>IF(D331&gt;0, E331/D331, 0)</f>
        <v>0.39999992848587979</v>
      </c>
      <c r="N331" s="8">
        <f>IF(E331&gt;0, F331/E331, 0)</f>
        <v>0.75919984624461412</v>
      </c>
      <c r="O331" s="8">
        <f>IF(F331&gt;0, G331/F331, 0)</f>
        <v>0.80359984528189254</v>
      </c>
      <c r="P331" s="8" cm="1">
        <f t="array" aca="1" ref="P331" ca="1">IF(ROW()-2&gt;1, (L331/INDIRECT("L"&amp;ROW()-1))-1, "")</f>
        <v>0.20238096308242093</v>
      </c>
      <c r="Q331" s="8" cm="1">
        <f t="array" aca="1" ref="Q331" ca="1">IF(ROW()-2&gt;1, (M331/INDIRECT("M"&amp;ROW()-1))-1, "")</f>
        <v>0.17647038502700108</v>
      </c>
      <c r="R331" s="8" cm="1">
        <f t="array" aca="1" ref="R331" ca="1">IF(ROW()-2&gt;1, (N331/INDIRECT("N"&amp;ROW()-1))-1, "")</f>
        <v>0.1510006942791069</v>
      </c>
      <c r="S331" s="8" cm="1">
        <f t="array" aca="1" ref="S331" ca="1">IF(ROW()-2&gt;1, (O331/INDIRECT("O"&amp;ROW()-1))-1, "")</f>
        <v>6.2120073624490901E-2</v>
      </c>
    </row>
    <row r="332" spans="2:19" x14ac:dyDescent="0.35">
      <c r="B332" s="3">
        <v>43795</v>
      </c>
      <c r="C332" s="4">
        <v>21065820</v>
      </c>
      <c r="D332" s="4">
        <v>5424448</v>
      </c>
      <c r="E332" s="4">
        <v>2191477</v>
      </c>
      <c r="F332" s="4">
        <v>1519789</v>
      </c>
      <c r="G332" s="4">
        <v>1258689</v>
      </c>
      <c r="H332" s="8">
        <f>IF(C332&gt;0, G332/C332, 0)</f>
        <v>5.97502969264904E-2</v>
      </c>
      <c r="I332" s="8" cm="1">
        <f t="array" aca="1" ref="I332" ca="1">IF(ROW()-2&gt;7, (G332/INDIRECT("G"&amp;ROW()-7))-1, "")</f>
        <v>5.0698941695590971E-2</v>
      </c>
      <c r="J332" s="8" cm="1">
        <f t="array" aca="1" ref="J332" ca="1">IF(ROW()-2&gt;7, (C332/INDIRECT("C"&amp;ROW()-7))-1, "")</f>
        <v>-1.0204062934193514E-2</v>
      </c>
      <c r="K332" s="8" cm="1">
        <f t="array" aca="1" ref="K332" ca="1">IF(ROW()-2&gt;7, (H332/INDIRECT("H"&amp;ROW()-7))-1, "")</f>
        <v>6.1530869494502038E-2</v>
      </c>
      <c r="L332" s="8">
        <f>IF(D332&gt;0, D332/C332, 0)</f>
        <v>0.25749996914432954</v>
      </c>
      <c r="M332" s="8">
        <f>IF(D332&gt;0, E332/D332, 0)</f>
        <v>0.40400000147480442</v>
      </c>
      <c r="N332" s="8">
        <f>IF(E332&gt;0, F332/E332, 0)</f>
        <v>0.69349986333418057</v>
      </c>
      <c r="O332" s="8">
        <f>IF(F332&gt;0, G332/F332, 0)</f>
        <v>0.82819983563507826</v>
      </c>
      <c r="P332" s="8" cm="1">
        <f t="array" aca="1" ref="P332" ca="1">IF(ROW()-2&gt;1, (L332/INDIRECT("L"&amp;ROW()-1))-1, "")</f>
        <v>1.9801852071763326E-2</v>
      </c>
      <c r="Q332" s="8" cm="1">
        <f t="array" aca="1" ref="Q332" ca="1">IF(ROW()-2&gt;1, (M332/INDIRECT("M"&amp;ROW()-1))-1, "")</f>
        <v>1.0000184260197553E-2</v>
      </c>
      <c r="R332" s="8" cm="1">
        <f t="array" aca="1" ref="R332" ca="1">IF(ROW()-2&gt;1, (N332/INDIRECT("N"&amp;ROW()-1))-1, "")</f>
        <v>-8.653845655451442E-2</v>
      </c>
      <c r="S332" s="8" cm="1">
        <f t="array" aca="1" ref="S332" ca="1">IF(ROW()-2&gt;1, (O332/INDIRECT("O"&amp;ROW()-1))-1, "")</f>
        <v>3.0612238787274038E-2</v>
      </c>
    </row>
    <row r="333" spans="2:19" x14ac:dyDescent="0.35">
      <c r="B333" s="3">
        <v>43796</v>
      </c>
      <c r="C333" s="4">
        <v>22803207</v>
      </c>
      <c r="D333" s="4">
        <v>5985841</v>
      </c>
      <c r="E333" s="4">
        <v>2442223</v>
      </c>
      <c r="F333" s="4">
        <v>1729338</v>
      </c>
      <c r="G333" s="4">
        <v>1347154</v>
      </c>
      <c r="H333" s="8">
        <f>IF(C333&gt;0, G333/C333, 0)</f>
        <v>5.9077392052793276E-2</v>
      </c>
      <c r="I333" s="8" cm="1">
        <f t="array" aca="1" ref="I333" ca="1">IF(ROW()-2&gt;7, (G333/INDIRECT("G"&amp;ROW()-7))-1, "")</f>
        <v>6.2910276291296974E-3</v>
      </c>
      <c r="J333" s="8" cm="1">
        <f t="array" aca="1" ref="J333" ca="1">IF(ROW()-2&gt;7, (C333/INDIRECT("C"&amp;ROW()-7))-1, "")</f>
        <v>1.9417484842767951E-2</v>
      </c>
      <c r="K333" s="8" cm="1">
        <f t="array" aca="1" ref="K333" ca="1">IF(ROW()-2&gt;7, (H333/INDIRECT("H"&amp;ROW()-7))-1, "")</f>
        <v>-1.2876429342059903E-2</v>
      </c>
      <c r="L333" s="8">
        <f>IF(D333&gt;0, D333/C333, 0)</f>
        <v>0.26249996327270986</v>
      </c>
      <c r="M333" s="8">
        <f>IF(D333&gt;0, E333/D333, 0)</f>
        <v>0.40799997861620446</v>
      </c>
      <c r="N333" s="8">
        <f>IF(E333&gt;0, F333/E333, 0)</f>
        <v>0.70809995647408119</v>
      </c>
      <c r="O333" s="8">
        <f>IF(F333&gt;0, G333/F333, 0)</f>
        <v>0.77899982536670098</v>
      </c>
      <c r="P333" s="8" cm="1">
        <f t="array" aca="1" ref="P333" ca="1">IF(ROW()-2&gt;1, (L333/INDIRECT("L"&amp;ROW()-1))-1, "")</f>
        <v>1.9417455252500604E-2</v>
      </c>
      <c r="Q333" s="8" cm="1">
        <f t="array" aca="1" ref="Q333" ca="1">IF(ROW()-2&gt;1, (M333/INDIRECT("M"&amp;ROW()-1))-1, "")</f>
        <v>9.9009334821735795E-3</v>
      </c>
      <c r="R333" s="8" cm="1">
        <f t="array" aca="1" ref="R333" ca="1">IF(ROW()-2&gt;1, (N333/INDIRECT("N"&amp;ROW()-1))-1, "")</f>
        <v>2.105277003185968E-2</v>
      </c>
      <c r="S333" s="8" cm="1">
        <f t="array" aca="1" ref="S333" ca="1">IF(ROW()-2&gt;1, (O333/INDIRECT("O"&amp;ROW()-1))-1, "")</f>
        <v>-5.9405964782219267E-2</v>
      </c>
    </row>
    <row r="334" spans="2:19" x14ac:dyDescent="0.35">
      <c r="B334" s="3">
        <v>43797</v>
      </c>
      <c r="C334" s="4">
        <v>22803207</v>
      </c>
      <c r="D334" s="4">
        <v>5472769</v>
      </c>
      <c r="E334" s="4">
        <v>2123434</v>
      </c>
      <c r="F334" s="4">
        <v>1519105</v>
      </c>
      <c r="G334" s="4">
        <v>1295492</v>
      </c>
      <c r="H334" s="8">
        <f>IF(C334&gt;0, G334/C334, 0)</f>
        <v>5.6811833528503247E-2</v>
      </c>
      <c r="I334" s="8" cm="1">
        <f t="array" aca="1" ref="I334" ca="1">IF(ROW()-2&gt;7, (G334/INDIRECT("G"&amp;ROW()-7))-1, "")</f>
        <v>6.1489765635050153E-2</v>
      </c>
      <c r="J334" s="8" cm="1">
        <f t="array" aca="1" ref="J334" ca="1">IF(ROW()-2&gt;7, (C334/INDIRECT("C"&amp;ROW()-7))-1, "")</f>
        <v>7.1428581496972621E-2</v>
      </c>
      <c r="K334" s="8" cm="1">
        <f t="array" aca="1" ref="K334" ca="1">IF(ROW()-2&gt;7, (H334/INDIRECT("H"&amp;ROW()-7))-1, "")</f>
        <v>-9.2762280506242245E-3</v>
      </c>
      <c r="L334" s="8">
        <f>IF(D334&gt;0, D334/C334, 0)</f>
        <v>0.23999997017963307</v>
      </c>
      <c r="M334" s="8">
        <f>IF(D334&gt;0, E334/D334, 0)</f>
        <v>0.38799993202709632</v>
      </c>
      <c r="N334" s="8">
        <f>IF(E334&gt;0, F334/E334, 0)</f>
        <v>0.71540014900392479</v>
      </c>
      <c r="O334" s="8">
        <f>IF(F334&gt;0, G334/F334, 0)</f>
        <v>0.8527995102379361</v>
      </c>
      <c r="P334" s="8" cm="1">
        <f t="array" aca="1" ref="P334" ca="1">IF(ROW()-2&gt;1, (L334/INDIRECT("L"&amp;ROW()-1))-1, "")</f>
        <v>-8.5714271394779828E-2</v>
      </c>
      <c r="Q334" s="8" cm="1">
        <f t="array" aca="1" ref="Q334" ca="1">IF(ROW()-2&gt;1, (M334/INDIRECT("M"&amp;ROW()-1))-1, "")</f>
        <v>-4.9019724601313541E-2</v>
      </c>
      <c r="R334" s="8" cm="1">
        <f t="array" aca="1" ref="R334" ca="1">IF(ROW()-2&gt;1, (N334/INDIRECT("N"&amp;ROW()-1))-1, "")</f>
        <v>1.0309550880633012E-2</v>
      </c>
      <c r="S334" s="8" cm="1">
        <f t="array" aca="1" ref="S334" ca="1">IF(ROW()-2&gt;1, (O334/INDIRECT("O"&amp;ROW()-1))-1, "")</f>
        <v>9.4736458813062141E-2</v>
      </c>
    </row>
    <row r="335" spans="2:19" x14ac:dyDescent="0.35">
      <c r="B335" s="3">
        <v>43798</v>
      </c>
      <c r="C335" s="4">
        <v>21717340</v>
      </c>
      <c r="D335" s="4">
        <v>5537921</v>
      </c>
      <c r="E335" s="4">
        <v>2170865</v>
      </c>
      <c r="F335" s="4">
        <v>1584731</v>
      </c>
      <c r="G335" s="4">
        <v>1364454</v>
      </c>
      <c r="H335" s="8">
        <f>IF(C335&gt;0, G335/C335, 0)</f>
        <v>6.2827860133883806E-2</v>
      </c>
      <c r="I335" s="8" cm="1">
        <f t="array" aca="1" ref="I335" ca="1">IF(ROW()-2&gt;7, (G335/INDIRECT("G"&amp;ROW()-7))-1, "")</f>
        <v>-0.1012419680467409</v>
      </c>
      <c r="J335" s="8" cm="1">
        <f t="array" aca="1" ref="J335" ca="1">IF(ROW()-2&gt;7, (C335/INDIRECT("C"&amp;ROW()-7))-1, "")</f>
        <v>-4.7619047619047672E-2</v>
      </c>
      <c r="K335" s="8" cm="1">
        <f t="array" aca="1" ref="K335" ca="1">IF(ROW()-2&gt;7, (H335/INDIRECT("H"&amp;ROW()-7))-1, "")</f>
        <v>-5.6304066449077927E-2</v>
      </c>
      <c r="L335" s="8">
        <f>IF(D335&gt;0, D335/C335, 0)</f>
        <v>0.25499996776769163</v>
      </c>
      <c r="M335" s="8">
        <f>IF(D335&gt;0, E335/D335, 0)</f>
        <v>0.39199999422165827</v>
      </c>
      <c r="N335" s="8">
        <f>IF(E335&gt;0, F335/E335, 0)</f>
        <v>0.72999979270935778</v>
      </c>
      <c r="O335" s="8">
        <f>IF(F335&gt;0, G335/F335, 0)</f>
        <v>0.86100038429234993</v>
      </c>
      <c r="P335" s="8" cm="1">
        <f t="array" aca="1" ref="P335" ca="1">IF(ROW()-2&gt;1, (L335/INDIRECT("L"&amp;ROW()-1))-1, "")</f>
        <v>6.2499997715964373E-2</v>
      </c>
      <c r="Q335" s="8" cm="1">
        <f t="array" aca="1" ref="Q335" ca="1">IF(ROW()-2&gt;1, (M335/INDIRECT("M"&amp;ROW()-1))-1, "")</f>
        <v>1.0309440451867324E-2</v>
      </c>
      <c r="R335" s="8" cm="1">
        <f t="array" aca="1" ref="R335" ca="1">IF(ROW()-2&gt;1, (N335/INDIRECT("N"&amp;ROW()-1))-1, "")</f>
        <v>2.0407660979328224E-2</v>
      </c>
      <c r="S335" s="8" cm="1">
        <f t="array" aca="1" ref="S335" ca="1">IF(ROW()-2&gt;1, (O335/INDIRECT("O"&amp;ROW()-1))-1, "")</f>
        <v>9.6164150611739441E-3</v>
      </c>
    </row>
    <row r="336" spans="2:19" x14ac:dyDescent="0.35">
      <c r="B336" s="3">
        <v>43799</v>
      </c>
      <c r="C336" s="4">
        <v>47134238</v>
      </c>
      <c r="D336" s="4">
        <v>10195135</v>
      </c>
      <c r="E336" s="4">
        <v>3327692</v>
      </c>
      <c r="F336" s="4">
        <v>2308087</v>
      </c>
      <c r="G336" s="4">
        <v>1728295</v>
      </c>
      <c r="H336" s="8">
        <f>IF(C336&gt;0, G336/C336, 0)</f>
        <v>3.6667506961712205E-2</v>
      </c>
      <c r="I336" s="8" cm="1">
        <f t="array" aca="1" ref="I336" ca="1">IF(ROW()-2&gt;7, (G336/INDIRECT("G"&amp;ROW()-7))-1, "")</f>
        <v>5.9534056243808253E-2</v>
      </c>
      <c r="J336" s="8" cm="1">
        <f t="array" aca="1" ref="J336" ca="1">IF(ROW()-2&gt;7, (C336/INDIRECT("C"&amp;ROW()-7))-1, "")</f>
        <v>2.9411775625882486E-2</v>
      </c>
      <c r="K336" s="8" cm="1">
        <f t="array" aca="1" ref="K336" ca="1">IF(ROW()-2&gt;7, (H336/INDIRECT("H"&amp;ROW()-7))-1, "")</f>
        <v>2.9261643718434538E-2</v>
      </c>
      <c r="L336" s="8">
        <f>IF(D336&gt;0, D336/C336, 0)</f>
        <v>0.21629998558584951</v>
      </c>
      <c r="M336" s="8">
        <f>IF(D336&gt;0, E336/D336, 0)</f>
        <v>0.32639999372249606</v>
      </c>
      <c r="N336" s="8">
        <f>IF(E336&gt;0, F336/E336, 0)</f>
        <v>0.69359994855293094</v>
      </c>
      <c r="O336" s="8">
        <f>IF(F336&gt;0, G336/F336, 0)</f>
        <v>0.74879976361376321</v>
      </c>
      <c r="P336" s="8" cm="1">
        <f t="array" aca="1" ref="P336" ca="1">IF(ROW()-2&gt;1, (L336/INDIRECT("L"&amp;ROW()-1))-1, "")</f>
        <v>-0.1517646551904599</v>
      </c>
      <c r="Q336" s="8" cm="1">
        <f t="array" aca="1" ref="Q336" ca="1">IF(ROW()-2&gt;1, (M336/INDIRECT("M"&amp;ROW()-1))-1, "")</f>
        <v>-0.16734694251568882</v>
      </c>
      <c r="R336" s="8" cm="1">
        <f t="array" aca="1" ref="R336" ca="1">IF(ROW()-2&gt;1, (N336/INDIRECT("N"&amp;ROW()-1))-1, "")</f>
        <v>-4.9862814373317299E-2</v>
      </c>
      <c r="S336" s="8" cm="1">
        <f t="array" aca="1" ref="S336" ca="1">IF(ROW()-2&gt;1, (O336/INDIRECT("O"&amp;ROW()-1))-1, "")</f>
        <v>-0.13031425156773147</v>
      </c>
    </row>
    <row r="337" spans="2:19" x14ac:dyDescent="0.35">
      <c r="B337" s="3">
        <v>43800</v>
      </c>
      <c r="C337" s="4">
        <v>46685340</v>
      </c>
      <c r="D337" s="4">
        <v>10196078</v>
      </c>
      <c r="E337" s="4">
        <v>3501333</v>
      </c>
      <c r="F337" s="4">
        <v>2452333</v>
      </c>
      <c r="G337" s="4">
        <v>1989333</v>
      </c>
      <c r="H337" s="8">
        <f>IF(C337&gt;0, G337/C337, 0)</f>
        <v>4.2611513592918031E-2</v>
      </c>
      <c r="I337" s="8" cm="1">
        <f t="array" aca="1" ref="I337" ca="1">IF(ROW()-2&gt;7, (G337/INDIRECT("G"&amp;ROW()-7))-1, "")</f>
        <v>0.20747489400703478</v>
      </c>
      <c r="J337" s="8" cm="1">
        <f t="array" aca="1" ref="J337" ca="1">IF(ROW()-2&gt;7, (C337/INDIRECT("C"&amp;ROW()-7))-1, "")</f>
        <v>9.708726945106827E-3</v>
      </c>
      <c r="K337" s="8" cm="1">
        <f t="array" aca="1" ref="K337" ca="1">IF(ROW()-2&gt;7, (H337/INDIRECT("H"&amp;ROW()-7))-1, "")</f>
        <v>0.19586457141979285</v>
      </c>
      <c r="L337" s="8">
        <f>IF(D337&gt;0, D337/C337, 0)</f>
        <v>0.2183999945164799</v>
      </c>
      <c r="M337" s="8">
        <f>IF(D337&gt;0, E337/D337, 0)</f>
        <v>0.34339998183615306</v>
      </c>
      <c r="N337" s="8">
        <f>IF(E337&gt;0, F337/E337, 0)</f>
        <v>0.7003998191545906</v>
      </c>
      <c r="O337" s="8">
        <f>IF(F337&gt;0, G337/F337, 0)</f>
        <v>0.81120019181734293</v>
      </c>
      <c r="P337" s="8" cm="1">
        <f t="array" aca="1" ref="P337" ca="1">IF(ROW()-2&gt;1, (L337/INDIRECT("L"&amp;ROW()-1))-1, "")</f>
        <v>9.7087797992334579E-3</v>
      </c>
      <c r="Q337" s="8" cm="1">
        <f t="array" aca="1" ref="Q337" ca="1">IF(ROW()-2&gt;1, (M337/INDIRECT("M"&amp;ROW()-1))-1, "")</f>
        <v>5.2083297918535942E-2</v>
      </c>
      <c r="R337" s="8" cm="1">
        <f t="array" aca="1" ref="R337" ca="1">IF(ROW()-2&gt;1, (N337/INDIRECT("N"&amp;ROW()-1))-1, "")</f>
        <v>9.8037357353417676E-3</v>
      </c>
      <c r="S337" s="8" cm="1">
        <f t="array" aca="1" ref="S337" ca="1">IF(ROW()-2&gt;1, (O337/INDIRECT("O"&amp;ROW()-1))-1, "")</f>
        <v>8.33339314938224E-2</v>
      </c>
    </row>
    <row r="338" spans="2:19" x14ac:dyDescent="0.35">
      <c r="B338" s="3">
        <v>43801</v>
      </c>
      <c r="C338" s="4">
        <v>21500167</v>
      </c>
      <c r="D338" s="4">
        <v>5643793</v>
      </c>
      <c r="E338" s="4">
        <v>2212367</v>
      </c>
      <c r="F338" s="4">
        <v>1582727</v>
      </c>
      <c r="G338" s="4">
        <v>1310814</v>
      </c>
      <c r="H338" s="8">
        <f>IF(C338&gt;0, G338/C338, 0)</f>
        <v>6.0967619460816282E-2</v>
      </c>
      <c r="I338" s="8" cm="1">
        <f t="array" aca="1" ref="I338" ca="1">IF(ROW()-2&gt;7, (G338/INDIRECT("G"&amp;ROW()-7))-1, "")</f>
        <v>-3.9677707910705906E-2</v>
      </c>
      <c r="J338" s="8" cm="1">
        <f t="array" aca="1" ref="J338" ca="1">IF(ROW()-2&gt;7, (C338/INDIRECT("C"&amp;ROW()-7))-1, "")</f>
        <v>-2.9411755411675844E-2</v>
      </c>
      <c r="K338" s="8" cm="1">
        <f t="array" aca="1" ref="K338" ca="1">IF(ROW()-2&gt;7, (H338/INDIRECT("H"&amp;ROW()-7))-1, "")</f>
        <v>-1.0577041867413484E-2</v>
      </c>
      <c r="L338" s="8">
        <f>IF(D338&gt;0, D338/C338, 0)</f>
        <v>0.26249996104681417</v>
      </c>
      <c r="M338" s="8">
        <f>IF(D338&gt;0, E338/D338, 0)</f>
        <v>0.39200002551475577</v>
      </c>
      <c r="N338" s="8">
        <f>IF(E338&gt;0, F338/E338, 0)</f>
        <v>0.71539984098479137</v>
      </c>
      <c r="O338" s="8">
        <f>IF(F338&gt;0, G338/F338, 0)</f>
        <v>0.82819968320499993</v>
      </c>
      <c r="P338" s="8" cm="1">
        <f t="array" aca="1" ref="P338" ca="1">IF(ROW()-2&gt;1, (L338/INDIRECT("L"&amp;ROW()-1))-1, "")</f>
        <v>0.20192292874351048</v>
      </c>
      <c r="Q338" s="8" cm="1">
        <f t="array" aca="1" ref="Q338" ca="1">IF(ROW()-2&gt;1, (M338/INDIRECT("M"&amp;ROW()-1))-1, "")</f>
        <v>0.14152605197804391</v>
      </c>
      <c r="R338" s="8" cm="1">
        <f t="array" aca="1" ref="R338" ca="1">IF(ROW()-2&gt;1, (N338/INDIRECT("N"&amp;ROW()-1))-1, "")</f>
        <v>2.1416370221663428E-2</v>
      </c>
      <c r="S338" s="8" cm="1">
        <f t="array" aca="1" ref="S338" ca="1">IF(ROW()-2&gt;1, (O338/INDIRECT("O"&amp;ROW()-1))-1, "")</f>
        <v>2.0955975552191086E-2</v>
      </c>
    </row>
    <row r="339" spans="2:19" x14ac:dyDescent="0.35">
      <c r="B339" s="3">
        <v>43802</v>
      </c>
      <c r="C339" s="4">
        <v>20848646</v>
      </c>
      <c r="D339" s="4">
        <v>5420648</v>
      </c>
      <c r="E339" s="4">
        <v>2254989</v>
      </c>
      <c r="F339" s="4">
        <v>1580296</v>
      </c>
      <c r="G339" s="4">
        <v>1282884</v>
      </c>
      <c r="H339" s="8">
        <f>IF(C339&gt;0, G339/C339, 0)</f>
        <v>6.1533204602351635E-2</v>
      </c>
      <c r="I339" s="8" cm="1">
        <f t="array" aca="1" ref="I339" ca="1">IF(ROW()-2&gt;7, (G339/INDIRECT("G"&amp;ROW()-7))-1, "")</f>
        <v>1.9222381382533626E-2</v>
      </c>
      <c r="J339" s="8" cm="1">
        <f t="array" aca="1" ref="J339" ca="1">IF(ROW()-2&gt;7, (C339/INDIRECT("C"&amp;ROW()-7))-1, "")</f>
        <v>-1.030930673479602E-2</v>
      </c>
      <c r="K339" s="8" cm="1">
        <f t="array" aca="1" ref="K339" ca="1">IF(ROW()-2&gt;7, (H339/INDIRECT("H"&amp;ROW()-7))-1, "")</f>
        <v>2.9839310724341761E-2</v>
      </c>
      <c r="L339" s="8">
        <f>IF(D339&gt;0, D339/C339, 0)</f>
        <v>0.2600000019185898</v>
      </c>
      <c r="M339" s="8">
        <f>IF(D339&gt;0, E339/D339, 0)</f>
        <v>0.41599989521547975</v>
      </c>
      <c r="N339" s="8">
        <f>IF(E339&gt;0, F339/E339, 0)</f>
        <v>0.7007998708641151</v>
      </c>
      <c r="O339" s="8">
        <f>IF(F339&gt;0, G339/F339, 0)</f>
        <v>0.81179981471825535</v>
      </c>
      <c r="P339" s="8" cm="1">
        <f t="array" aca="1" ref="P339" ca="1">IF(ROW()-2&gt;1, (L339/INDIRECT("L"&amp;ROW()-1))-1, "")</f>
        <v>-9.5236552350517201E-3</v>
      </c>
      <c r="Q339" s="8" cm="1">
        <f t="array" aca="1" ref="Q339" ca="1">IF(ROW()-2&gt;1, (M339/INDIRECT("M"&amp;ROW()-1))-1, "")</f>
        <v>6.1224153414807914E-2</v>
      </c>
      <c r="R339" s="8" cm="1">
        <f t="array" aca="1" ref="R339" ca="1">IF(ROW()-2&gt;1, (N339/INDIRECT("N"&amp;ROW()-1))-1, "")</f>
        <v>-2.0408126035614593E-2</v>
      </c>
      <c r="S339" s="8" cm="1">
        <f t="array" aca="1" ref="S339" ca="1">IF(ROW()-2&gt;1, (O339/INDIRECT("O"&amp;ROW()-1))-1, "")</f>
        <v>-1.9801828978344593E-2</v>
      </c>
    </row>
    <row r="340" spans="2:19" x14ac:dyDescent="0.35">
      <c r="B340" s="3">
        <v>43803</v>
      </c>
      <c r="C340" s="4">
        <v>22368860</v>
      </c>
      <c r="D340" s="4">
        <v>5759981</v>
      </c>
      <c r="E340" s="4">
        <v>2280952</v>
      </c>
      <c r="F340" s="4">
        <v>1581840</v>
      </c>
      <c r="G340" s="4">
        <v>1336022</v>
      </c>
      <c r="H340" s="8">
        <f>IF(C340&gt;0, G340/C340, 0)</f>
        <v>5.9726870300945152E-2</v>
      </c>
      <c r="I340" s="8" cm="1">
        <f t="array" aca="1" ref="I340" ca="1">IF(ROW()-2&gt;7, (G340/INDIRECT("G"&amp;ROW()-7))-1, "")</f>
        <v>-8.263346284092199E-3</v>
      </c>
      <c r="J340" s="8" cm="1">
        <f t="array" aca="1" ref="J340" ca="1">IF(ROW()-2&gt;7, (C340/INDIRECT("C"&amp;ROW()-7))-1, "")</f>
        <v>-1.9047627818315149E-2</v>
      </c>
      <c r="K340" s="8" cm="1">
        <f t="array" aca="1" ref="K340" ca="1">IF(ROW()-2&gt;7, (H340/INDIRECT("H"&amp;ROW()-7))-1, "")</f>
        <v>1.0993685157453914E-2</v>
      </c>
      <c r="L340" s="8">
        <f>IF(D340&gt;0, D340/C340, 0)</f>
        <v>0.2574999798827477</v>
      </c>
      <c r="M340" s="8">
        <f>IF(D340&gt;0, E340/D340, 0)</f>
        <v>0.3959999173608385</v>
      </c>
      <c r="N340" s="8">
        <f>IF(E340&gt;0, F340/E340, 0)</f>
        <v>0.69349990705635189</v>
      </c>
      <c r="O340" s="8">
        <f>IF(F340&gt;0, G340/F340, 0)</f>
        <v>0.84459995954078793</v>
      </c>
      <c r="P340" s="8" cm="1">
        <f t="array" aca="1" ref="P340" ca="1">IF(ROW()-2&gt;1, (L340/INDIRECT("L"&amp;ROW()-1))-1, "")</f>
        <v>-9.6154692976690992E-3</v>
      </c>
      <c r="Q340" s="8" cm="1">
        <f t="array" aca="1" ref="Q340" ca="1">IF(ROW()-2&gt;1, (M340/INDIRECT("M"&amp;ROW()-1))-1, "")</f>
        <v>-4.8076881952774708E-2</v>
      </c>
      <c r="R340" s="8" cm="1">
        <f t="array" aca="1" ref="R340" ca="1">IF(ROW()-2&gt;1, (N340/INDIRECT("N"&amp;ROW()-1))-1, "")</f>
        <v>-1.0416616941955281E-2</v>
      </c>
      <c r="S340" s="8" cm="1">
        <f t="array" aca="1" ref="S340" ca="1">IF(ROW()-2&gt;1, (O340/INDIRECT("O"&amp;ROW()-1))-1, "")</f>
        <v>4.0404228022540511E-2</v>
      </c>
    </row>
    <row r="341" spans="2:19" x14ac:dyDescent="0.35">
      <c r="B341" s="3">
        <v>43804</v>
      </c>
      <c r="C341" s="4">
        <v>22586034</v>
      </c>
      <c r="D341" s="4">
        <v>5815903</v>
      </c>
      <c r="E341" s="4">
        <v>2419415</v>
      </c>
      <c r="F341" s="4">
        <v>1783835</v>
      </c>
      <c r="G341" s="4">
        <v>1418862</v>
      </c>
      <c r="H341" s="8">
        <f>IF(C341&gt;0, G341/C341, 0)</f>
        <v>6.2820325162000548E-2</v>
      </c>
      <c r="I341" s="8" cm="1">
        <f t="array" aca="1" ref="I341" ca="1">IF(ROW()-2&gt;7, (G341/INDIRECT("G"&amp;ROW()-7))-1, "")</f>
        <v>9.5230229133024258E-2</v>
      </c>
      <c r="J341" s="8" cm="1">
        <f t="array" aca="1" ref="J341" ca="1">IF(ROW()-2&gt;7, (C341/INDIRECT("C"&amp;ROW()-7))-1, "")</f>
        <v>-9.5237919824172623E-3</v>
      </c>
      <c r="K341" s="8" cm="1">
        <f t="array" aca="1" ref="K341" ca="1">IF(ROW()-2&gt;7, (H341/INDIRECT("H"&amp;ROW()-7))-1, "")</f>
        <v>0.10576126944543618</v>
      </c>
      <c r="L341" s="8">
        <f>IF(D341&gt;0, D341/C341, 0)</f>
        <v>0.25749996657226321</v>
      </c>
      <c r="M341" s="8">
        <f>IF(D341&gt;0, E341/D341, 0)</f>
        <v>0.41599988858136044</v>
      </c>
      <c r="N341" s="8">
        <f>IF(E341&gt;0, F341/E341, 0)</f>
        <v>0.73730013247003923</v>
      </c>
      <c r="O341" s="8">
        <f>IF(F341&gt;0, G341/F341, 0)</f>
        <v>0.79539979874820266</v>
      </c>
      <c r="P341" s="8" cm="1">
        <f t="array" aca="1" ref="P341" ca="1">IF(ROW()-2&gt;1, (L341/INDIRECT("L"&amp;ROW()-1))-1, "")</f>
        <v>-5.1691205982251631E-8</v>
      </c>
      <c r="Q341" s="8" cm="1">
        <f t="array" aca="1" ref="Q341" ca="1">IF(ROW()-2&gt;1, (M341/INDIRECT("M"&amp;ROW()-1))-1, "")</f>
        <v>5.0504988369221682E-2</v>
      </c>
      <c r="R341" s="8" cm="1">
        <f t="array" aca="1" ref="R341" ca="1">IF(ROW()-2&gt;1, (N341/INDIRECT("N"&amp;ROW()-1))-1, "")</f>
        <v>6.3158228239139858E-2</v>
      </c>
      <c r="S341" s="8" cm="1">
        <f t="array" aca="1" ref="S341" ca="1">IF(ROW()-2&gt;1, (O341/INDIRECT("O"&amp;ROW()-1))-1, "")</f>
        <v>-5.8252620352167161E-2</v>
      </c>
    </row>
    <row r="342" spans="2:19" x14ac:dyDescent="0.35">
      <c r="B342" s="3">
        <v>43805</v>
      </c>
      <c r="C342" s="4">
        <v>21065820</v>
      </c>
      <c r="D342" s="4">
        <v>5108461</v>
      </c>
      <c r="E342" s="4">
        <v>2125119</v>
      </c>
      <c r="F342" s="4">
        <v>1582364</v>
      </c>
      <c r="G342" s="4">
        <v>1336464</v>
      </c>
      <c r="H342" s="8">
        <f>IF(C342&gt;0, G342/C342, 0)</f>
        <v>6.3442296573311643E-2</v>
      </c>
      <c r="I342" s="8" cm="1">
        <f t="array" aca="1" ref="I342" ca="1">IF(ROW()-2&gt;7, (G342/INDIRECT("G"&amp;ROW()-7))-1, "")</f>
        <v>-2.0513699985488687E-2</v>
      </c>
      <c r="J342" s="8" cm="1">
        <f t="array" aca="1" ref="J342" ca="1">IF(ROW()-2&gt;7, (C342/INDIRECT("C"&amp;ROW()-7))-1, "")</f>
        <v>-2.9999990790768982E-2</v>
      </c>
      <c r="K342" s="8" cm="1">
        <f t="array" aca="1" ref="K342" ca="1">IF(ROW()-2&gt;7, (H342/INDIRECT("H"&amp;ROW()-7))-1, "")</f>
        <v>9.7796811497079528E-3</v>
      </c>
      <c r="L342" s="8">
        <f>IF(D342&gt;0, D342/C342, 0)</f>
        <v>0.24249998338540821</v>
      </c>
      <c r="M342" s="8">
        <f>IF(D342&gt;0, E342/D342, 0)</f>
        <v>0.41599984809515039</v>
      </c>
      <c r="N342" s="8">
        <f>IF(E342&gt;0, F342/E342, 0)</f>
        <v>0.74460018474259559</v>
      </c>
      <c r="O342" s="8">
        <f>IF(F342&gt;0, G342/F342, 0)</f>
        <v>0.8445995990808689</v>
      </c>
      <c r="P342" s="8" cm="1">
        <f t="array" aca="1" ref="P342" ca="1">IF(ROW()-2&gt;1, (L342/INDIRECT("L"&amp;ROW()-1))-1, "")</f>
        <v>-5.8252369452815089E-2</v>
      </c>
      <c r="Q342" s="8" cm="1">
        <f t="array" aca="1" ref="Q342" ca="1">IF(ROW()-2&gt;1, (M342/INDIRECT("M"&amp;ROW()-1))-1, "")</f>
        <v>-9.7322646386288625E-8</v>
      </c>
      <c r="R342" s="8" cm="1">
        <f t="array" aca="1" ref="R342" ca="1">IF(ROW()-2&gt;1, (N342/INDIRECT("N"&amp;ROW()-1))-1, "")</f>
        <v>9.9010592173642831E-3</v>
      </c>
      <c r="S342" s="8" cm="1">
        <f t="array" aca="1" ref="S342" ca="1">IF(ROW()-2&gt;1, (O342/INDIRECT("O"&amp;ROW()-1))-1, "")</f>
        <v>6.1855434726155067E-2</v>
      </c>
    </row>
    <row r="343" spans="2:19" x14ac:dyDescent="0.35">
      <c r="B343" s="3">
        <v>43806</v>
      </c>
      <c r="C343" s="4">
        <v>43991955</v>
      </c>
      <c r="D343" s="4">
        <v>9145927</v>
      </c>
      <c r="E343" s="4">
        <v>3140711</v>
      </c>
      <c r="F343" s="4">
        <v>2157040</v>
      </c>
      <c r="G343" s="4">
        <v>1665666</v>
      </c>
      <c r="H343" s="8">
        <f>IF(C343&gt;0, G343/C343, 0)</f>
        <v>3.7862968354100197E-2</v>
      </c>
      <c r="I343" s="8" cm="1">
        <f t="array" aca="1" ref="I343" ca="1">IF(ROW()-2&gt;7, (G343/INDIRECT("G"&amp;ROW()-7))-1, "")</f>
        <v>-3.623744788939387E-2</v>
      </c>
      <c r="J343" s="8" cm="1">
        <f t="array" aca="1" ref="J343" ca="1">IF(ROW()-2&gt;7, (C343/INDIRECT("C"&amp;ROW()-7))-1, "")</f>
        <v>-6.6666676567466721E-2</v>
      </c>
      <c r="K343" s="8" cm="1">
        <f t="array" aca="1" ref="K343" ca="1">IF(ROW()-2&gt;7, (H343/INDIRECT("H"&amp;ROW()-7))-1, "")</f>
        <v>3.2602745358070839E-2</v>
      </c>
      <c r="L343" s="8">
        <f>IF(D343&gt;0, D343/C343, 0)</f>
        <v>0.20789998989587982</v>
      </c>
      <c r="M343" s="8">
        <f>IF(D343&gt;0, E343/D343, 0)</f>
        <v>0.34339996372155607</v>
      </c>
      <c r="N343" s="8">
        <f>IF(E343&gt;0, F343/E343, 0)</f>
        <v>0.68679989976791878</v>
      </c>
      <c r="O343" s="8">
        <f>IF(F343&gt;0, G343/F343, 0)</f>
        <v>0.77219986648369987</v>
      </c>
      <c r="P343" s="8" cm="1">
        <f t="array" aca="1" ref="P343" ca="1">IF(ROW()-2&gt;1, (L343/INDIRECT("L"&amp;ROW()-1))-1, "")</f>
        <v>-0.14268039529940169</v>
      </c>
      <c r="Q343" s="8" cm="1">
        <f t="array" aca="1" ref="Q343" ca="1">IF(ROW()-2&gt;1, (M343/INDIRECT("M"&amp;ROW()-1))-1, "")</f>
        <v>-0.17451901654778679</v>
      </c>
      <c r="R343" s="8" cm="1">
        <f t="array" aca="1" ref="R343" ca="1">IF(ROW()-2&gt;1, (N343/INDIRECT("N"&amp;ROW()-1))-1, "")</f>
        <v>-7.7625934238329641E-2</v>
      </c>
      <c r="S343" s="8" cm="1">
        <f t="array" aca="1" ref="S343" ca="1">IF(ROW()-2&gt;1, (O343/INDIRECT("O"&amp;ROW()-1))-1, "")</f>
        <v>-8.572077547273016E-2</v>
      </c>
    </row>
    <row r="344" spans="2:19" x14ac:dyDescent="0.35">
      <c r="B344" s="3">
        <v>43807</v>
      </c>
      <c r="C344" s="4">
        <v>43991955</v>
      </c>
      <c r="D344" s="4">
        <v>9238310</v>
      </c>
      <c r="E344" s="4">
        <v>3078205</v>
      </c>
      <c r="F344" s="4">
        <v>2093179</v>
      </c>
      <c r="G344" s="4">
        <v>1632680</v>
      </c>
      <c r="H344" s="8">
        <f>IF(C344&gt;0, G344/C344, 0)</f>
        <v>3.711314943834617E-2</v>
      </c>
      <c r="I344" s="8" cm="1">
        <f t="array" aca="1" ref="I344" ca="1">IF(ROW()-2&gt;7, (G344/INDIRECT("G"&amp;ROW()-7))-1, "")</f>
        <v>-0.17928270430340221</v>
      </c>
      <c r="J344" s="8" cm="1">
        <f t="array" aca="1" ref="J344" ca="1">IF(ROW()-2&gt;7, (C344/INDIRECT("C"&amp;ROW()-7))-1, "")</f>
        <v>-5.7692307692307709E-2</v>
      </c>
      <c r="K344" s="8" cm="1">
        <f t="array" aca="1" ref="K344" ca="1">IF(ROW()-2&gt;7, (H344/INDIRECT("H"&amp;ROW()-7))-1, "")</f>
        <v>-0.12903470660769212</v>
      </c>
      <c r="L344" s="8">
        <f>IF(D344&gt;0, D344/C344, 0)</f>
        <v>0.20999998749771406</v>
      </c>
      <c r="M344" s="8">
        <f>IF(D344&gt;0, E344/D344, 0)</f>
        <v>0.33320001169044988</v>
      </c>
      <c r="N344" s="8">
        <f>IF(E344&gt;0, F344/E344, 0)</f>
        <v>0.67999987005413864</v>
      </c>
      <c r="O344" s="8">
        <f>IF(F344&gt;0, G344/F344, 0)</f>
        <v>0.78000018154204676</v>
      </c>
      <c r="P344" s="8" cm="1">
        <f t="array" aca="1" ref="P344" ca="1">IF(ROW()-2&gt;1, (L344/INDIRECT("L"&amp;ROW()-1))-1, "")</f>
        <v>1.0100999056738669E-2</v>
      </c>
      <c r="Q344" s="8" cm="1">
        <f t="array" aca="1" ref="Q344" ca="1">IF(ROW()-2&gt;1, (M344/INDIRECT("M"&amp;ROW()-1))-1, "")</f>
        <v>-2.9702833746880541E-2</v>
      </c>
      <c r="R344" s="8" cm="1">
        <f t="array" aca="1" ref="R344" ca="1">IF(ROW()-2&gt;1, (N344/INDIRECT("N"&amp;ROW()-1))-1, "")</f>
        <v>-9.9010348080684762E-3</v>
      </c>
      <c r="S344" s="8" cm="1">
        <f t="array" aca="1" ref="S344" ca="1">IF(ROW()-2&gt;1, (O344/INDIRECT("O"&amp;ROW()-1))-1, "")</f>
        <v>1.0101419848550952E-2</v>
      </c>
    </row>
    <row r="345" spans="2:19" x14ac:dyDescent="0.35">
      <c r="B345" s="3">
        <v>43808</v>
      </c>
      <c r="C345" s="4">
        <v>22586034</v>
      </c>
      <c r="D345" s="4">
        <v>5533578</v>
      </c>
      <c r="E345" s="4">
        <v>2257699</v>
      </c>
      <c r="F345" s="4">
        <v>1582196</v>
      </c>
      <c r="G345" s="4">
        <v>1245504</v>
      </c>
      <c r="H345" s="8">
        <f>IF(C345&gt;0, G345/C345, 0)</f>
        <v>5.5144874040302959E-2</v>
      </c>
      <c r="I345" s="8" cm="1">
        <f t="array" aca="1" ref="I345" ca="1">IF(ROW()-2&gt;7, (G345/INDIRECT("G"&amp;ROW()-7))-1, "")</f>
        <v>-4.9824002490055808E-2</v>
      </c>
      <c r="J345" s="8" cm="1">
        <f t="array" aca="1" ref="J345" ca="1">IF(ROW()-2&gt;7, (C345/INDIRECT("C"&amp;ROW()-7))-1, "")</f>
        <v>5.0505049565428894E-2</v>
      </c>
      <c r="K345" s="8" cm="1">
        <f t="array" aca="1" ref="K345" ca="1">IF(ROW()-2&gt;7, (H345/INDIRECT("H"&amp;ROW()-7))-1, "")</f>
        <v>-9.5505540022857272E-2</v>
      </c>
      <c r="L345" s="8">
        <f>IF(D345&gt;0, D345/C345, 0)</f>
        <v>0.24499998538920112</v>
      </c>
      <c r="M345" s="8">
        <f>IF(D345&gt;0, E345/D345, 0)</f>
        <v>0.40799985109092163</v>
      </c>
      <c r="N345" s="8">
        <f>IF(E345&gt;0, F345/E345, 0)</f>
        <v>0.70080023953591686</v>
      </c>
      <c r="O345" s="8">
        <f>IF(F345&gt;0, G345/F345, 0)</f>
        <v>0.78719956313882733</v>
      </c>
      <c r="P345" s="8" cm="1">
        <f t="array" aca="1" ref="P345" ca="1">IF(ROW()-2&gt;1, (L345/INDIRECT("L"&amp;ROW()-1))-1, "")</f>
        <v>0.16666666654857809</v>
      </c>
      <c r="Q345" s="8" cm="1">
        <f t="array" aca="1" ref="Q345" ca="1">IF(ROW()-2&gt;1, (M345/INDIRECT("M"&amp;ROW()-1))-1, "")</f>
        <v>0.22448930605069251</v>
      </c>
      <c r="R345" s="8" cm="1">
        <f t="array" aca="1" ref="R345" ca="1">IF(ROW()-2&gt;1, (N345/INDIRECT("N"&amp;ROW()-1))-1, "")</f>
        <v>3.0588784495094279E-2</v>
      </c>
      <c r="S345" s="8" cm="1">
        <f t="array" aca="1" ref="S345" ca="1">IF(ROW()-2&gt;1, (O345/INDIRECT("O"&amp;ROW()-1))-1, "")</f>
        <v>9.2299742578874078E-3</v>
      </c>
    </row>
    <row r="346" spans="2:19" x14ac:dyDescent="0.35">
      <c r="B346" s="3">
        <v>43809</v>
      </c>
      <c r="C346" s="4">
        <v>21500167</v>
      </c>
      <c r="D346" s="4">
        <v>5213790</v>
      </c>
      <c r="E346" s="4">
        <v>2106371</v>
      </c>
      <c r="F346" s="4">
        <v>1522274</v>
      </c>
      <c r="G346" s="4">
        <v>1235782</v>
      </c>
      <c r="H346" s="8">
        <f>IF(C346&gt;0, G346/C346, 0)</f>
        <v>5.7477786102777713E-2</v>
      </c>
      <c r="I346" s="8" cm="1">
        <f t="array" aca="1" ref="I346" ca="1">IF(ROW()-2&gt;7, (G346/INDIRECT("G"&amp;ROW()-7))-1, "")</f>
        <v>-3.671571241047511E-2</v>
      </c>
      <c r="J346" s="8" cm="1">
        <f t="array" aca="1" ref="J346" ca="1">IF(ROW()-2&gt;7, (C346/INDIRECT("C"&amp;ROW()-7))-1, "")</f>
        <v>3.1250038971355698E-2</v>
      </c>
      <c r="K346" s="8" cm="1">
        <f t="array" aca="1" ref="K346" ca="1">IF(ROW()-2&gt;7, (H346/INDIRECT("H"&amp;ROW()-7))-1, "")</f>
        <v>-6.5906180667517744E-2</v>
      </c>
      <c r="L346" s="8">
        <f>IF(D346&gt;0, D346/C346, 0)</f>
        <v>0.24249997686064484</v>
      </c>
      <c r="M346" s="8">
        <f>IF(D346&gt;0, E346/D346, 0)</f>
        <v>0.40399996931215104</v>
      </c>
      <c r="N346" s="8">
        <f>IF(E346&gt;0, F346/E346, 0)</f>
        <v>0.72269984727286884</v>
      </c>
      <c r="O346" s="8">
        <f>IF(F346&gt;0, G346/F346, 0)</f>
        <v>0.81179997819052285</v>
      </c>
      <c r="P346" s="8" cm="1">
        <f t="array" aca="1" ref="P346" ca="1">IF(ROW()-2&gt;1, (L346/INDIRECT("L"&amp;ROW()-1))-1, "")</f>
        <v>-1.0204117051618722E-2</v>
      </c>
      <c r="Q346" s="8" cm="1">
        <f t="array" aca="1" ref="Q346" ca="1">IF(ROW()-2&gt;1, (M346/INDIRECT("M"&amp;ROW()-1))-1, "")</f>
        <v>-9.8036353887767103E-3</v>
      </c>
      <c r="R346" s="8" cm="1">
        <f t="array" aca="1" ref="R346" ca="1">IF(ROW()-2&gt;1, (N346/INDIRECT("N"&amp;ROW()-1))-1, "")</f>
        <v>3.1249429582750121E-2</v>
      </c>
      <c r="S346" s="8" cm="1">
        <f t="array" aca="1" ref="S346" ca="1">IF(ROW()-2&gt;1, (O346/INDIRECT("O"&amp;ROW()-1))-1, "")</f>
        <v>3.1250544593299123E-2</v>
      </c>
    </row>
    <row r="347" spans="2:19" x14ac:dyDescent="0.35">
      <c r="B347" s="3">
        <v>43810</v>
      </c>
      <c r="C347" s="4">
        <v>22586034</v>
      </c>
      <c r="D347" s="4">
        <v>5477113</v>
      </c>
      <c r="E347" s="4">
        <v>2212753</v>
      </c>
      <c r="F347" s="4">
        <v>1566850</v>
      </c>
      <c r="G347" s="4">
        <v>1246273</v>
      </c>
      <c r="H347" s="8">
        <f>IF(C347&gt;0, G347/C347, 0)</f>
        <v>5.5178921629180228E-2</v>
      </c>
      <c r="I347" s="8" cm="1">
        <f t="array" aca="1" ref="I347" ca="1">IF(ROW()-2&gt;7, (G347/INDIRECT("G"&amp;ROW()-7))-1, "")</f>
        <v>-6.7176289013204826E-2</v>
      </c>
      <c r="J347" s="8" cm="1">
        <f t="array" aca="1" ref="J347" ca="1">IF(ROW()-2&gt;7, (C347/INDIRECT("C"&amp;ROW()-7))-1, "")</f>
        <v>9.7087647738864913E-3</v>
      </c>
      <c r="K347" s="8" cm="1">
        <f t="array" aca="1" ref="K347" ca="1">IF(ROW()-2&gt;7, (H347/INDIRECT("H"&amp;ROW()-7))-1, "")</f>
        <v>-7.6145772394388356E-2</v>
      </c>
      <c r="L347" s="8">
        <f>IF(D347&gt;0, D347/C347, 0)</f>
        <v>0.24249998915258872</v>
      </c>
      <c r="M347" s="8">
        <f>IF(D347&gt;0, E347/D347, 0)</f>
        <v>0.40399988095918415</v>
      </c>
      <c r="N347" s="8">
        <f>IF(E347&gt;0, F347/E347, 0)</f>
        <v>0.70809981954605872</v>
      </c>
      <c r="O347" s="8">
        <f>IF(F347&gt;0, G347/F347, 0)</f>
        <v>0.79540032549382522</v>
      </c>
      <c r="P347" s="8" cm="1">
        <f t="array" aca="1" ref="P347" ca="1">IF(ROW()-2&gt;1, (L347/INDIRECT("L"&amp;ROW()-1))-1, "")</f>
        <v>5.0688433228529561E-8</v>
      </c>
      <c r="Q347" s="8" cm="1">
        <f t="array" aca="1" ref="Q347" ca="1">IF(ROW()-2&gt;1, (M347/INDIRECT("M"&amp;ROW()-1))-1, "")</f>
        <v>-2.1869547917052756E-7</v>
      </c>
      <c r="R347" s="8" cm="1">
        <f t="array" aca="1" ref="R347" ca="1">IF(ROW()-2&gt;1, (N347/INDIRECT("N"&amp;ROW()-1))-1, "")</f>
        <v>-2.0202062836880086E-2</v>
      </c>
      <c r="S347" s="8" cm="1">
        <f t="array" aca="1" ref="S347" ca="1">IF(ROW()-2&gt;1, (O347/INDIRECT("O"&amp;ROW()-1))-1, "")</f>
        <v>-2.0201592925947032E-2</v>
      </c>
    </row>
    <row r="348" spans="2:19" x14ac:dyDescent="0.35">
      <c r="B348" s="3">
        <v>43811</v>
      </c>
      <c r="C348" s="4">
        <v>21934513</v>
      </c>
      <c r="D348" s="4">
        <v>5648137</v>
      </c>
      <c r="E348" s="4">
        <v>2259254</v>
      </c>
      <c r="F348" s="4">
        <v>1682241</v>
      </c>
      <c r="G348" s="4">
        <v>1379437</v>
      </c>
      <c r="H348" s="8">
        <f>IF(C348&gt;0, G348/C348, 0)</f>
        <v>6.2888882009826244E-2</v>
      </c>
      <c r="I348" s="8" cm="1">
        <f t="array" aca="1" ref="I348" ca="1">IF(ROW()-2&gt;7, (G348/INDIRECT("G"&amp;ROW()-7))-1, "")</f>
        <v>-2.7786352724930241E-2</v>
      </c>
      <c r="J348" s="8" cm="1">
        <f t="array" aca="1" ref="J348" ca="1">IF(ROW()-2&gt;7, (C348/INDIRECT("C"&amp;ROW()-7))-1, "")</f>
        <v>-2.8846188755405233E-2</v>
      </c>
      <c r="K348" s="8" cm="1">
        <f t="array" aca="1" ref="K348" ca="1">IF(ROW()-2&gt;7, (H348/INDIRECT("H"&amp;ROW()-7))-1, "")</f>
        <v>1.0913163478365462E-3</v>
      </c>
      <c r="L348" s="8">
        <f>IF(D348&gt;0, D348/C348, 0)</f>
        <v>0.25749999555495034</v>
      </c>
      <c r="M348" s="8">
        <f>IF(D348&gt;0, E348/D348, 0)</f>
        <v>0.39999985836037616</v>
      </c>
      <c r="N348" s="8">
        <f>IF(E348&gt;0, F348/E348, 0)</f>
        <v>0.74460020874146948</v>
      </c>
      <c r="O348" s="8">
        <f>IF(F348&gt;0, G348/F348, 0)</f>
        <v>0.81999963144400834</v>
      </c>
      <c r="P348" s="8" cm="1">
        <f t="array" aca="1" ref="P348" ca="1">IF(ROW()-2&gt;1, (L348/INDIRECT("L"&amp;ROW()-1))-1, "")</f>
        <v>6.185569927148804E-2</v>
      </c>
      <c r="Q348" s="8" cm="1">
        <f t="array" aca="1" ref="Q348" ca="1">IF(ROW()-2&gt;1, (M348/INDIRECT("M"&amp;ROW()-1))-1, "")</f>
        <v>-9.9010489540518609E-3</v>
      </c>
      <c r="R348" s="8" cm="1">
        <f t="array" aca="1" ref="R348" ca="1">IF(ROW()-2&gt;1, (N348/INDIRECT("N"&amp;ROW()-1))-1, "")</f>
        <v>5.1546954522329935E-2</v>
      </c>
      <c r="S348" s="8" cm="1">
        <f t="array" aca="1" ref="S348" ca="1">IF(ROW()-2&gt;1, (O348/INDIRECT("O"&amp;ROW()-1))-1, "")</f>
        <v>3.0926949816006966E-2</v>
      </c>
    </row>
    <row r="349" spans="2:19" x14ac:dyDescent="0.35">
      <c r="B349" s="3">
        <v>43812</v>
      </c>
      <c r="C349" s="4">
        <v>22803207</v>
      </c>
      <c r="D349" s="4">
        <v>5928833</v>
      </c>
      <c r="E349" s="4">
        <v>2276672</v>
      </c>
      <c r="F349" s="4">
        <v>1661970</v>
      </c>
      <c r="G349" s="4">
        <v>1308303</v>
      </c>
      <c r="H349" s="8">
        <f>IF(C349&gt;0, G349/C349, 0)</f>
        <v>5.7373640470833771E-2</v>
      </c>
      <c r="I349" s="8" cm="1">
        <f t="array" aca="1" ref="I349" ca="1">IF(ROW()-2&gt;7, (G349/INDIRECT("G"&amp;ROW()-7))-1, "")</f>
        <v>-2.1071274647128546E-2</v>
      </c>
      <c r="J349" s="8" cm="1">
        <f t="array" aca="1" ref="J349" ca="1">IF(ROW()-2&gt;7, (C349/INDIRECT("C"&amp;ROW()-7))-1, "")</f>
        <v>8.2474216527056665E-2</v>
      </c>
      <c r="K349" s="8" cm="1">
        <f t="array" aca="1" ref="K349" ca="1">IF(ROW()-2&gt;7, (H349/INDIRECT("H"&amp;ROW()-7))-1, "")</f>
        <v>-9.5656311802413296E-2</v>
      </c>
      <c r="L349" s="8">
        <f>IF(D349&gt;0, D349/C349, 0)</f>
        <v>0.25999996404014575</v>
      </c>
      <c r="M349" s="8">
        <f>IF(D349&gt;0, E349/D349, 0)</f>
        <v>0.38400002158940894</v>
      </c>
      <c r="N349" s="8">
        <f>IF(E349&gt;0, F349/E349, 0)</f>
        <v>0.72999975402693051</v>
      </c>
      <c r="O349" s="8">
        <f>IF(F349&gt;0, G349/F349, 0)</f>
        <v>0.78720012996624489</v>
      </c>
      <c r="P349" s="8" cm="1">
        <f t="array" aca="1" ref="P349" ca="1">IF(ROW()-2&gt;1, (L349/INDIRECT("L"&amp;ROW()-1))-1, "")</f>
        <v>9.7086156440802096E-3</v>
      </c>
      <c r="Q349" s="8" cm="1">
        <f t="array" aca="1" ref="Q349" ca="1">IF(ROW()-2&gt;1, (M349/INDIRECT("M"&amp;ROW()-1))-1, "")</f>
        <v>-3.999960609124098E-2</v>
      </c>
      <c r="R349" s="8" cm="1">
        <f t="array" aca="1" ref="R349" ca="1">IF(ROW()-2&gt;1, (N349/INDIRECT("N"&amp;ROW()-1))-1, "")</f>
        <v>-1.9608448323183758E-2</v>
      </c>
      <c r="S349" s="8" cm="1">
        <f t="array" aca="1" ref="S349" ca="1">IF(ROW()-2&gt;1, (O349/INDIRECT("O"&amp;ROW()-1))-1, "")</f>
        <v>-3.9999410024128879E-2</v>
      </c>
    </row>
    <row r="350" spans="2:19" x14ac:dyDescent="0.35">
      <c r="B350" s="3">
        <v>43813</v>
      </c>
      <c r="C350" s="4">
        <v>45787545</v>
      </c>
      <c r="D350" s="4">
        <v>9230769</v>
      </c>
      <c r="E350" s="4">
        <v>3232615</v>
      </c>
      <c r="F350" s="4">
        <v>2220160</v>
      </c>
      <c r="G350" s="4">
        <v>1783676</v>
      </c>
      <c r="H350" s="8">
        <f>IF(C350&gt;0, G350/C350, 0)</f>
        <v>3.8955484510034333E-2</v>
      </c>
      <c r="I350" s="8" cm="1">
        <f t="array" aca="1" ref="I350" ca="1">IF(ROW()-2&gt;7, (G350/INDIRECT("G"&amp;ROW()-7))-1, "")</f>
        <v>7.0848537461892125E-2</v>
      </c>
      <c r="J350" s="8" cm="1">
        <f t="array" aca="1" ref="J350" ca="1">IF(ROW()-2&gt;7, (C350/INDIRECT("C"&amp;ROW()-7))-1, "")</f>
        <v>4.081632653061229E-2</v>
      </c>
      <c r="K350" s="8" cm="1">
        <f t="array" aca="1" ref="K350" ca="1">IF(ROW()-2&gt;7, (H350/INDIRECT("H"&amp;ROW()-7))-1, "")</f>
        <v>2.8854477169268922E-2</v>
      </c>
      <c r="L350" s="8">
        <f>IF(D350&gt;0, D350/C350, 0)</f>
        <v>0.20159999842751997</v>
      </c>
      <c r="M350" s="8">
        <f>IF(D350&gt;0, E350/D350, 0)</f>
        <v>0.35019996708833251</v>
      </c>
      <c r="N350" s="8">
        <f>IF(E350&gt;0, F350/E350, 0)</f>
        <v>0.68680000556824738</v>
      </c>
      <c r="O350" s="8">
        <f>IF(F350&gt;0, G350/F350, 0)</f>
        <v>0.80339975497261462</v>
      </c>
      <c r="P350" s="8" cm="1">
        <f t="array" aca="1" ref="P350" ca="1">IF(ROW()-2&gt;1, (L350/INDIRECT("L"&amp;ROW()-1))-1, "")</f>
        <v>-0.22461528342214865</v>
      </c>
      <c r="Q350" s="8" cm="1">
        <f t="array" aca="1" ref="Q350" ca="1">IF(ROW()-2&gt;1, (M350/INDIRECT("M"&amp;ROW()-1))-1, "")</f>
        <v>-8.8020970314467983E-2</v>
      </c>
      <c r="R350" s="8" cm="1">
        <f t="array" aca="1" ref="R350" ca="1">IF(ROW()-2&gt;1, (N350/INDIRECT("N"&amp;ROW()-1))-1, "")</f>
        <v>-5.9177757554544907E-2</v>
      </c>
      <c r="S350" s="8" cm="1">
        <f t="array" aca="1" ref="S350" ca="1">IF(ROW()-2&gt;1, (O350/INDIRECT("O"&amp;ROW()-1))-1, "")</f>
        <v>2.0578788531277814E-2</v>
      </c>
    </row>
    <row r="351" spans="2:19" x14ac:dyDescent="0.35">
      <c r="B351" s="3">
        <v>43814</v>
      </c>
      <c r="C351" s="4">
        <v>43094160</v>
      </c>
      <c r="D351" s="4">
        <v>8687782</v>
      </c>
      <c r="E351" s="4">
        <v>2806153</v>
      </c>
      <c r="F351" s="4">
        <v>1812775</v>
      </c>
      <c r="G351" s="4">
        <v>1385685</v>
      </c>
      <c r="H351" s="8">
        <f>IF(C351&gt;0, G351/C351, 0)</f>
        <v>3.2154820978062923E-2</v>
      </c>
      <c r="I351" s="8" cm="1">
        <f t="array" aca="1" ref="I351" ca="1">IF(ROW()-2&gt;7, (G351/INDIRECT("G"&amp;ROW()-7))-1, "")</f>
        <v>-0.1512819413479678</v>
      </c>
      <c r="J351" s="8" cm="1">
        <f t="array" aca="1" ref="J351" ca="1">IF(ROW()-2&gt;7, (C351/INDIRECT("C"&amp;ROW()-7))-1, "")</f>
        <v>-2.0408163265306145E-2</v>
      </c>
      <c r="K351" s="8" cm="1">
        <f t="array" aca="1" ref="K351" ca="1">IF(ROW()-2&gt;7, (H351/INDIRECT("H"&amp;ROW()-7))-1, "")</f>
        <v>-0.13360031512605031</v>
      </c>
      <c r="L351" s="8">
        <f>IF(D351&gt;0, D351/C351, 0)</f>
        <v>0.20159998477751973</v>
      </c>
      <c r="M351" s="8">
        <f>IF(D351&gt;0, E351/D351, 0)</f>
        <v>0.3229999325489521</v>
      </c>
      <c r="N351" s="8">
        <f>IF(E351&gt;0, F351/E351, 0)</f>
        <v>0.64600005773028057</v>
      </c>
      <c r="O351" s="8">
        <f>IF(F351&gt;0, G351/F351, 0)</f>
        <v>0.76439988415550741</v>
      </c>
      <c r="P351" s="8" cm="1">
        <f t="array" aca="1" ref="P351" ca="1">IF(ROW()-2&gt;1, (L351/INDIRECT("L"&amp;ROW()-1))-1, "")</f>
        <v>-6.7708335049765367E-8</v>
      </c>
      <c r="Q351" s="8" cm="1">
        <f t="array" aca="1" ref="Q351" ca="1">IF(ROW()-2&gt;1, (M351/INDIRECT("M"&amp;ROW()-1))-1, "")</f>
        <v>-7.7670008839605731E-2</v>
      </c>
      <c r="R351" s="8" cm="1">
        <f t="array" aca="1" ref="R351" ca="1">IF(ROW()-2&gt;1, (N351/INDIRECT("N"&amp;ROW()-1))-1, "")</f>
        <v>-5.9405864163046385E-2</v>
      </c>
      <c r="S351" s="8" cm="1">
        <f t="array" aca="1" ref="S351" ca="1">IF(ROW()-2&gt;1, (O351/INDIRECT("O"&amp;ROW()-1))-1, "")</f>
        <v>-4.8543543330351935E-2</v>
      </c>
    </row>
    <row r="352" spans="2:19" x14ac:dyDescent="0.35">
      <c r="B352" s="3">
        <v>43815</v>
      </c>
      <c r="C352" s="4">
        <v>21282993</v>
      </c>
      <c r="D352" s="4">
        <v>5427163</v>
      </c>
      <c r="E352" s="4">
        <v>2214282</v>
      </c>
      <c r="F352" s="4">
        <v>1584097</v>
      </c>
      <c r="G352" s="4">
        <v>1324939</v>
      </c>
      <c r="H352" s="8">
        <f>IF(C352&gt;0, G352/C352, 0)</f>
        <v>6.2253415203397382E-2</v>
      </c>
      <c r="I352" s="8" cm="1">
        <f t="array" aca="1" ref="I352" ca="1">IF(ROW()-2&gt;7, (G352/INDIRECT("G"&amp;ROW()-7))-1, "")</f>
        <v>6.3777394532654963E-2</v>
      </c>
      <c r="J352" s="8" cm="1">
        <f t="array" aca="1" ref="J352" ca="1">IF(ROW()-2&gt;7, (C352/INDIRECT("C"&amp;ROW()-7))-1, "")</f>
        <v>-5.7692333235662363E-2</v>
      </c>
      <c r="K352" s="8" cm="1">
        <f t="array" aca="1" ref="K352" ca="1">IF(ROW()-2&gt;7, (H352/INDIRECT("H"&amp;ROW()-7))-1, "")</f>
        <v>0.12890665337088447</v>
      </c>
      <c r="L352" s="8">
        <f>IF(D352&gt;0, D352/C352, 0)</f>
        <v>0.25499998989803735</v>
      </c>
      <c r="M352" s="8">
        <f>IF(D352&gt;0, E352/D352, 0)</f>
        <v>0.40799990713380085</v>
      </c>
      <c r="N352" s="8">
        <f>IF(E352&gt;0, F352/E352, 0)</f>
        <v>0.71539984518683708</v>
      </c>
      <c r="O352" s="8">
        <f>IF(F352&gt;0, G352/F352, 0)</f>
        <v>0.83640016993908828</v>
      </c>
      <c r="P352" s="8" cm="1">
        <f t="array" aca="1" ref="P352" ca="1">IF(ROW()-2&gt;1, (L352/INDIRECT("L"&amp;ROW()-1))-1, "")</f>
        <v>0.26488099778106844</v>
      </c>
      <c r="Q352" s="8" cm="1">
        <f t="array" aca="1" ref="Q352" ca="1">IF(ROW()-2&gt;1, (M352/INDIRECT("M"&amp;ROW()-1))-1, "")</f>
        <v>0.26315787100657251</v>
      </c>
      <c r="R352" s="8" cm="1">
        <f t="array" aca="1" ref="R352" ca="1">IF(ROW()-2&gt;1, (N352/INDIRECT("N"&amp;ROW()-1))-1, "")</f>
        <v>0.10743000194209351</v>
      </c>
      <c r="S352" s="8" cm="1">
        <f t="array" aca="1" ref="S352" ca="1">IF(ROW()-2&gt;1, (O352/INDIRECT("O"&amp;ROW()-1))-1, "")</f>
        <v>9.4191910904231957E-2</v>
      </c>
    </row>
    <row r="353" spans="2:19" x14ac:dyDescent="0.35">
      <c r="B353" s="3">
        <v>43816</v>
      </c>
      <c r="C353" s="4">
        <v>21065820</v>
      </c>
      <c r="D353" s="4">
        <v>5108461</v>
      </c>
      <c r="E353" s="4">
        <v>2022950</v>
      </c>
      <c r="F353" s="4">
        <v>1402916</v>
      </c>
      <c r="G353" s="4">
        <v>1104375</v>
      </c>
      <c r="H353" s="8">
        <f>IF(C353&gt;0, G353/C353, 0)</f>
        <v>5.2424970876994104E-2</v>
      </c>
      <c r="I353" s="8" cm="1">
        <f t="array" aca="1" ref="I353" ca="1">IF(ROW()-2&gt;7, (G353/INDIRECT("G"&amp;ROW()-7))-1, "")</f>
        <v>-0.10633509793798579</v>
      </c>
      <c r="J353" s="8" cm="1">
        <f t="array" aca="1" ref="J353" ca="1">IF(ROW()-2&gt;7, (C353/INDIRECT("C"&amp;ROW()-7))-1, "")</f>
        <v>-2.0202029128424948E-2</v>
      </c>
      <c r="K353" s="8" cm="1">
        <f t="array" aca="1" ref="K353" ca="1">IF(ROW()-2&gt;7, (H353/INDIRECT("H"&amp;ROW()-7))-1, "")</f>
        <v>-8.7909009173535724E-2</v>
      </c>
      <c r="L353" s="8">
        <f>IF(D353&gt;0, D353/C353, 0)</f>
        <v>0.24249998338540821</v>
      </c>
      <c r="M353" s="8">
        <f>IF(D353&gt;0, E353/D353, 0)</f>
        <v>0.39599989116095824</v>
      </c>
      <c r="N353" s="8">
        <f>IF(E353&gt;0, F353/E353, 0)</f>
        <v>0.69350008650732842</v>
      </c>
      <c r="O353" s="8">
        <f>IF(F353&gt;0, G353/F353, 0)</f>
        <v>0.7871996612769403</v>
      </c>
      <c r="P353" s="8" cm="1">
        <f t="array" aca="1" ref="P353" ca="1">IF(ROW()-2&gt;1, (L353/INDIRECT("L"&amp;ROW()-1))-1, "")</f>
        <v>-4.9019635324798694E-2</v>
      </c>
      <c r="Q353" s="8" cm="1">
        <f t="array" aca="1" ref="Q353" ca="1">IF(ROW()-2&gt;1, (M353/INDIRECT("M"&amp;ROW()-1))-1, "")</f>
        <v>-2.9411810549523687E-2</v>
      </c>
      <c r="R353" s="8" cm="1">
        <f t="array" aca="1" ref="R353" ca="1">IF(ROW()-2&gt;1, (N353/INDIRECT("N"&amp;ROW()-1))-1, "")</f>
        <v>-3.0611914199938361E-2</v>
      </c>
      <c r="S353" s="8" cm="1">
        <f t="array" aca="1" ref="S353" ca="1">IF(ROW()-2&gt;1, (O353/INDIRECT("O"&amp;ROW()-1))-1, "")</f>
        <v>-5.8824125616486977E-2</v>
      </c>
    </row>
    <row r="354" spans="2:19" x14ac:dyDescent="0.35">
      <c r="B354" s="3">
        <v>43817</v>
      </c>
      <c r="C354" s="4">
        <v>22368860</v>
      </c>
      <c r="D354" s="4">
        <v>5424448</v>
      </c>
      <c r="E354" s="4">
        <v>2104686</v>
      </c>
      <c r="F354" s="4">
        <v>1597877</v>
      </c>
      <c r="G354" s="4">
        <v>1284054</v>
      </c>
      <c r="H354" s="8">
        <f>IF(C354&gt;0, G354/C354, 0)</f>
        <v>5.7403640596793933E-2</v>
      </c>
      <c r="I354" s="8" cm="1">
        <f t="array" aca="1" ref="I354" ca="1">IF(ROW()-2&gt;7, (G354/INDIRECT("G"&amp;ROW()-7))-1, "")</f>
        <v>3.0315187763836571E-2</v>
      </c>
      <c r="J354" s="8" cm="1">
        <f t="array" aca="1" ref="J354" ca="1">IF(ROW()-2&gt;7, (C354/INDIRECT("C"&amp;ROW()-7))-1, "")</f>
        <v>-9.6154110101844825E-3</v>
      </c>
      <c r="K354" s="8" cm="1">
        <f t="array" aca="1" ref="K354" ca="1">IF(ROW()-2&gt;7, (H354/INDIRECT("H"&amp;ROW()-7))-1, "")</f>
        <v>4.0318275564798389E-2</v>
      </c>
      <c r="L354" s="8">
        <f>IF(D354&gt;0, D354/C354, 0)</f>
        <v>0.24249997541224722</v>
      </c>
      <c r="M354" s="8">
        <f>IF(D354&gt;0, E354/D354, 0)</f>
        <v>0.3880000324456977</v>
      </c>
      <c r="N354" s="8">
        <f>IF(E354&gt;0, F354/E354, 0)</f>
        <v>0.75919970960038696</v>
      </c>
      <c r="O354" s="8">
        <f>IF(F354&gt;0, G354/F354, 0)</f>
        <v>0.8036000267855411</v>
      </c>
      <c r="P354" s="8" cm="1">
        <f t="array" aca="1" ref="P354" ca="1">IF(ROW()-2&gt;1, (L354/INDIRECT("L"&amp;ROW()-1))-1, "")</f>
        <v>-3.2879016620412926E-8</v>
      </c>
      <c r="Q354" s="8" cm="1">
        <f t="array" aca="1" ref="Q354" ca="1">IF(ROW()-2&gt;1, (M354/INDIRECT("M"&amp;ROW()-1))-1, "")</f>
        <v>-2.0201668974724307E-2</v>
      </c>
      <c r="R354" s="8" cm="1">
        <f t="array" aca="1" ref="R354" ca="1">IF(ROW()-2&gt;1, (N354/INDIRECT("N"&amp;ROW()-1))-1, "")</f>
        <v>9.4736286802704406E-2</v>
      </c>
      <c r="S354" s="8" cm="1">
        <f t="array" aca="1" ref="S354" ca="1">IF(ROW()-2&gt;1, (O354/INDIRECT("O"&amp;ROW()-1))-1, "")</f>
        <v>2.0833806612666983E-2</v>
      </c>
    </row>
    <row r="355" spans="2:19" x14ac:dyDescent="0.35">
      <c r="B355" s="3">
        <v>43818</v>
      </c>
      <c r="C355" s="4">
        <v>21065820</v>
      </c>
      <c r="D355" s="4">
        <v>5213790</v>
      </c>
      <c r="E355" s="4">
        <v>2064661</v>
      </c>
      <c r="F355" s="4">
        <v>1507202</v>
      </c>
      <c r="G355" s="4">
        <v>1211187</v>
      </c>
      <c r="H355" s="8">
        <f>IF(C355&gt;0, G355/C355, 0)</f>
        <v>5.7495364528890876E-2</v>
      </c>
      <c r="I355" s="8" cm="1">
        <f t="array" aca="1" ref="I355" ca="1">IF(ROW()-2&gt;7, (G355/INDIRECT("G"&amp;ROW()-7))-1, "")</f>
        <v>-0.12197005010014961</v>
      </c>
      <c r="J355" s="8" cm="1">
        <f t="array" aca="1" ref="J355" ca="1">IF(ROW()-2&gt;7, (C355/INDIRECT("C"&amp;ROW()-7))-1, "")</f>
        <v>-3.9603933764109533E-2</v>
      </c>
      <c r="K355" s="8" cm="1">
        <f t="array" aca="1" ref="K355" ca="1">IF(ROW()-2&gt;7, (H355/INDIRECT("H"&amp;ROW()-7))-1, "")</f>
        <v>-8.5762654837664987E-2</v>
      </c>
      <c r="L355" s="8">
        <f>IF(D355&gt;0, D355/C355, 0)</f>
        <v>0.247499978638382</v>
      </c>
      <c r="M355" s="8">
        <f>IF(D355&gt;0, E355/D355, 0)</f>
        <v>0.39600003068784895</v>
      </c>
      <c r="N355" s="8">
        <f>IF(E355&gt;0, F355/E355, 0)</f>
        <v>0.7299997432992632</v>
      </c>
      <c r="O355" s="8">
        <f>IF(F355&gt;0, G355/F355, 0)</f>
        <v>0.80359965021277835</v>
      </c>
      <c r="P355" s="8" cm="1">
        <f t="array" aca="1" ref="P355" ca="1">IF(ROW()-2&gt;1, (L355/INDIRECT("L"&amp;ROW()-1))-1, "")</f>
        <v>2.0618572095254084E-2</v>
      </c>
      <c r="Q355" s="8" cm="1">
        <f t="array" aca="1" ref="Q355" ca="1">IF(ROW()-2&gt;1, (M355/INDIRECT("M"&amp;ROW()-1))-1, "")</f>
        <v>2.0618550446309225E-2</v>
      </c>
      <c r="R355" s="8" cm="1">
        <f t="array" aca="1" ref="R355" ca="1">IF(ROW()-2&gt;1, (N355/INDIRECT("N"&amp;ROW()-1))-1, "")</f>
        <v>-3.8461508785999743E-2</v>
      </c>
      <c r="S355" s="8" cm="1">
        <f t="array" aca="1" ref="S355" ca="1">IF(ROW()-2&gt;1, (O355/INDIRECT("O"&amp;ROW()-1))-1, "")</f>
        <v>-4.6860720537278411E-7</v>
      </c>
    </row>
    <row r="356" spans="2:19" x14ac:dyDescent="0.35">
      <c r="B356" s="3">
        <v>43819</v>
      </c>
      <c r="C356" s="4">
        <v>22151687</v>
      </c>
      <c r="D356" s="4">
        <v>5261025</v>
      </c>
      <c r="E356" s="4">
        <v>2062322</v>
      </c>
      <c r="F356" s="4">
        <v>1430220</v>
      </c>
      <c r="G356" s="4">
        <v>1231419</v>
      </c>
      <c r="H356" s="8">
        <f>IF(C356&gt;0, G356/C356, 0)</f>
        <v>5.5590303348002343E-2</v>
      </c>
      <c r="I356" s="8" cm="1">
        <f t="array" aca="1" ref="I356" ca="1">IF(ROW()-2&gt;7, (G356/INDIRECT("G"&amp;ROW()-7))-1, "")</f>
        <v>-5.8766203241909509E-2</v>
      </c>
      <c r="J356" s="8" cm="1">
        <f t="array" aca="1" ref="J356" ca="1">IF(ROW()-2&gt;7, (C356/INDIRECT("C"&amp;ROW()-7))-1, "")</f>
        <v>-2.8571419800732412E-2</v>
      </c>
      <c r="K356" s="8" cm="1">
        <f t="array" aca="1" ref="K356" ca="1">IF(ROW()-2&gt;7, (H356/INDIRECT("H"&amp;ROW()-7))-1, "")</f>
        <v>-3.1082865026457518E-2</v>
      </c>
      <c r="L356" s="8">
        <f>IF(D356&gt;0, D356/C356, 0)</f>
        <v>0.23749997009257129</v>
      </c>
      <c r="M356" s="8">
        <f>IF(D356&gt;0, E356/D356, 0)</f>
        <v>0.39200003801540573</v>
      </c>
      <c r="N356" s="8">
        <f>IF(E356&gt;0, F356/E356, 0)</f>
        <v>0.69349985113866797</v>
      </c>
      <c r="O356" s="8">
        <f>IF(F356&gt;0, G356/F356, 0)</f>
        <v>0.8609997063388849</v>
      </c>
      <c r="P356" s="8" cm="1">
        <f t="array" aca="1" ref="P356" ca="1">IF(ROW()-2&gt;1, (L356/INDIRECT("L"&amp;ROW()-1))-1, "")</f>
        <v>-4.0404078419827072E-2</v>
      </c>
      <c r="Q356" s="8" cm="1">
        <f t="array" aca="1" ref="Q356" ca="1">IF(ROW()-2&gt;1, (M356/INDIRECT("M"&amp;ROW()-1))-1, "")</f>
        <v>-1.0100990814306932E-2</v>
      </c>
      <c r="R356" s="8" cm="1">
        <f t="array" aca="1" ref="R356" ca="1">IF(ROW()-2&gt;1, (N356/INDIRECT("N"&amp;ROW()-1))-1, "")</f>
        <v>-4.9999869856984458E-2</v>
      </c>
      <c r="S356" s="8" cm="1">
        <f t="array" aca="1" ref="S356" ca="1">IF(ROW()-2&gt;1, (O356/INDIRECT("O"&amp;ROW()-1))-1, "")</f>
        <v>7.1428672363045509E-2</v>
      </c>
    </row>
    <row r="357" spans="2:19" x14ac:dyDescent="0.35">
      <c r="B357" s="3">
        <v>43820</v>
      </c>
      <c r="C357" s="4">
        <v>46236443</v>
      </c>
      <c r="D357" s="4">
        <v>9321266</v>
      </c>
      <c r="E357" s="4">
        <v>3042461</v>
      </c>
      <c r="F357" s="4">
        <v>1965430</v>
      </c>
      <c r="G357" s="4">
        <v>1502374</v>
      </c>
      <c r="H357" s="8">
        <f>IF(C357&gt;0, G357/C357, 0)</f>
        <v>3.2493286734881402E-2</v>
      </c>
      <c r="I357" s="8" cm="1">
        <f t="array" aca="1" ref="I357" ca="1">IF(ROW()-2&gt;7, (G357/INDIRECT("G"&amp;ROW()-7))-1, "")</f>
        <v>-0.15770913551564303</v>
      </c>
      <c r="J357" s="8" cm="1">
        <f t="array" aca="1" ref="J357" ca="1">IF(ROW()-2&gt;7, (C357/INDIRECT("C"&amp;ROW()-7))-1, "")</f>
        <v>9.8039324886276535E-3</v>
      </c>
      <c r="K357" s="8" cm="1">
        <f t="array" aca="1" ref="K357" ca="1">IF(ROW()-2&gt;7, (H357/INDIRECT("H"&amp;ROW()-7))-1, "")</f>
        <v>-0.16588672574431385</v>
      </c>
      <c r="L357" s="8">
        <f>IF(D357&gt;0, D357/C357, 0)</f>
        <v>0.20159998034450877</v>
      </c>
      <c r="M357" s="8">
        <f>IF(D357&gt;0, E357/D357, 0)</f>
        <v>0.32639997614058003</v>
      </c>
      <c r="N357" s="8">
        <f>IF(E357&gt;0, F357/E357, 0)</f>
        <v>0.64600006376416985</v>
      </c>
      <c r="O357" s="8">
        <f>IF(F357&gt;0, G357/F357, 0)</f>
        <v>0.7643996479141969</v>
      </c>
      <c r="P357" s="8" cm="1">
        <f t="array" aca="1" ref="P357" ca="1">IF(ROW()-2&gt;1, (L357/INDIRECT("L"&amp;ROW()-1))-1, "")</f>
        <v>-0.1511578706054979</v>
      </c>
      <c r="Q357" s="8" cm="1">
        <f t="array" aca="1" ref="Q357" ca="1">IF(ROW()-2&gt;1, (M357/INDIRECT("M"&amp;ROW()-1))-1, "")</f>
        <v>-0.16734708039045543</v>
      </c>
      <c r="R357" s="8" cm="1">
        <f t="array" aca="1" ref="R357" ca="1">IF(ROW()-2&gt;1, (N357/INDIRECT("N"&amp;ROW()-1))-1, "")</f>
        <v>-6.8492858789381827E-2</v>
      </c>
      <c r="S357" s="8" cm="1">
        <f t="array" aca="1" ref="S357" ca="1">IF(ROW()-2&gt;1, (O357/INDIRECT("O"&amp;ROW()-1))-1, "")</f>
        <v>-0.11219522807440629</v>
      </c>
    </row>
    <row r="358" spans="2:19" x14ac:dyDescent="0.35">
      <c r="B358" s="3">
        <v>43821</v>
      </c>
      <c r="C358" s="4">
        <v>43094160</v>
      </c>
      <c r="D358" s="4">
        <v>9140271</v>
      </c>
      <c r="E358" s="4">
        <v>3263076</v>
      </c>
      <c r="F358" s="4">
        <v>2107947</v>
      </c>
      <c r="G358" s="4">
        <v>1677083</v>
      </c>
      <c r="H358" s="8">
        <f>IF(C358&gt;0, G358/C358, 0)</f>
        <v>3.8916711684367444E-2</v>
      </c>
      <c r="I358" s="8" cm="1">
        <f t="array" aca="1" ref="I358" ca="1">IF(ROW()-2&gt;7, (G358/INDIRECT("G"&amp;ROW()-7))-1, "")</f>
        <v>0.21029166080314066</v>
      </c>
      <c r="J358" s="8" cm="1">
        <f t="array" aca="1" ref="J358" ca="1">IF(ROW()-2&gt;7, (C358/INDIRECT("C"&amp;ROW()-7))-1, "")</f>
        <v>0</v>
      </c>
      <c r="K358" s="8" cm="1">
        <f t="array" aca="1" ref="K358" ca="1">IF(ROW()-2&gt;7, (H358/INDIRECT("H"&amp;ROW()-7))-1, "")</f>
        <v>0.21029166080314066</v>
      </c>
      <c r="L358" s="8">
        <f>IF(D358&gt;0, D358/C358, 0)</f>
        <v>0.21209999220311987</v>
      </c>
      <c r="M358" s="8">
        <f>IF(D358&gt;0, E358/D358, 0)</f>
        <v>0.35699991827375799</v>
      </c>
      <c r="N358" s="8">
        <f>IF(E358&gt;0, F358/E358, 0)</f>
        <v>0.64599997057990677</v>
      </c>
      <c r="O358" s="8">
        <f>IF(F358&gt;0, G358/F358, 0)</f>
        <v>0.79560017400817007</v>
      </c>
      <c r="P358" s="8" cm="1">
        <f t="array" aca="1" ref="P358" ca="1">IF(ROW()-2&gt;1, (L358/INDIRECT("L"&amp;ROW()-1))-1, "")</f>
        <v>5.2083397233808837E-2</v>
      </c>
      <c r="Q358" s="8" cm="1">
        <f t="array" aca="1" ref="Q358" ca="1">IF(ROW()-2&gt;1, (M358/INDIRECT("M"&amp;ROW()-1))-1, "")</f>
        <v>9.3749829564934162E-2</v>
      </c>
      <c r="R358" s="8" cm="1">
        <f t="array" aca="1" ref="R358" ca="1">IF(ROW()-2&gt;1, (N358/INDIRECT("N"&amp;ROW()-1))-1, "")</f>
        <v>-1.4424807104340687E-7</v>
      </c>
      <c r="S358" s="8" cm="1">
        <f t="array" aca="1" ref="S358" ca="1">IF(ROW()-2&gt;1, (O358/INDIRECT("O"&amp;ROW()-1))-1, "")</f>
        <v>4.0817033575446304E-2</v>
      </c>
    </row>
    <row r="359" spans="2:19" x14ac:dyDescent="0.35">
      <c r="B359" s="3">
        <v>43822</v>
      </c>
      <c r="C359" s="4">
        <v>21500167</v>
      </c>
      <c r="D359" s="4">
        <v>5106289</v>
      </c>
      <c r="E359" s="4">
        <v>1940390</v>
      </c>
      <c r="F359" s="4">
        <v>1430649</v>
      </c>
      <c r="G359" s="4">
        <v>1196595</v>
      </c>
      <c r="H359" s="8">
        <f>IF(C359&gt;0, G359/C359, 0)</f>
        <v>5.5655149097213988E-2</v>
      </c>
      <c r="I359" s="8" cm="1">
        <f t="array" aca="1" ref="I359" ca="1">IF(ROW()-2&gt;7, (G359/INDIRECT("G"&amp;ROW()-7))-1, "")</f>
        <v>-9.6867855803172809E-2</v>
      </c>
      <c r="J359" s="8" cm="1">
        <f t="array" aca="1" ref="J359" ca="1">IF(ROW()-2&gt;7, (C359/INDIRECT("C"&amp;ROW()-7))-1, "")</f>
        <v>1.0204109920066262E-2</v>
      </c>
      <c r="K359" s="8" cm="1">
        <f t="array" aca="1" ref="K359" ca="1">IF(ROW()-2&gt;7, (H359/INDIRECT("H"&amp;ROW()-7))-1, "")</f>
        <v>-0.10599042774802347</v>
      </c>
      <c r="L359" s="8">
        <f>IF(D359&gt;0, D359/C359, 0)</f>
        <v>0.23749996918628585</v>
      </c>
      <c r="M359" s="8">
        <f>IF(D359&gt;0, E359/D359, 0)</f>
        <v>0.38000003525064874</v>
      </c>
      <c r="N359" s="8">
        <f>IF(E359&gt;0, F359/E359, 0)</f>
        <v>0.73729971809790817</v>
      </c>
      <c r="O359" s="8">
        <f>IF(F359&gt;0, G359/F359, 0)</f>
        <v>0.83640012330068381</v>
      </c>
      <c r="P359" s="8" cm="1">
        <f t="array" aca="1" ref="P359" ca="1">IF(ROW()-2&gt;1, (L359/INDIRECT("L"&amp;ROW()-1))-1, "")</f>
        <v>0.11975472850956748</v>
      </c>
      <c r="Q359" s="8" cm="1">
        <f t="array" aca="1" ref="Q359" ca="1">IF(ROW()-2&gt;1, (M359/INDIRECT("M"&amp;ROW()-1))-1, "")</f>
        <v>6.4426112723234841E-2</v>
      </c>
      <c r="R359" s="8" cm="1">
        <f t="array" aca="1" ref="R359" ca="1">IF(ROW()-2&gt;1, (N359/INDIRECT("N"&amp;ROW()-1))-1, "")</f>
        <v>0.14133088494732071</v>
      </c>
      <c r="S359" s="8" cm="1">
        <f t="array" aca="1" ref="S359" ca="1">IF(ROW()-2&gt;1, (O359/INDIRECT("O"&amp;ROW()-1))-1, "")</f>
        <v>5.1281976331109647E-2</v>
      </c>
    </row>
    <row r="360" spans="2:19" x14ac:dyDescent="0.35">
      <c r="B360" s="3">
        <v>43823</v>
      </c>
      <c r="C360" s="4">
        <v>21282993</v>
      </c>
      <c r="D360" s="4">
        <v>5320748</v>
      </c>
      <c r="E360" s="4">
        <v>2107016</v>
      </c>
      <c r="F360" s="4">
        <v>1568884</v>
      </c>
      <c r="G360" s="4">
        <v>1312214</v>
      </c>
      <c r="H360" s="8">
        <f>IF(C360&gt;0, G360/C360, 0)</f>
        <v>6.1655519973154153E-2</v>
      </c>
      <c r="I360" s="8" cm="1">
        <f t="array" aca="1" ref="I360" ca="1">IF(ROW()-2&gt;7, (G360/INDIRECT("G"&amp;ROW()-7))-1, "")</f>
        <v>0.18819603848330502</v>
      </c>
      <c r="J360" s="8" cm="1">
        <f t="array" aca="1" ref="J360" ca="1">IF(ROW()-2&gt;7, (C360/INDIRECT("C"&amp;ROW()-7))-1, "")</f>
        <v>1.0309259264533743E-2</v>
      </c>
      <c r="K360" s="8" cm="1">
        <f t="array" aca="1" ref="K360" ca="1">IF(ROW()-2&gt;7, (H360/INDIRECT("H"&amp;ROW()-7))-1, "")</f>
        <v>0.17607161132846216</v>
      </c>
      <c r="L360" s="8">
        <f>IF(D360&gt;0, D360/C360, 0)</f>
        <v>0.24999998825353181</v>
      </c>
      <c r="M360" s="8">
        <f>IF(D360&gt;0, E360/D360, 0)</f>
        <v>0.39599996090775208</v>
      </c>
      <c r="N360" s="8">
        <f>IF(E360&gt;0, F360/E360, 0)</f>
        <v>0.74459994608488977</v>
      </c>
      <c r="O360" s="8">
        <f>IF(F360&gt;0, G360/F360, 0)</f>
        <v>0.83639963184021249</v>
      </c>
      <c r="P360" s="8" cm="1">
        <f t="array" aca="1" ref="P360" ca="1">IF(ROW()-2&gt;1, (L360/INDIRECT("L"&amp;ROW()-1))-1, "")</f>
        <v>5.2631666059044457E-2</v>
      </c>
      <c r="Q360" s="8" cm="1">
        <f t="array" aca="1" ref="Q360" ca="1">IF(ROW()-2&gt;1, (M360/INDIRECT("M"&amp;ROW()-1))-1, "")</f>
        <v>4.2105063612822402E-2</v>
      </c>
      <c r="R360" s="8" cm="1">
        <f t="array" aca="1" ref="R360" ca="1">IF(ROW()-2&gt;1, (N360/INDIRECT("N"&amp;ROW()-1))-1, "")</f>
        <v>9.9013031034580479E-3</v>
      </c>
      <c r="S360" s="8" cm="1">
        <f t="array" aca="1" ref="S360" ca="1">IF(ROW()-2&gt;1, (O360/INDIRECT("O"&amp;ROW()-1))-1, "")</f>
        <v>-5.8759014687215227E-7</v>
      </c>
    </row>
    <row r="361" spans="2:19" x14ac:dyDescent="0.35">
      <c r="B361" s="3">
        <v>43824</v>
      </c>
      <c r="C361" s="4">
        <v>20631473</v>
      </c>
      <c r="D361" s="4">
        <v>5261025</v>
      </c>
      <c r="E361" s="4">
        <v>2167542</v>
      </c>
      <c r="F361" s="4">
        <v>1582306</v>
      </c>
      <c r="G361" s="4">
        <v>1258566</v>
      </c>
      <c r="H361" s="8">
        <f>IF(C361&gt;0, G361/C361, 0)</f>
        <v>6.1002236728322792E-2</v>
      </c>
      <c r="I361" s="8" cm="1">
        <f t="array" aca="1" ref="I361" ca="1">IF(ROW()-2&gt;7, (G361/INDIRECT("G"&amp;ROW()-7))-1, "")</f>
        <v>-1.9849632492091485E-2</v>
      </c>
      <c r="J361" s="8" cm="1">
        <f t="array" aca="1" ref="J361" ca="1">IF(ROW()-2&gt;7, (C361/INDIRECT("C"&amp;ROW()-7))-1, "")</f>
        <v>-7.7669894666066996E-2</v>
      </c>
      <c r="K361" s="8" cm="1">
        <f t="array" aca="1" ref="K361" ca="1">IF(ROW()-2&gt;7, (H361/INDIRECT("H"&amp;ROW()-7))-1, "")</f>
        <v>6.2689336322857558E-2</v>
      </c>
      <c r="L361" s="8">
        <f>IF(D361&gt;0, D361/C361, 0)</f>
        <v>0.25499997019117343</v>
      </c>
      <c r="M361" s="8">
        <f>IF(D361&gt;0, E361/D361, 0)</f>
        <v>0.41199994297689141</v>
      </c>
      <c r="N361" s="8">
        <f>IF(E361&gt;0, F361/E361, 0)</f>
        <v>0.73000015685970565</v>
      </c>
      <c r="O361" s="8">
        <f>IF(F361&gt;0, G361/F361, 0)</f>
        <v>0.79539987840531479</v>
      </c>
      <c r="P361" s="8" cm="1">
        <f t="array" aca="1" ref="P361" ca="1">IF(ROW()-2&gt;1, (L361/INDIRECT("L"&amp;ROW()-1))-1, "")</f>
        <v>1.9999928690280555E-2</v>
      </c>
      <c r="Q361" s="8" cm="1">
        <f t="array" aca="1" ref="Q361" ca="1">IF(ROW()-2&gt;1, (M361/INDIRECT("M"&amp;ROW()-1))-1, "")</f>
        <v>4.0403999112682998E-2</v>
      </c>
      <c r="R361" s="8" cm="1">
        <f t="array" aca="1" ref="R361" ca="1">IF(ROW()-2&gt;1, (N361/INDIRECT("N"&amp;ROW()-1))-1, "")</f>
        <v>-1.9607561485801672E-2</v>
      </c>
      <c r="S361" s="8" cm="1">
        <f t="array" aca="1" ref="S361" ca="1">IF(ROW()-2&gt;1, (O361/INDIRECT("O"&amp;ROW()-1))-1, "")</f>
        <v>-4.9019334626788091E-2</v>
      </c>
    </row>
    <row r="362" spans="2:19" x14ac:dyDescent="0.35">
      <c r="B362" s="3">
        <v>43825</v>
      </c>
      <c r="C362" s="4">
        <v>20631473</v>
      </c>
      <c r="D362" s="4">
        <v>5209447</v>
      </c>
      <c r="E362" s="4">
        <v>2146292</v>
      </c>
      <c r="F362" s="4">
        <v>1645132</v>
      </c>
      <c r="G362" s="4">
        <v>1295048</v>
      </c>
      <c r="H362" s="8">
        <f>IF(C362&gt;0, G362/C362, 0)</f>
        <v>6.2770506012828076E-2</v>
      </c>
      <c r="I362" s="8" cm="1">
        <f t="array" aca="1" ref="I362" ca="1">IF(ROW()-2&gt;7, (G362/INDIRECT("G"&amp;ROW()-7))-1, "")</f>
        <v>6.9238688988570773E-2</v>
      </c>
      <c r="J362" s="8" cm="1">
        <f t="array" aca="1" ref="J362" ca="1">IF(ROW()-2&gt;7, (C362/INDIRECT("C"&amp;ROW()-7))-1, "")</f>
        <v>-2.0618565999329763E-2</v>
      </c>
      <c r="K362" s="8" cm="1">
        <f t="array" aca="1" ref="K362" ca="1">IF(ROW()-2&gt;7, (H362/INDIRECT("H"&amp;ROW()-7))-1, "")</f>
        <v>9.1748987542926042E-2</v>
      </c>
      <c r="L362" s="8">
        <f>IF(D362&gt;0, D362/C362, 0)</f>
        <v>0.25250000327170047</v>
      </c>
      <c r="M362" s="8">
        <f>IF(D362&gt;0, E362/D362, 0)</f>
        <v>0.41199996851873144</v>
      </c>
      <c r="N362" s="8">
        <f>IF(E362&gt;0, F362/E362, 0)</f>
        <v>0.76649961887758045</v>
      </c>
      <c r="O362" s="8">
        <f>IF(F362&gt;0, G362/F362, 0)</f>
        <v>0.78720005446371477</v>
      </c>
      <c r="P362" s="8" cm="1">
        <f t="array" aca="1" ref="P362" ca="1">IF(ROW()-2&gt;1, (L362/INDIRECT("L"&amp;ROW()-1))-1, "")</f>
        <v>-9.8037929871079843E-3</v>
      </c>
      <c r="Q362" s="8" cm="1">
        <f t="array" aca="1" ref="Q362" ca="1">IF(ROW()-2&gt;1, (M362/INDIRECT("M"&amp;ROW()-1))-1, "")</f>
        <v>6.1994765987449796E-8</v>
      </c>
      <c r="R362" s="8" cm="1">
        <f t="array" aca="1" ref="R362" ca="1">IF(ROW()-2&gt;1, (N362/INDIRECT("N"&amp;ROW()-1))-1, "")</f>
        <v>4.9999252294529839E-2</v>
      </c>
      <c r="S362" s="8" cm="1">
        <f t="array" aca="1" ref="S362" ca="1">IF(ROW()-2&gt;1, (O362/INDIRECT("O"&amp;ROW()-1))-1, "")</f>
        <v>-1.030905858074771E-2</v>
      </c>
    </row>
    <row r="363" spans="2:19" x14ac:dyDescent="0.35">
      <c r="B363" s="3">
        <v>43826</v>
      </c>
      <c r="C363" s="4">
        <v>22368860</v>
      </c>
      <c r="D363" s="4">
        <v>5648137</v>
      </c>
      <c r="E363" s="4">
        <v>2349625</v>
      </c>
      <c r="F363" s="4">
        <v>1629465</v>
      </c>
      <c r="G363" s="4">
        <v>1309438</v>
      </c>
      <c r="H363" s="8">
        <f>IF(C363&gt;0, G363/C363, 0)</f>
        <v>5.8538432445819771E-2</v>
      </c>
      <c r="I363" s="8" cm="1">
        <f t="array" aca="1" ref="I363" ca="1">IF(ROW()-2&gt;7, (G363/INDIRECT("G"&amp;ROW()-7))-1, "")</f>
        <v>6.335698896963593E-2</v>
      </c>
      <c r="J363" s="8" cm="1">
        <f t="array" aca="1" ref="J363" ca="1">IF(ROW()-2&gt;7, (C363/INDIRECT("C"&amp;ROW()-7))-1, "")</f>
        <v>9.80390342279569E-3</v>
      </c>
      <c r="K363" s="8" cm="1">
        <f t="array" aca="1" ref="K363" ca="1">IF(ROW()-2&gt;7, (H363/INDIRECT("H"&amp;ROW()-7))-1, "")</f>
        <v>5.3033153630440921E-2</v>
      </c>
      <c r="L363" s="8">
        <f>IF(D363&gt;0, D363/C363, 0)</f>
        <v>0.25249999329424921</v>
      </c>
      <c r="M363" s="8">
        <f>IF(D363&gt;0, E363/D363, 0)</f>
        <v>0.41600000141639626</v>
      </c>
      <c r="N363" s="8">
        <f>IF(E363&gt;0, F363/E363, 0)</f>
        <v>0.69350002659998933</v>
      </c>
      <c r="O363" s="8">
        <f>IF(F363&gt;0, G363/F363, 0)</f>
        <v>0.80359995458632127</v>
      </c>
      <c r="P363" s="8" cm="1">
        <f t="array" aca="1" ref="P363" ca="1">IF(ROW()-2&gt;1, (L363/INDIRECT("L"&amp;ROW()-1))-1, "")</f>
        <v>-3.9514657879102799E-8</v>
      </c>
      <c r="Q363" s="8" cm="1">
        <f t="array" aca="1" ref="Q363" ca="1">IF(ROW()-2&gt;1, (M363/INDIRECT("M"&amp;ROW()-1))-1, "")</f>
        <v>9.7088184546376688E-3</v>
      </c>
      <c r="R363" s="8" cm="1">
        <f t="array" aca="1" ref="R363" ca="1">IF(ROW()-2&gt;1, (N363/INDIRECT("N"&amp;ROW()-1))-1, "")</f>
        <v>-9.5237610665074635E-2</v>
      </c>
      <c r="S363" s="8" cm="1">
        <f t="array" aca="1" ref="S363" ca="1">IF(ROW()-2&gt;1, (O363/INDIRECT("O"&amp;ROW()-1))-1, "")</f>
        <v>2.083320501518382E-2</v>
      </c>
    </row>
    <row r="364" spans="2:19" x14ac:dyDescent="0.35">
      <c r="B364" s="3">
        <v>43827</v>
      </c>
      <c r="C364" s="4">
        <v>45338648</v>
      </c>
      <c r="D364" s="4">
        <v>9521116</v>
      </c>
      <c r="E364" s="4">
        <v>3269551</v>
      </c>
      <c r="F364" s="4">
        <v>2201061</v>
      </c>
      <c r="G364" s="4">
        <v>1768333</v>
      </c>
      <c r="H364" s="8">
        <f>IF(C364&gt;0, G364/C364, 0)</f>
        <v>3.9002773086661079E-2</v>
      </c>
      <c r="I364" s="8" cm="1">
        <f t="array" aca="1" ref="I364" ca="1">IF(ROW()-2&gt;7, (G364/INDIRECT("G"&amp;ROW()-7))-1, "")</f>
        <v>0.17702582712427128</v>
      </c>
      <c r="J364" s="8" cm="1">
        <f t="array" aca="1" ref="J364" ca="1">IF(ROW()-2&gt;7, (C364/INDIRECT("C"&amp;ROW()-7))-1, "")</f>
        <v>-1.9417475518175187E-2</v>
      </c>
      <c r="K364" s="8" cm="1">
        <f t="array" aca="1" ref="K364" ca="1">IF(ROW()-2&gt;7, (H364/INDIRECT("H"&amp;ROW()-7))-1, "")</f>
        <v>0.2003332689885069</v>
      </c>
      <c r="L364" s="8">
        <f>IF(D364&gt;0, D364/C364, 0)</f>
        <v>0.20999999823550097</v>
      </c>
      <c r="M364" s="8">
        <f>IF(D364&gt;0, E364/D364, 0)</f>
        <v>0.34339997538103728</v>
      </c>
      <c r="N364" s="8">
        <f>IF(E364&gt;0, F364/E364, 0)</f>
        <v>0.6731997757490249</v>
      </c>
      <c r="O364" s="8">
        <f>IF(F364&gt;0, G364/F364, 0)</f>
        <v>0.80340026923379226</v>
      </c>
      <c r="P364" s="8" cm="1">
        <f t="array" aca="1" ref="P364" ca="1">IF(ROW()-2&gt;1, (L364/INDIRECT("L"&amp;ROW()-1))-1, "")</f>
        <v>-0.16831681658391628</v>
      </c>
      <c r="Q364" s="8" cm="1">
        <f t="array" aca="1" ref="Q364" ca="1">IF(ROW()-2&gt;1, (M364/INDIRECT("M"&amp;ROW()-1))-1, "")</f>
        <v>-0.1745192927600252</v>
      </c>
      <c r="R364" s="8" cm="1">
        <f t="array" aca="1" ref="R364" ca="1">IF(ROW()-2&gt;1, (N364/INDIRECT("N"&amp;ROW()-1))-1, "")</f>
        <v>-2.9272170255695729E-2</v>
      </c>
      <c r="S364" s="8" cm="1">
        <f t="array" aca="1" ref="S364" ca="1">IF(ROW()-2&gt;1, (O364/INDIRECT("O"&amp;ROW()-1))-1, "")</f>
        <v>-2.4848850648806486E-4</v>
      </c>
    </row>
    <row r="365" spans="2:19" x14ac:dyDescent="0.35">
      <c r="B365" s="3">
        <v>43828</v>
      </c>
      <c r="C365" s="4">
        <v>43543058</v>
      </c>
      <c r="D365" s="4">
        <v>8778280</v>
      </c>
      <c r="E365" s="4">
        <v>3133846</v>
      </c>
      <c r="F365" s="4">
        <v>2109705</v>
      </c>
      <c r="G365" s="4">
        <v>1596202</v>
      </c>
      <c r="H365" s="8">
        <f>IF(C365&gt;0, G365/C365, 0)</f>
        <v>3.6658013316382146E-2</v>
      </c>
      <c r="I365" s="8" cm="1">
        <f t="array" aca="1" ref="I365" ca="1">IF(ROW()-2&gt;7, (G365/INDIRECT("G"&amp;ROW()-7))-1, "")</f>
        <v>-4.8227189709752039E-2</v>
      </c>
      <c r="J365" s="8" cm="1">
        <f t="array" aca="1" ref="J365" ca="1">IF(ROW()-2&gt;7, (C365/INDIRECT("C"&amp;ROW()-7))-1, "")</f>
        <v>1.0416678269166812E-2</v>
      </c>
      <c r="K365" s="8" cm="1">
        <f t="array" aca="1" ref="K365" ca="1">IF(ROW()-2&gt;7, (H365/INDIRECT("H"&amp;ROW()-7))-1, "")</f>
        <v>-5.8039291353914724E-2</v>
      </c>
      <c r="L365" s="8">
        <f>IF(D365&gt;0, D365/C365, 0)</f>
        <v>0.2015999886824669</v>
      </c>
      <c r="M365" s="8">
        <f>IF(D365&gt;0, E365/D365, 0)</f>
        <v>0.35700000455670133</v>
      </c>
      <c r="N365" s="8">
        <f>IF(E365&gt;0, F365/E365, 0)</f>
        <v>0.67319995941089639</v>
      </c>
      <c r="O365" s="8">
        <f>IF(F365&gt;0, G365/F365, 0)</f>
        <v>0.75659961937806475</v>
      </c>
      <c r="P365" s="8" cm="1">
        <f t="array" aca="1" ref="P365" ca="1">IF(ROW()-2&gt;1, (L365/INDIRECT("L"&amp;ROW()-1))-1, "")</f>
        <v>-4.0000045826733888E-2</v>
      </c>
      <c r="Q365" s="8" cm="1">
        <f t="array" aca="1" ref="Q365" ca="1">IF(ROW()-2&gt;1, (M365/INDIRECT("M"&amp;ROW()-1))-1, "")</f>
        <v>3.9604048196489883E-2</v>
      </c>
      <c r="R365" s="8" cm="1">
        <f t="array" aca="1" ref="R365" ca="1">IF(ROW()-2&gt;1, (N365/INDIRECT("N"&amp;ROW()-1))-1, "")</f>
        <v>2.7281927006406193E-7</v>
      </c>
      <c r="S365" s="8" cm="1">
        <f t="array" aca="1" ref="S365" ca="1">IF(ROW()-2&gt;1, (O365/INDIRECT("O"&amp;ROW()-1))-1, "")</f>
        <v>-5.8253216544676523E-2</v>
      </c>
    </row>
    <row r="366" spans="2:19" x14ac:dyDescent="0.35">
      <c r="B366" s="3">
        <v>43829</v>
      </c>
      <c r="C366" s="4">
        <v>22151687</v>
      </c>
      <c r="D366" s="4">
        <v>5316404</v>
      </c>
      <c r="E366" s="4">
        <v>2041499</v>
      </c>
      <c r="F366" s="4">
        <v>1415779</v>
      </c>
      <c r="G366" s="4">
        <v>1172548</v>
      </c>
      <c r="H366" s="8">
        <f>IF(C366&gt;0, G366/C366, 0)</f>
        <v>5.2932672802753128E-2</v>
      </c>
      <c r="I366" s="8" cm="1">
        <f t="array" aca="1" ref="I366" ca="1">IF(ROW()-2&gt;7, (G366/INDIRECT("G"&amp;ROW()-7))-1, "")</f>
        <v>-2.0096189604669967E-2</v>
      </c>
      <c r="J366" s="8" cm="1">
        <f t="array" aca="1" ref="J366" ca="1">IF(ROW()-2&gt;7, (C366/INDIRECT("C"&amp;ROW()-7))-1, "")</f>
        <v>3.0303020437004058E-2</v>
      </c>
      <c r="K366" s="8" cm="1">
        <f t="array" aca="1" ref="K366" ca="1">IF(ROW()-2&gt;7, (H366/INDIRECT("H"&amp;ROW()-7))-1, "")</f>
        <v>-4.8916880802986507E-2</v>
      </c>
      <c r="L366" s="8">
        <f>IF(D366&gt;0, D366/C366, 0)</f>
        <v>0.23999996027390599</v>
      </c>
      <c r="M366" s="8">
        <f>IF(D366&gt;0, E366/D366, 0)</f>
        <v>0.38399997441879885</v>
      </c>
      <c r="N366" s="8">
        <f>IF(E366&gt;0, F366/E366, 0)</f>
        <v>0.69349972740618537</v>
      </c>
      <c r="O366" s="8">
        <f>IF(F366&gt;0, G366/F366, 0)</f>
        <v>0.82819988147867707</v>
      </c>
      <c r="P366" s="8" cm="1">
        <f t="array" aca="1" ref="P366" ca="1">IF(ROW()-2&gt;1, (L366/INDIRECT("L"&amp;ROW()-1))-1, "")</f>
        <v>0.19047606025376096</v>
      </c>
      <c r="Q366" s="8" cm="1">
        <f t="array" aca="1" ref="Q366" ca="1">IF(ROW()-2&gt;1, (M366/INDIRECT("M"&amp;ROW()-1))-1, "")</f>
        <v>7.5630166715611846E-2</v>
      </c>
      <c r="R366" s="8" cm="1">
        <f t="array" aca="1" ref="R366" ca="1">IF(ROW()-2&gt;1, (N366/INDIRECT("N"&amp;ROW()-1))-1, "")</f>
        <v>3.0154143225220809E-2</v>
      </c>
      <c r="S366" s="8" cm="1">
        <f t="array" aca="1" ref="S366" ca="1">IF(ROW()-2&gt;1, (O366/INDIRECT("O"&amp;ROW()-1))-1, "")</f>
        <v>9.4634282474882481E-2</v>
      </c>
    </row>
    <row r="367" spans="2:19" x14ac:dyDescent="0.35">
      <c r="B367" s="3">
        <v>43830</v>
      </c>
      <c r="C367" s="4">
        <v>21934513</v>
      </c>
      <c r="D367" s="4">
        <v>5319119</v>
      </c>
      <c r="E367" s="4">
        <v>2106371</v>
      </c>
      <c r="F367" s="4">
        <v>1491521</v>
      </c>
      <c r="G367" s="4">
        <v>1284200</v>
      </c>
      <c r="H367" s="8">
        <f>IF(C367&gt;0, G367/C367, 0)</f>
        <v>5.854700307228157E-2</v>
      </c>
      <c r="I367" s="8" cm="1">
        <f t="array" aca="1" ref="I367" ca="1">IF(ROW()-2&gt;7, (G367/INDIRECT("G"&amp;ROW()-7))-1, "")</f>
        <v>-2.1348651972925126E-2</v>
      </c>
      <c r="J367" s="8" cm="1">
        <f t="array" aca="1" ref="J367" ca="1">IF(ROW()-2&gt;7, (C367/INDIRECT("C"&amp;ROW()-7))-1, "")</f>
        <v>3.061223578845329E-2</v>
      </c>
      <c r="K367" s="8" cm="1">
        <f t="array" aca="1" ref="K367" ca="1">IF(ROW()-2&gt;7, (H367/INDIRECT("H"&amp;ROW()-7))-1, "")</f>
        <v>-5.0417495501231424E-2</v>
      </c>
      <c r="L367" s="8">
        <f>IF(D367&gt;0, D367/C367, 0)</f>
        <v>0.24249998164992312</v>
      </c>
      <c r="M367" s="8">
        <f>IF(D367&gt;0, E367/D367, 0)</f>
        <v>0.39599997668786879</v>
      </c>
      <c r="N367" s="8">
        <f>IF(E367&gt;0, F367/E367, 0)</f>
        <v>0.70809985515372176</v>
      </c>
      <c r="O367" s="8">
        <f>IF(F367&gt;0, G367/F367, 0)</f>
        <v>0.86100028092128778</v>
      </c>
      <c r="P367" s="8" cm="1">
        <f t="array" aca="1" ref="P367" ca="1">IF(ROW()-2&gt;1, (L367/INDIRECT("L"&amp;ROW()-1))-1, "")</f>
        <v>1.0416757457642589E-2</v>
      </c>
      <c r="Q367" s="8" cm="1">
        <f t="array" aca="1" ref="Q367" ca="1">IF(ROW()-2&gt;1, (M367/INDIRECT("M"&amp;ROW()-1))-1, "")</f>
        <v>3.1250007990840212E-2</v>
      </c>
      <c r="R367" s="8" cm="1">
        <f t="array" aca="1" ref="R367" ca="1">IF(ROW()-2&gt;1, (N367/INDIRECT("N"&amp;ROW()-1))-1, "")</f>
        <v>2.1052824061147835E-2</v>
      </c>
      <c r="S367" s="8" cm="1">
        <f t="array" aca="1" ref="S367" ca="1">IF(ROW()-2&gt;1, (O367/INDIRECT("O"&amp;ROW()-1))-1, "")</f>
        <v>3.9604448365832212E-2</v>
      </c>
    </row>
    <row r="368" spans="2:19" x14ac:dyDescent="0.35">
      <c r="B368" s="3">
        <v>43831</v>
      </c>
      <c r="C368" s="4">
        <v>21717340</v>
      </c>
      <c r="D368" s="4">
        <v>5375041</v>
      </c>
      <c r="E368" s="4">
        <v>2042515</v>
      </c>
      <c r="F368" s="4">
        <v>1520857</v>
      </c>
      <c r="G368" s="4">
        <v>1284516</v>
      </c>
      <c r="H368" s="8">
        <f>IF(C368&gt;0, G368/C368, 0)</f>
        <v>5.914702260958294E-2</v>
      </c>
      <c r="I368" s="8" cm="1">
        <f t="array" aca="1" ref="I368" ca="1">IF(ROW()-2&gt;7, (G368/INDIRECT("G"&amp;ROW()-7))-1, "")</f>
        <v>2.0618704144240274E-2</v>
      </c>
      <c r="J368" s="8" cm="1">
        <f t="array" aca="1" ref="J368" ca="1">IF(ROW()-2&gt;7, (C368/INDIRECT("C"&amp;ROW()-7))-1, "")</f>
        <v>5.2631578947368363E-2</v>
      </c>
      <c r="K368" s="8" cm="1">
        <f t="array" aca="1" ref="K368" ca="1">IF(ROW()-2&gt;7, (H368/INDIRECT("H"&amp;ROW()-7))-1, "")</f>
        <v>-3.0412231062971751E-2</v>
      </c>
      <c r="L368" s="8">
        <f>IF(D368&gt;0, D368/C368, 0)</f>
        <v>0.24749997006999935</v>
      </c>
      <c r="M368" s="8">
        <f>IF(D368&gt;0, E368/D368, 0)</f>
        <v>0.37999989209384638</v>
      </c>
      <c r="N368" s="8">
        <f>IF(E368&gt;0, F368/E368, 0)</f>
        <v>0.74460016205511348</v>
      </c>
      <c r="O368" s="8">
        <f>IF(F368&gt;0, G368/F368, 0)</f>
        <v>0.84460011690776982</v>
      </c>
      <c r="P368" s="8" cm="1">
        <f t="array" aca="1" ref="P368" ca="1">IF(ROW()-2&gt;1, (L368/INDIRECT("L"&amp;ROW()-1))-1, "")</f>
        <v>2.0618510508979337E-2</v>
      </c>
      <c r="Q368" s="8" cm="1">
        <f t="array" aca="1" ref="Q368" ca="1">IF(ROW()-2&gt;1, (M368/INDIRECT("M"&amp;ROW()-1))-1, "")</f>
        <v>-4.0404256403868022E-2</v>
      </c>
      <c r="R368" s="8" cm="1">
        <f t="array" aca="1" ref="R368" ca="1">IF(ROW()-2&gt;1, (N368/INDIRECT("N"&amp;ROW()-1))-1, "")</f>
        <v>5.1546835712129591E-2</v>
      </c>
      <c r="S368" s="8" cm="1">
        <f t="array" aca="1" ref="S368" ca="1">IF(ROW()-2&gt;1, (O368/INDIRECT("O"&amp;ROW()-1))-1, "")</f>
        <v>-1.9047803324720669E-2</v>
      </c>
    </row>
    <row r="373" spans="2:2" x14ac:dyDescent="0.35">
      <c r="B373" s="6" t="s">
        <v>0</v>
      </c>
    </row>
    <row r="374" spans="2:2" x14ac:dyDescent="0.35">
      <c r="B374" s="3">
        <v>43466</v>
      </c>
    </row>
    <row r="375" spans="2:2" x14ac:dyDescent="0.35">
      <c r="B375" s="3">
        <v>43467</v>
      </c>
    </row>
    <row r="376" spans="2:2" x14ac:dyDescent="0.35">
      <c r="B376" s="3">
        <v>43468</v>
      </c>
    </row>
    <row r="377" spans="2:2" x14ac:dyDescent="0.35">
      <c r="B377" s="3">
        <v>43469</v>
      </c>
    </row>
    <row r="378" spans="2:2" x14ac:dyDescent="0.35">
      <c r="B378" s="3">
        <v>43470</v>
      </c>
    </row>
    <row r="379" spans="2:2" x14ac:dyDescent="0.35">
      <c r="B379" s="3">
        <v>43471</v>
      </c>
    </row>
    <row r="380" spans="2:2" x14ac:dyDescent="0.35">
      <c r="B380" s="3">
        <v>43472</v>
      </c>
    </row>
    <row r="381" spans="2:2" x14ac:dyDescent="0.35">
      <c r="B381" s="3">
        <v>43473</v>
      </c>
    </row>
    <row r="382" spans="2:2" x14ac:dyDescent="0.35">
      <c r="B382" s="3">
        <v>43474</v>
      </c>
    </row>
    <row r="383" spans="2:2" x14ac:dyDescent="0.35">
      <c r="B383" s="3">
        <v>43475</v>
      </c>
    </row>
    <row r="384" spans="2:2" x14ac:dyDescent="0.35">
      <c r="B384" s="3">
        <v>43476</v>
      </c>
    </row>
    <row r="385" spans="2:2" x14ac:dyDescent="0.35">
      <c r="B385" s="3">
        <v>43477</v>
      </c>
    </row>
    <row r="386" spans="2:2" x14ac:dyDescent="0.35">
      <c r="B386" s="3">
        <v>43478</v>
      </c>
    </row>
    <row r="387" spans="2:2" x14ac:dyDescent="0.35">
      <c r="B387" s="3">
        <v>43479</v>
      </c>
    </row>
    <row r="388" spans="2:2" x14ac:dyDescent="0.35">
      <c r="B388" s="3">
        <v>43480</v>
      </c>
    </row>
    <row r="389" spans="2:2" x14ac:dyDescent="0.35">
      <c r="B389" s="3">
        <v>43481</v>
      </c>
    </row>
    <row r="390" spans="2:2" x14ac:dyDescent="0.35">
      <c r="B390" s="3">
        <v>43482</v>
      </c>
    </row>
    <row r="391" spans="2:2" x14ac:dyDescent="0.35">
      <c r="B391" s="3">
        <v>43483</v>
      </c>
    </row>
    <row r="392" spans="2:2" x14ac:dyDescent="0.35">
      <c r="B392" s="3">
        <v>43484</v>
      </c>
    </row>
    <row r="393" spans="2:2" x14ac:dyDescent="0.35">
      <c r="B393" s="3">
        <v>43485</v>
      </c>
    </row>
    <row r="394" spans="2:2" x14ac:dyDescent="0.35">
      <c r="B394" s="3">
        <v>43486</v>
      </c>
    </row>
    <row r="395" spans="2:2" x14ac:dyDescent="0.35">
      <c r="B395" s="3">
        <v>43487</v>
      </c>
    </row>
    <row r="396" spans="2:2" x14ac:dyDescent="0.35">
      <c r="B396" s="3">
        <v>43488</v>
      </c>
    </row>
    <row r="397" spans="2:2" x14ac:dyDescent="0.35">
      <c r="B397" s="3">
        <v>43489</v>
      </c>
    </row>
    <row r="398" spans="2:2" x14ac:dyDescent="0.35">
      <c r="B398" s="3">
        <v>43490</v>
      </c>
    </row>
    <row r="399" spans="2:2" x14ac:dyDescent="0.35">
      <c r="B399" s="3">
        <v>43491</v>
      </c>
    </row>
    <row r="400" spans="2:2" x14ac:dyDescent="0.35">
      <c r="B400" s="3">
        <v>43492</v>
      </c>
    </row>
    <row r="401" spans="2:2" x14ac:dyDescent="0.35">
      <c r="B401" s="3">
        <v>43493</v>
      </c>
    </row>
    <row r="402" spans="2:2" x14ac:dyDescent="0.35">
      <c r="B402" s="3">
        <v>43494</v>
      </c>
    </row>
    <row r="403" spans="2:2" x14ac:dyDescent="0.35">
      <c r="B403" s="3">
        <v>43495</v>
      </c>
    </row>
    <row r="404" spans="2:2" x14ac:dyDescent="0.35">
      <c r="B404" s="3">
        <v>43496</v>
      </c>
    </row>
    <row r="405" spans="2:2" x14ac:dyDescent="0.35">
      <c r="B405" s="3">
        <v>43497</v>
      </c>
    </row>
    <row r="406" spans="2:2" x14ac:dyDescent="0.35">
      <c r="B406" s="3">
        <v>43498</v>
      </c>
    </row>
    <row r="407" spans="2:2" x14ac:dyDescent="0.35">
      <c r="B407" s="3">
        <v>43499</v>
      </c>
    </row>
    <row r="408" spans="2:2" x14ac:dyDescent="0.35">
      <c r="B408" s="3">
        <v>43500</v>
      </c>
    </row>
    <row r="409" spans="2:2" x14ac:dyDescent="0.35">
      <c r="B409" s="3">
        <v>43501</v>
      </c>
    </row>
    <row r="410" spans="2:2" x14ac:dyDescent="0.35">
      <c r="B410" s="3">
        <v>43502</v>
      </c>
    </row>
    <row r="411" spans="2:2" x14ac:dyDescent="0.35">
      <c r="B411" s="3">
        <v>43503</v>
      </c>
    </row>
    <row r="412" spans="2:2" x14ac:dyDescent="0.35">
      <c r="B412" s="3">
        <v>43504</v>
      </c>
    </row>
    <row r="413" spans="2:2" x14ac:dyDescent="0.35">
      <c r="B413" s="3">
        <v>43505</v>
      </c>
    </row>
    <row r="414" spans="2:2" x14ac:dyDescent="0.35">
      <c r="B414" s="3">
        <v>43506</v>
      </c>
    </row>
    <row r="415" spans="2:2" x14ac:dyDescent="0.35">
      <c r="B415" s="3">
        <v>43507</v>
      </c>
    </row>
    <row r="416" spans="2:2" x14ac:dyDescent="0.35">
      <c r="B416" s="3">
        <v>43508</v>
      </c>
    </row>
    <row r="417" spans="2:2" x14ac:dyDescent="0.35">
      <c r="B417" s="3">
        <v>43509</v>
      </c>
    </row>
    <row r="418" spans="2:2" x14ac:dyDescent="0.35">
      <c r="B418" s="3">
        <v>43510</v>
      </c>
    </row>
    <row r="419" spans="2:2" x14ac:dyDescent="0.35">
      <c r="B419" s="3">
        <v>43511</v>
      </c>
    </row>
    <row r="420" spans="2:2" x14ac:dyDescent="0.35">
      <c r="B420" s="3">
        <v>43512</v>
      </c>
    </row>
    <row r="421" spans="2:2" x14ac:dyDescent="0.35">
      <c r="B421" s="3">
        <v>43513</v>
      </c>
    </row>
    <row r="422" spans="2:2" x14ac:dyDescent="0.35">
      <c r="B422" s="3">
        <v>43514</v>
      </c>
    </row>
    <row r="423" spans="2:2" x14ac:dyDescent="0.35">
      <c r="B423" s="3">
        <v>43515</v>
      </c>
    </row>
    <row r="424" spans="2:2" x14ac:dyDescent="0.35">
      <c r="B424" s="3">
        <v>43516</v>
      </c>
    </row>
    <row r="425" spans="2:2" x14ac:dyDescent="0.35">
      <c r="B425" s="3">
        <v>43517</v>
      </c>
    </row>
    <row r="426" spans="2:2" x14ac:dyDescent="0.35">
      <c r="B426" s="3">
        <v>43518</v>
      </c>
    </row>
    <row r="427" spans="2:2" x14ac:dyDescent="0.35">
      <c r="B427" s="3">
        <v>43519</v>
      </c>
    </row>
    <row r="428" spans="2:2" x14ac:dyDescent="0.35">
      <c r="B428" s="3">
        <v>43520</v>
      </c>
    </row>
    <row r="429" spans="2:2" x14ac:dyDescent="0.35">
      <c r="B429" s="3">
        <v>43521</v>
      </c>
    </row>
    <row r="430" spans="2:2" x14ac:dyDescent="0.35">
      <c r="B430" s="3">
        <v>43522</v>
      </c>
    </row>
    <row r="431" spans="2:2" x14ac:dyDescent="0.35">
      <c r="B431" s="3">
        <v>43523</v>
      </c>
    </row>
    <row r="432" spans="2:2" x14ac:dyDescent="0.35">
      <c r="B432" s="3">
        <v>43524</v>
      </c>
    </row>
    <row r="433" spans="2:2" x14ac:dyDescent="0.35">
      <c r="B433" s="3">
        <v>43525</v>
      </c>
    </row>
    <row r="434" spans="2:2" x14ac:dyDescent="0.35">
      <c r="B434" s="3">
        <v>43526</v>
      </c>
    </row>
    <row r="435" spans="2:2" x14ac:dyDescent="0.35">
      <c r="B435" s="3">
        <v>43527</v>
      </c>
    </row>
    <row r="436" spans="2:2" x14ac:dyDescent="0.35">
      <c r="B436" s="3">
        <v>43528</v>
      </c>
    </row>
    <row r="437" spans="2:2" x14ac:dyDescent="0.35">
      <c r="B437" s="3">
        <v>43529</v>
      </c>
    </row>
    <row r="438" spans="2:2" x14ac:dyDescent="0.35">
      <c r="B438" s="3">
        <v>43530</v>
      </c>
    </row>
    <row r="439" spans="2:2" x14ac:dyDescent="0.35">
      <c r="B439" s="3">
        <v>43531</v>
      </c>
    </row>
    <row r="440" spans="2:2" x14ac:dyDescent="0.35">
      <c r="B440" s="3">
        <v>43532</v>
      </c>
    </row>
    <row r="441" spans="2:2" x14ac:dyDescent="0.35">
      <c r="B441" s="3">
        <v>43533</v>
      </c>
    </row>
    <row r="442" spans="2:2" x14ac:dyDescent="0.35">
      <c r="B442" s="3">
        <v>43534</v>
      </c>
    </row>
    <row r="443" spans="2:2" x14ac:dyDescent="0.35">
      <c r="B443" s="3">
        <v>43535</v>
      </c>
    </row>
    <row r="444" spans="2:2" x14ac:dyDescent="0.35">
      <c r="B444" s="3">
        <v>43536</v>
      </c>
    </row>
    <row r="445" spans="2:2" x14ac:dyDescent="0.35">
      <c r="B445" s="3">
        <v>43537</v>
      </c>
    </row>
    <row r="446" spans="2:2" x14ac:dyDescent="0.35">
      <c r="B446" s="3">
        <v>43538</v>
      </c>
    </row>
    <row r="447" spans="2:2" x14ac:dyDescent="0.35">
      <c r="B447" s="3">
        <v>43539</v>
      </c>
    </row>
    <row r="448" spans="2:2" x14ac:dyDescent="0.35">
      <c r="B448" s="3">
        <v>43540</v>
      </c>
    </row>
    <row r="449" spans="2:2" x14ac:dyDescent="0.35">
      <c r="B449" s="3">
        <v>43541</v>
      </c>
    </row>
    <row r="450" spans="2:2" x14ac:dyDescent="0.35">
      <c r="B450" s="3">
        <v>43542</v>
      </c>
    </row>
    <row r="451" spans="2:2" x14ac:dyDescent="0.35">
      <c r="B451" s="3">
        <v>43543</v>
      </c>
    </row>
    <row r="452" spans="2:2" x14ac:dyDescent="0.35">
      <c r="B452" s="3">
        <v>43544</v>
      </c>
    </row>
    <row r="453" spans="2:2" x14ac:dyDescent="0.35">
      <c r="B453" s="3">
        <v>43545</v>
      </c>
    </row>
    <row r="454" spans="2:2" x14ac:dyDescent="0.35">
      <c r="B454" s="3">
        <v>43546</v>
      </c>
    </row>
    <row r="455" spans="2:2" x14ac:dyDescent="0.35">
      <c r="B455" s="3">
        <v>43547</v>
      </c>
    </row>
    <row r="456" spans="2:2" x14ac:dyDescent="0.35">
      <c r="B456" s="3">
        <v>43548</v>
      </c>
    </row>
    <row r="457" spans="2:2" x14ac:dyDescent="0.35">
      <c r="B457" s="3">
        <v>43549</v>
      </c>
    </row>
    <row r="458" spans="2:2" x14ac:dyDescent="0.35">
      <c r="B458" s="3">
        <v>43550</v>
      </c>
    </row>
    <row r="459" spans="2:2" x14ac:dyDescent="0.35">
      <c r="B459" s="3">
        <v>43551</v>
      </c>
    </row>
    <row r="460" spans="2:2" x14ac:dyDescent="0.35">
      <c r="B460" s="3">
        <v>43552</v>
      </c>
    </row>
    <row r="461" spans="2:2" x14ac:dyDescent="0.35">
      <c r="B461" s="3">
        <v>43553</v>
      </c>
    </row>
    <row r="462" spans="2:2" x14ac:dyDescent="0.35">
      <c r="B462" s="3">
        <v>43554</v>
      </c>
    </row>
    <row r="463" spans="2:2" x14ac:dyDescent="0.35">
      <c r="B463" s="3">
        <v>43555</v>
      </c>
    </row>
    <row r="464" spans="2:2" x14ac:dyDescent="0.35">
      <c r="B464" s="3">
        <v>43556</v>
      </c>
    </row>
    <row r="465" spans="2:2" x14ac:dyDescent="0.35">
      <c r="B465" s="3">
        <v>43557</v>
      </c>
    </row>
    <row r="466" spans="2:2" x14ac:dyDescent="0.35">
      <c r="B466" s="3">
        <v>43558</v>
      </c>
    </row>
    <row r="467" spans="2:2" x14ac:dyDescent="0.35">
      <c r="B467" s="3">
        <v>43559</v>
      </c>
    </row>
    <row r="468" spans="2:2" x14ac:dyDescent="0.35">
      <c r="B468" s="3">
        <v>43560</v>
      </c>
    </row>
    <row r="469" spans="2:2" x14ac:dyDescent="0.35">
      <c r="B469" s="3">
        <v>43561</v>
      </c>
    </row>
    <row r="470" spans="2:2" x14ac:dyDescent="0.35">
      <c r="B470" s="3">
        <v>43562</v>
      </c>
    </row>
    <row r="471" spans="2:2" x14ac:dyDescent="0.35">
      <c r="B471" s="3">
        <v>43563</v>
      </c>
    </row>
    <row r="472" spans="2:2" x14ac:dyDescent="0.35">
      <c r="B472" s="3">
        <v>43564</v>
      </c>
    </row>
    <row r="473" spans="2:2" x14ac:dyDescent="0.35">
      <c r="B473" s="3">
        <v>43565</v>
      </c>
    </row>
    <row r="474" spans="2:2" x14ac:dyDescent="0.35">
      <c r="B474" s="3">
        <v>43566</v>
      </c>
    </row>
    <row r="475" spans="2:2" x14ac:dyDescent="0.35">
      <c r="B475" s="3">
        <v>43567</v>
      </c>
    </row>
    <row r="476" spans="2:2" x14ac:dyDescent="0.35">
      <c r="B476" s="3">
        <v>43568</v>
      </c>
    </row>
    <row r="477" spans="2:2" x14ac:dyDescent="0.35">
      <c r="B477" s="3">
        <v>43569</v>
      </c>
    </row>
    <row r="478" spans="2:2" x14ac:dyDescent="0.35">
      <c r="B478" s="3">
        <v>43570</v>
      </c>
    </row>
    <row r="479" spans="2:2" x14ac:dyDescent="0.35">
      <c r="B479" s="3">
        <v>43571</v>
      </c>
    </row>
    <row r="480" spans="2:2" x14ac:dyDescent="0.35">
      <c r="B480" s="3">
        <v>43572</v>
      </c>
    </row>
    <row r="481" spans="2:2" x14ac:dyDescent="0.35">
      <c r="B481" s="3">
        <v>43573</v>
      </c>
    </row>
    <row r="482" spans="2:2" x14ac:dyDescent="0.35">
      <c r="B482" s="3">
        <v>43574</v>
      </c>
    </row>
    <row r="483" spans="2:2" x14ac:dyDescent="0.35">
      <c r="B483" s="3">
        <v>43575</v>
      </c>
    </row>
    <row r="484" spans="2:2" x14ac:dyDescent="0.35">
      <c r="B484" s="3">
        <v>43576</v>
      </c>
    </row>
    <row r="485" spans="2:2" x14ac:dyDescent="0.35">
      <c r="B485" s="3">
        <v>43577</v>
      </c>
    </row>
    <row r="486" spans="2:2" x14ac:dyDescent="0.35">
      <c r="B486" s="3">
        <v>43578</v>
      </c>
    </row>
    <row r="487" spans="2:2" x14ac:dyDescent="0.35">
      <c r="B487" s="3">
        <v>43579</v>
      </c>
    </row>
    <row r="488" spans="2:2" x14ac:dyDescent="0.35">
      <c r="B488" s="3">
        <v>43580</v>
      </c>
    </row>
    <row r="489" spans="2:2" x14ac:dyDescent="0.35">
      <c r="B489" s="3">
        <v>43581</v>
      </c>
    </row>
    <row r="490" spans="2:2" x14ac:dyDescent="0.35">
      <c r="B490" s="3">
        <v>43582</v>
      </c>
    </row>
    <row r="491" spans="2:2" x14ac:dyDescent="0.35">
      <c r="B491" s="3">
        <v>43583</v>
      </c>
    </row>
    <row r="492" spans="2:2" x14ac:dyDescent="0.35">
      <c r="B492" s="3">
        <v>43584</v>
      </c>
    </row>
    <row r="493" spans="2:2" x14ac:dyDescent="0.35">
      <c r="B493" s="3">
        <v>43585</v>
      </c>
    </row>
    <row r="494" spans="2:2" x14ac:dyDescent="0.35">
      <c r="B494" s="3">
        <v>43586</v>
      </c>
    </row>
    <row r="495" spans="2:2" x14ac:dyDescent="0.35">
      <c r="B495" s="3">
        <v>43587</v>
      </c>
    </row>
    <row r="496" spans="2:2" x14ac:dyDescent="0.35">
      <c r="B496" s="3">
        <v>43588</v>
      </c>
    </row>
    <row r="497" spans="2:2" x14ac:dyDescent="0.35">
      <c r="B497" s="3">
        <v>43589</v>
      </c>
    </row>
    <row r="498" spans="2:2" x14ac:dyDescent="0.35">
      <c r="B498" s="3">
        <v>43590</v>
      </c>
    </row>
    <row r="499" spans="2:2" x14ac:dyDescent="0.35">
      <c r="B499" s="3">
        <v>43591</v>
      </c>
    </row>
    <row r="500" spans="2:2" x14ac:dyDescent="0.35">
      <c r="B500" s="3">
        <v>43592</v>
      </c>
    </row>
    <row r="501" spans="2:2" x14ac:dyDescent="0.35">
      <c r="B501" s="3">
        <v>43593</v>
      </c>
    </row>
    <row r="502" spans="2:2" x14ac:dyDescent="0.35">
      <c r="B502" s="3">
        <v>43594</v>
      </c>
    </row>
    <row r="503" spans="2:2" x14ac:dyDescent="0.35">
      <c r="B503" s="3">
        <v>43595</v>
      </c>
    </row>
    <row r="504" spans="2:2" x14ac:dyDescent="0.35">
      <c r="B504" s="3">
        <v>43596</v>
      </c>
    </row>
    <row r="505" spans="2:2" x14ac:dyDescent="0.35">
      <c r="B505" s="3">
        <v>43597</v>
      </c>
    </row>
    <row r="506" spans="2:2" x14ac:dyDescent="0.35">
      <c r="B506" s="3">
        <v>43598</v>
      </c>
    </row>
    <row r="507" spans="2:2" x14ac:dyDescent="0.35">
      <c r="B507" s="3">
        <v>43599</v>
      </c>
    </row>
    <row r="508" spans="2:2" x14ac:dyDescent="0.35">
      <c r="B508" s="3">
        <v>43600</v>
      </c>
    </row>
    <row r="509" spans="2:2" x14ac:dyDescent="0.35">
      <c r="B509" s="3">
        <v>43601</v>
      </c>
    </row>
    <row r="510" spans="2:2" x14ac:dyDescent="0.35">
      <c r="B510" s="3">
        <v>43602</v>
      </c>
    </row>
    <row r="511" spans="2:2" x14ac:dyDescent="0.35">
      <c r="B511" s="3">
        <v>43603</v>
      </c>
    </row>
    <row r="512" spans="2:2" x14ac:dyDescent="0.35">
      <c r="B512" s="3">
        <v>43604</v>
      </c>
    </row>
    <row r="513" spans="2:2" x14ac:dyDescent="0.35">
      <c r="B513" s="3">
        <v>43605</v>
      </c>
    </row>
    <row r="514" spans="2:2" x14ac:dyDescent="0.35">
      <c r="B514" s="3">
        <v>43606</v>
      </c>
    </row>
    <row r="515" spans="2:2" x14ac:dyDescent="0.35">
      <c r="B515" s="3">
        <v>43607</v>
      </c>
    </row>
    <row r="516" spans="2:2" x14ac:dyDescent="0.35">
      <c r="B516" s="3">
        <v>43608</v>
      </c>
    </row>
    <row r="517" spans="2:2" x14ac:dyDescent="0.35">
      <c r="B517" s="3">
        <v>43609</v>
      </c>
    </row>
    <row r="518" spans="2:2" x14ac:dyDescent="0.35">
      <c r="B518" s="3">
        <v>43610</v>
      </c>
    </row>
    <row r="519" spans="2:2" x14ac:dyDescent="0.35">
      <c r="B519" s="3">
        <v>43611</v>
      </c>
    </row>
    <row r="520" spans="2:2" x14ac:dyDescent="0.35">
      <c r="B520" s="3">
        <v>43612</v>
      </c>
    </row>
    <row r="521" spans="2:2" x14ac:dyDescent="0.35">
      <c r="B521" s="3">
        <v>43613</v>
      </c>
    </row>
    <row r="522" spans="2:2" x14ac:dyDescent="0.35">
      <c r="B522" s="3">
        <v>43614</v>
      </c>
    </row>
    <row r="523" spans="2:2" x14ac:dyDescent="0.35">
      <c r="B523" s="3">
        <v>43615</v>
      </c>
    </row>
    <row r="524" spans="2:2" x14ac:dyDescent="0.35">
      <c r="B524" s="3">
        <v>43616</v>
      </c>
    </row>
    <row r="525" spans="2:2" x14ac:dyDescent="0.35">
      <c r="B525" s="3">
        <v>43617</v>
      </c>
    </row>
    <row r="526" spans="2:2" x14ac:dyDescent="0.35">
      <c r="B526" s="3">
        <v>43618</v>
      </c>
    </row>
    <row r="527" spans="2:2" x14ac:dyDescent="0.35">
      <c r="B527" s="3">
        <v>43619</v>
      </c>
    </row>
    <row r="528" spans="2:2" x14ac:dyDescent="0.35">
      <c r="B528" s="3">
        <v>43620</v>
      </c>
    </row>
    <row r="529" spans="2:2" x14ac:dyDescent="0.35">
      <c r="B529" s="3">
        <v>43621</v>
      </c>
    </row>
    <row r="530" spans="2:2" x14ac:dyDescent="0.35">
      <c r="B530" s="3">
        <v>43622</v>
      </c>
    </row>
    <row r="531" spans="2:2" x14ac:dyDescent="0.35">
      <c r="B531" s="3">
        <v>43623</v>
      </c>
    </row>
    <row r="532" spans="2:2" x14ac:dyDescent="0.35">
      <c r="B532" s="3">
        <v>43624</v>
      </c>
    </row>
    <row r="533" spans="2:2" x14ac:dyDescent="0.35">
      <c r="B533" s="3">
        <v>43625</v>
      </c>
    </row>
    <row r="534" spans="2:2" x14ac:dyDescent="0.35">
      <c r="B534" s="3">
        <v>43626</v>
      </c>
    </row>
    <row r="535" spans="2:2" x14ac:dyDescent="0.35">
      <c r="B535" s="3">
        <v>43627</v>
      </c>
    </row>
    <row r="536" spans="2:2" x14ac:dyDescent="0.35">
      <c r="B536" s="3">
        <v>43628</v>
      </c>
    </row>
    <row r="537" spans="2:2" x14ac:dyDescent="0.35">
      <c r="B537" s="3">
        <v>43629</v>
      </c>
    </row>
    <row r="538" spans="2:2" x14ac:dyDescent="0.35">
      <c r="B538" s="3">
        <v>43630</v>
      </c>
    </row>
    <row r="539" spans="2:2" x14ac:dyDescent="0.35">
      <c r="B539" s="3">
        <v>43631</v>
      </c>
    </row>
    <row r="540" spans="2:2" x14ac:dyDescent="0.35">
      <c r="B540" s="3">
        <v>43632</v>
      </c>
    </row>
    <row r="541" spans="2:2" x14ac:dyDescent="0.35">
      <c r="B541" s="3">
        <v>43633</v>
      </c>
    </row>
    <row r="542" spans="2:2" x14ac:dyDescent="0.35">
      <c r="B542" s="3">
        <v>43634</v>
      </c>
    </row>
    <row r="543" spans="2:2" x14ac:dyDescent="0.35">
      <c r="B543" s="3">
        <v>43635</v>
      </c>
    </row>
    <row r="544" spans="2:2" x14ac:dyDescent="0.35">
      <c r="B544" s="3">
        <v>43636</v>
      </c>
    </row>
    <row r="545" spans="2:2" x14ac:dyDescent="0.35">
      <c r="B545" s="3">
        <v>43637</v>
      </c>
    </row>
    <row r="546" spans="2:2" x14ac:dyDescent="0.35">
      <c r="B546" s="3">
        <v>43638</v>
      </c>
    </row>
    <row r="547" spans="2:2" x14ac:dyDescent="0.35">
      <c r="B547" s="3">
        <v>43639</v>
      </c>
    </row>
    <row r="548" spans="2:2" x14ac:dyDescent="0.35">
      <c r="B548" s="3">
        <v>43640</v>
      </c>
    </row>
    <row r="549" spans="2:2" x14ac:dyDescent="0.35">
      <c r="B549" s="3">
        <v>43641</v>
      </c>
    </row>
    <row r="550" spans="2:2" x14ac:dyDescent="0.35">
      <c r="B550" s="3">
        <v>43642</v>
      </c>
    </row>
    <row r="551" spans="2:2" x14ac:dyDescent="0.35">
      <c r="B551" s="3">
        <v>43643</v>
      </c>
    </row>
    <row r="552" spans="2:2" x14ac:dyDescent="0.35">
      <c r="B552" s="3">
        <v>43644</v>
      </c>
    </row>
    <row r="553" spans="2:2" x14ac:dyDescent="0.35">
      <c r="B553" s="3">
        <v>43645</v>
      </c>
    </row>
    <row r="554" spans="2:2" x14ac:dyDescent="0.35">
      <c r="B554" s="3">
        <v>43646</v>
      </c>
    </row>
    <row r="555" spans="2:2" x14ac:dyDescent="0.35">
      <c r="B555" s="3">
        <v>43647</v>
      </c>
    </row>
    <row r="556" spans="2:2" x14ac:dyDescent="0.35">
      <c r="B556" s="3">
        <v>43648</v>
      </c>
    </row>
    <row r="557" spans="2:2" x14ac:dyDescent="0.35">
      <c r="B557" s="3">
        <v>43649</v>
      </c>
    </row>
    <row r="558" spans="2:2" x14ac:dyDescent="0.35">
      <c r="B558" s="3">
        <v>43650</v>
      </c>
    </row>
    <row r="559" spans="2:2" x14ac:dyDescent="0.35">
      <c r="B559" s="3">
        <v>43651</v>
      </c>
    </row>
    <row r="560" spans="2:2" x14ac:dyDescent="0.35">
      <c r="B560" s="3">
        <v>43652</v>
      </c>
    </row>
    <row r="561" spans="2:2" x14ac:dyDescent="0.35">
      <c r="B561" s="3">
        <v>43653</v>
      </c>
    </row>
    <row r="562" spans="2:2" x14ac:dyDescent="0.35">
      <c r="B562" s="3">
        <v>43654</v>
      </c>
    </row>
    <row r="563" spans="2:2" x14ac:dyDescent="0.35">
      <c r="B563" s="3">
        <v>43655</v>
      </c>
    </row>
    <row r="564" spans="2:2" x14ac:dyDescent="0.35">
      <c r="B564" s="3">
        <v>43656</v>
      </c>
    </row>
    <row r="565" spans="2:2" x14ac:dyDescent="0.35">
      <c r="B565" s="3">
        <v>43657</v>
      </c>
    </row>
    <row r="566" spans="2:2" x14ac:dyDescent="0.35">
      <c r="B566" s="3">
        <v>43658</v>
      </c>
    </row>
    <row r="567" spans="2:2" x14ac:dyDescent="0.35">
      <c r="B567" s="3">
        <v>43659</v>
      </c>
    </row>
    <row r="568" spans="2:2" x14ac:dyDescent="0.35">
      <c r="B568" s="3">
        <v>43660</v>
      </c>
    </row>
    <row r="569" spans="2:2" x14ac:dyDescent="0.35">
      <c r="B569" s="3">
        <v>43661</v>
      </c>
    </row>
    <row r="570" spans="2:2" x14ac:dyDescent="0.35">
      <c r="B570" s="3">
        <v>43662</v>
      </c>
    </row>
    <row r="571" spans="2:2" x14ac:dyDescent="0.35">
      <c r="B571" s="3">
        <v>43663</v>
      </c>
    </row>
    <row r="572" spans="2:2" x14ac:dyDescent="0.35">
      <c r="B572" s="3">
        <v>43664</v>
      </c>
    </row>
    <row r="573" spans="2:2" x14ac:dyDescent="0.35">
      <c r="B573" s="3">
        <v>43665</v>
      </c>
    </row>
    <row r="574" spans="2:2" x14ac:dyDescent="0.35">
      <c r="B574" s="3">
        <v>43666</v>
      </c>
    </row>
    <row r="575" spans="2:2" x14ac:dyDescent="0.35">
      <c r="B575" s="3">
        <v>43667</v>
      </c>
    </row>
    <row r="576" spans="2:2" x14ac:dyDescent="0.35">
      <c r="B576" s="3">
        <v>43668</v>
      </c>
    </row>
    <row r="577" spans="2:2" x14ac:dyDescent="0.35">
      <c r="B577" s="3">
        <v>43669</v>
      </c>
    </row>
    <row r="578" spans="2:2" x14ac:dyDescent="0.35">
      <c r="B578" s="3">
        <v>43670</v>
      </c>
    </row>
    <row r="579" spans="2:2" x14ac:dyDescent="0.35">
      <c r="B579" s="3">
        <v>43671</v>
      </c>
    </row>
    <row r="580" spans="2:2" x14ac:dyDescent="0.35">
      <c r="B580" s="3">
        <v>43672</v>
      </c>
    </row>
    <row r="581" spans="2:2" x14ac:dyDescent="0.35">
      <c r="B581" s="3">
        <v>43673</v>
      </c>
    </row>
    <row r="582" spans="2:2" x14ac:dyDescent="0.35">
      <c r="B582" s="3">
        <v>43674</v>
      </c>
    </row>
    <row r="583" spans="2:2" x14ac:dyDescent="0.35">
      <c r="B583" s="3">
        <v>43675</v>
      </c>
    </row>
    <row r="584" spans="2:2" x14ac:dyDescent="0.35">
      <c r="B584" s="3">
        <v>43676</v>
      </c>
    </row>
    <row r="585" spans="2:2" x14ac:dyDescent="0.35">
      <c r="B585" s="3">
        <v>43677</v>
      </c>
    </row>
    <row r="586" spans="2:2" x14ac:dyDescent="0.35">
      <c r="B586" s="3">
        <v>43678</v>
      </c>
    </row>
    <row r="587" spans="2:2" x14ac:dyDescent="0.35">
      <c r="B587" s="3">
        <v>43679</v>
      </c>
    </row>
    <row r="588" spans="2:2" x14ac:dyDescent="0.35">
      <c r="B588" s="3">
        <v>43680</v>
      </c>
    </row>
    <row r="589" spans="2:2" x14ac:dyDescent="0.35">
      <c r="B589" s="3">
        <v>43681</v>
      </c>
    </row>
    <row r="590" spans="2:2" x14ac:dyDescent="0.35">
      <c r="B590" s="3">
        <v>43682</v>
      </c>
    </row>
    <row r="591" spans="2:2" x14ac:dyDescent="0.35">
      <c r="B591" s="3">
        <v>43683</v>
      </c>
    </row>
    <row r="592" spans="2:2" x14ac:dyDescent="0.35">
      <c r="B592" s="3">
        <v>43684</v>
      </c>
    </row>
    <row r="593" spans="2:2" x14ac:dyDescent="0.35">
      <c r="B593" s="3">
        <v>43685</v>
      </c>
    </row>
    <row r="594" spans="2:2" x14ac:dyDescent="0.35">
      <c r="B594" s="3">
        <v>43686</v>
      </c>
    </row>
    <row r="595" spans="2:2" x14ac:dyDescent="0.35">
      <c r="B595" s="3">
        <v>43687</v>
      </c>
    </row>
    <row r="596" spans="2:2" x14ac:dyDescent="0.35">
      <c r="B596" s="3">
        <v>43688</v>
      </c>
    </row>
    <row r="597" spans="2:2" x14ac:dyDescent="0.35">
      <c r="B597" s="3">
        <v>43689</v>
      </c>
    </row>
    <row r="598" spans="2:2" x14ac:dyDescent="0.35">
      <c r="B598" s="3">
        <v>43690</v>
      </c>
    </row>
    <row r="599" spans="2:2" x14ac:dyDescent="0.35">
      <c r="B599" s="3">
        <v>43691</v>
      </c>
    </row>
    <row r="600" spans="2:2" x14ac:dyDescent="0.35">
      <c r="B600" s="3">
        <v>43692</v>
      </c>
    </row>
    <row r="601" spans="2:2" x14ac:dyDescent="0.35">
      <c r="B601" s="3">
        <v>43693</v>
      </c>
    </row>
    <row r="602" spans="2:2" x14ac:dyDescent="0.35">
      <c r="B602" s="3">
        <v>43694</v>
      </c>
    </row>
    <row r="603" spans="2:2" x14ac:dyDescent="0.35">
      <c r="B603" s="3">
        <v>43695</v>
      </c>
    </row>
    <row r="604" spans="2:2" x14ac:dyDescent="0.35">
      <c r="B604" s="3">
        <v>43696</v>
      </c>
    </row>
    <row r="605" spans="2:2" x14ac:dyDescent="0.35">
      <c r="B605" s="3">
        <v>43697</v>
      </c>
    </row>
    <row r="606" spans="2:2" x14ac:dyDescent="0.35">
      <c r="B606" s="3">
        <v>43698</v>
      </c>
    </row>
    <row r="607" spans="2:2" x14ac:dyDescent="0.35">
      <c r="B607" s="3">
        <v>43699</v>
      </c>
    </row>
    <row r="608" spans="2:2" x14ac:dyDescent="0.35">
      <c r="B608" s="3">
        <v>43700</v>
      </c>
    </row>
    <row r="609" spans="2:2" x14ac:dyDescent="0.35">
      <c r="B609" s="3">
        <v>43701</v>
      </c>
    </row>
    <row r="610" spans="2:2" x14ac:dyDescent="0.35">
      <c r="B610" s="3">
        <v>43702</v>
      </c>
    </row>
    <row r="611" spans="2:2" x14ac:dyDescent="0.35">
      <c r="B611" s="3">
        <v>43703</v>
      </c>
    </row>
    <row r="612" spans="2:2" x14ac:dyDescent="0.35">
      <c r="B612" s="3">
        <v>43704</v>
      </c>
    </row>
    <row r="613" spans="2:2" x14ac:dyDescent="0.35">
      <c r="B613" s="3">
        <v>43705</v>
      </c>
    </row>
    <row r="614" spans="2:2" x14ac:dyDescent="0.35">
      <c r="B614" s="3">
        <v>43706</v>
      </c>
    </row>
    <row r="615" spans="2:2" x14ac:dyDescent="0.35">
      <c r="B615" s="3">
        <v>43707</v>
      </c>
    </row>
    <row r="616" spans="2:2" x14ac:dyDescent="0.35">
      <c r="B616" s="3">
        <v>43708</v>
      </c>
    </row>
    <row r="617" spans="2:2" x14ac:dyDescent="0.35">
      <c r="B617" s="3">
        <v>43709</v>
      </c>
    </row>
    <row r="618" spans="2:2" x14ac:dyDescent="0.35">
      <c r="B618" s="3">
        <v>43710</v>
      </c>
    </row>
    <row r="619" spans="2:2" x14ac:dyDescent="0.35">
      <c r="B619" s="3">
        <v>43711</v>
      </c>
    </row>
    <row r="620" spans="2:2" x14ac:dyDescent="0.35">
      <c r="B620" s="3">
        <v>43712</v>
      </c>
    </row>
    <row r="621" spans="2:2" x14ac:dyDescent="0.35">
      <c r="B621" s="3">
        <v>43713</v>
      </c>
    </row>
    <row r="622" spans="2:2" x14ac:dyDescent="0.35">
      <c r="B622" s="3">
        <v>43714</v>
      </c>
    </row>
    <row r="623" spans="2:2" x14ac:dyDescent="0.35">
      <c r="B623" s="3">
        <v>43715</v>
      </c>
    </row>
    <row r="624" spans="2:2" x14ac:dyDescent="0.35">
      <c r="B624" s="3">
        <v>43716</v>
      </c>
    </row>
    <row r="625" spans="2:2" x14ac:dyDescent="0.35">
      <c r="B625" s="3">
        <v>43717</v>
      </c>
    </row>
    <row r="626" spans="2:2" x14ac:dyDescent="0.35">
      <c r="B626" s="3">
        <v>43718</v>
      </c>
    </row>
    <row r="627" spans="2:2" x14ac:dyDescent="0.35">
      <c r="B627" s="3">
        <v>43719</v>
      </c>
    </row>
    <row r="628" spans="2:2" x14ac:dyDescent="0.35">
      <c r="B628" s="3">
        <v>43720</v>
      </c>
    </row>
    <row r="629" spans="2:2" x14ac:dyDescent="0.35">
      <c r="B629" s="3">
        <v>43721</v>
      </c>
    </row>
    <row r="630" spans="2:2" x14ac:dyDescent="0.35">
      <c r="B630" s="3">
        <v>43722</v>
      </c>
    </row>
    <row r="631" spans="2:2" x14ac:dyDescent="0.35">
      <c r="B631" s="3">
        <v>43723</v>
      </c>
    </row>
    <row r="632" spans="2:2" x14ac:dyDescent="0.35">
      <c r="B632" s="3">
        <v>43724</v>
      </c>
    </row>
    <row r="633" spans="2:2" x14ac:dyDescent="0.35">
      <c r="B633" s="3">
        <v>43725</v>
      </c>
    </row>
    <row r="634" spans="2:2" x14ac:dyDescent="0.35">
      <c r="B634" s="3">
        <v>43726</v>
      </c>
    </row>
    <row r="635" spans="2:2" x14ac:dyDescent="0.35">
      <c r="B635" s="3">
        <v>43727</v>
      </c>
    </row>
    <row r="636" spans="2:2" x14ac:dyDescent="0.35">
      <c r="B636" s="3">
        <v>43728</v>
      </c>
    </row>
    <row r="637" spans="2:2" x14ac:dyDescent="0.35">
      <c r="B637" s="3">
        <v>43729</v>
      </c>
    </row>
    <row r="638" spans="2:2" x14ac:dyDescent="0.35">
      <c r="B638" s="3">
        <v>43730</v>
      </c>
    </row>
    <row r="639" spans="2:2" x14ac:dyDescent="0.35">
      <c r="B639" s="3">
        <v>43731</v>
      </c>
    </row>
    <row r="640" spans="2:2" x14ac:dyDescent="0.35">
      <c r="B640" s="3">
        <v>43732</v>
      </c>
    </row>
    <row r="641" spans="2:2" x14ac:dyDescent="0.35">
      <c r="B641" s="3">
        <v>43733</v>
      </c>
    </row>
    <row r="642" spans="2:2" x14ac:dyDescent="0.35">
      <c r="B642" s="3">
        <v>43734</v>
      </c>
    </row>
    <row r="643" spans="2:2" x14ac:dyDescent="0.35">
      <c r="B643" s="3">
        <v>43735</v>
      </c>
    </row>
    <row r="644" spans="2:2" x14ac:dyDescent="0.35">
      <c r="B644" s="3">
        <v>43736</v>
      </c>
    </row>
    <row r="645" spans="2:2" x14ac:dyDescent="0.35">
      <c r="B645" s="3">
        <v>43737</v>
      </c>
    </row>
    <row r="646" spans="2:2" x14ac:dyDescent="0.35">
      <c r="B646" s="3">
        <v>43738</v>
      </c>
    </row>
    <row r="647" spans="2:2" x14ac:dyDescent="0.35">
      <c r="B647" s="3">
        <v>43739</v>
      </c>
    </row>
    <row r="648" spans="2:2" x14ac:dyDescent="0.35">
      <c r="B648" s="3">
        <v>43740</v>
      </c>
    </row>
    <row r="649" spans="2:2" x14ac:dyDescent="0.35">
      <c r="B649" s="3">
        <v>43741</v>
      </c>
    </row>
    <row r="650" spans="2:2" x14ac:dyDescent="0.35">
      <c r="B650" s="3">
        <v>43742</v>
      </c>
    </row>
    <row r="651" spans="2:2" x14ac:dyDescent="0.35">
      <c r="B651" s="3">
        <v>43743</v>
      </c>
    </row>
    <row r="652" spans="2:2" x14ac:dyDescent="0.35">
      <c r="B652" s="3">
        <v>43744</v>
      </c>
    </row>
    <row r="653" spans="2:2" x14ac:dyDescent="0.35">
      <c r="B653" s="3">
        <v>43745</v>
      </c>
    </row>
    <row r="654" spans="2:2" x14ac:dyDescent="0.35">
      <c r="B654" s="3">
        <v>43746</v>
      </c>
    </row>
    <row r="655" spans="2:2" x14ac:dyDescent="0.35">
      <c r="B655" s="3">
        <v>43747</v>
      </c>
    </row>
    <row r="656" spans="2:2" x14ac:dyDescent="0.35">
      <c r="B656" s="3">
        <v>43748</v>
      </c>
    </row>
    <row r="657" spans="2:2" x14ac:dyDescent="0.35">
      <c r="B657" s="3">
        <v>43749</v>
      </c>
    </row>
    <row r="658" spans="2:2" x14ac:dyDescent="0.35">
      <c r="B658" s="3">
        <v>43750</v>
      </c>
    </row>
    <row r="659" spans="2:2" x14ac:dyDescent="0.35">
      <c r="B659" s="3">
        <v>43751</v>
      </c>
    </row>
    <row r="660" spans="2:2" x14ac:dyDescent="0.35">
      <c r="B660" s="3">
        <v>43752</v>
      </c>
    </row>
    <row r="661" spans="2:2" x14ac:dyDescent="0.35">
      <c r="B661" s="3">
        <v>43753</v>
      </c>
    </row>
    <row r="662" spans="2:2" x14ac:dyDescent="0.35">
      <c r="B662" s="3">
        <v>43754</v>
      </c>
    </row>
    <row r="663" spans="2:2" x14ac:dyDescent="0.35">
      <c r="B663" s="3">
        <v>43755</v>
      </c>
    </row>
    <row r="664" spans="2:2" x14ac:dyDescent="0.35">
      <c r="B664" s="3">
        <v>43756</v>
      </c>
    </row>
    <row r="665" spans="2:2" x14ac:dyDescent="0.35">
      <c r="B665" s="3">
        <v>43757</v>
      </c>
    </row>
    <row r="666" spans="2:2" x14ac:dyDescent="0.35">
      <c r="B666" s="3">
        <v>43758</v>
      </c>
    </row>
    <row r="667" spans="2:2" x14ac:dyDescent="0.35">
      <c r="B667" s="3">
        <v>43759</v>
      </c>
    </row>
    <row r="668" spans="2:2" x14ac:dyDescent="0.35">
      <c r="B668" s="3">
        <v>43760</v>
      </c>
    </row>
    <row r="669" spans="2:2" x14ac:dyDescent="0.35">
      <c r="B669" s="3">
        <v>43761</v>
      </c>
    </row>
    <row r="670" spans="2:2" x14ac:dyDescent="0.35">
      <c r="B670" s="3">
        <v>43762</v>
      </c>
    </row>
    <row r="671" spans="2:2" x14ac:dyDescent="0.35">
      <c r="B671" s="3">
        <v>43763</v>
      </c>
    </row>
    <row r="672" spans="2:2" x14ac:dyDescent="0.35">
      <c r="B672" s="3">
        <v>43764</v>
      </c>
    </row>
    <row r="673" spans="2:2" x14ac:dyDescent="0.35">
      <c r="B673" s="3">
        <v>43765</v>
      </c>
    </row>
    <row r="674" spans="2:2" x14ac:dyDescent="0.35">
      <c r="B674" s="3">
        <v>43766</v>
      </c>
    </row>
    <row r="675" spans="2:2" x14ac:dyDescent="0.35">
      <c r="B675" s="3">
        <v>43767</v>
      </c>
    </row>
    <row r="676" spans="2:2" x14ac:dyDescent="0.35">
      <c r="B676" s="3">
        <v>43768</v>
      </c>
    </row>
    <row r="677" spans="2:2" x14ac:dyDescent="0.35">
      <c r="B677" s="3">
        <v>43769</v>
      </c>
    </row>
    <row r="678" spans="2:2" x14ac:dyDescent="0.35">
      <c r="B678" s="3">
        <v>43770</v>
      </c>
    </row>
    <row r="679" spans="2:2" x14ac:dyDescent="0.35">
      <c r="B679" s="3">
        <v>43771</v>
      </c>
    </row>
    <row r="680" spans="2:2" x14ac:dyDescent="0.35">
      <c r="B680" s="3">
        <v>43772</v>
      </c>
    </row>
    <row r="681" spans="2:2" x14ac:dyDescent="0.35">
      <c r="B681" s="3">
        <v>43773</v>
      </c>
    </row>
    <row r="682" spans="2:2" x14ac:dyDescent="0.35">
      <c r="B682" s="3">
        <v>43774</v>
      </c>
    </row>
    <row r="683" spans="2:2" x14ac:dyDescent="0.35">
      <c r="B683" s="3">
        <v>43775</v>
      </c>
    </row>
    <row r="684" spans="2:2" x14ac:dyDescent="0.35">
      <c r="B684" s="3">
        <v>43776</v>
      </c>
    </row>
    <row r="685" spans="2:2" x14ac:dyDescent="0.35">
      <c r="B685" s="3">
        <v>43777</v>
      </c>
    </row>
    <row r="686" spans="2:2" x14ac:dyDescent="0.35">
      <c r="B686" s="3">
        <v>43778</v>
      </c>
    </row>
    <row r="687" spans="2:2" x14ac:dyDescent="0.35">
      <c r="B687" s="3">
        <v>43779</v>
      </c>
    </row>
    <row r="688" spans="2:2" x14ac:dyDescent="0.35">
      <c r="B688" s="3">
        <v>43780</v>
      </c>
    </row>
    <row r="689" spans="2:2" x14ac:dyDescent="0.35">
      <c r="B689" s="3">
        <v>43781</v>
      </c>
    </row>
    <row r="690" spans="2:2" x14ac:dyDescent="0.35">
      <c r="B690" s="3">
        <v>43782</v>
      </c>
    </row>
    <row r="691" spans="2:2" x14ac:dyDescent="0.35">
      <c r="B691" s="3">
        <v>43783</v>
      </c>
    </row>
    <row r="692" spans="2:2" x14ac:dyDescent="0.35">
      <c r="B692" s="3">
        <v>43784</v>
      </c>
    </row>
    <row r="693" spans="2:2" x14ac:dyDescent="0.35">
      <c r="B693" s="3">
        <v>43785</v>
      </c>
    </row>
    <row r="694" spans="2:2" x14ac:dyDescent="0.35">
      <c r="B694" s="3">
        <v>43786</v>
      </c>
    </row>
    <row r="695" spans="2:2" x14ac:dyDescent="0.35">
      <c r="B695" s="3">
        <v>43787</v>
      </c>
    </row>
    <row r="696" spans="2:2" x14ac:dyDescent="0.35">
      <c r="B696" s="3">
        <v>43788</v>
      </c>
    </row>
    <row r="697" spans="2:2" x14ac:dyDescent="0.35">
      <c r="B697" s="3">
        <v>43789</v>
      </c>
    </row>
    <row r="698" spans="2:2" x14ac:dyDescent="0.35">
      <c r="B698" s="3">
        <v>43790</v>
      </c>
    </row>
    <row r="699" spans="2:2" x14ac:dyDescent="0.35">
      <c r="B699" s="3">
        <v>43791</v>
      </c>
    </row>
    <row r="700" spans="2:2" x14ac:dyDescent="0.35">
      <c r="B700" s="3">
        <v>43792</v>
      </c>
    </row>
    <row r="701" spans="2:2" x14ac:dyDescent="0.35">
      <c r="B701" s="3">
        <v>43793</v>
      </c>
    </row>
    <row r="702" spans="2:2" x14ac:dyDescent="0.35">
      <c r="B702" s="3">
        <v>43794</v>
      </c>
    </row>
    <row r="703" spans="2:2" x14ac:dyDescent="0.35">
      <c r="B703" s="3">
        <v>43795</v>
      </c>
    </row>
    <row r="704" spans="2:2" x14ac:dyDescent="0.35">
      <c r="B704" s="3">
        <v>43796</v>
      </c>
    </row>
    <row r="705" spans="2:2" x14ac:dyDescent="0.35">
      <c r="B705" s="3">
        <v>43797</v>
      </c>
    </row>
    <row r="706" spans="2:2" x14ac:dyDescent="0.35">
      <c r="B706" s="3">
        <v>43798</v>
      </c>
    </row>
    <row r="707" spans="2:2" x14ac:dyDescent="0.35">
      <c r="B707" s="3">
        <v>43799</v>
      </c>
    </row>
    <row r="708" spans="2:2" x14ac:dyDescent="0.35">
      <c r="B708" s="3">
        <v>43800</v>
      </c>
    </row>
    <row r="709" spans="2:2" x14ac:dyDescent="0.35">
      <c r="B709" s="3">
        <v>43801</v>
      </c>
    </row>
    <row r="710" spans="2:2" x14ac:dyDescent="0.35">
      <c r="B710" s="3">
        <v>43802</v>
      </c>
    </row>
    <row r="711" spans="2:2" x14ac:dyDescent="0.35">
      <c r="B711" s="3">
        <v>43803</v>
      </c>
    </row>
    <row r="712" spans="2:2" x14ac:dyDescent="0.35">
      <c r="B712" s="3">
        <v>43804</v>
      </c>
    </row>
    <row r="713" spans="2:2" x14ac:dyDescent="0.35">
      <c r="B713" s="3">
        <v>43805</v>
      </c>
    </row>
    <row r="714" spans="2:2" x14ac:dyDescent="0.35">
      <c r="B714" s="3">
        <v>43806</v>
      </c>
    </row>
    <row r="715" spans="2:2" x14ac:dyDescent="0.35">
      <c r="B715" s="3">
        <v>43807</v>
      </c>
    </row>
    <row r="716" spans="2:2" x14ac:dyDescent="0.35">
      <c r="B716" s="3">
        <v>43808</v>
      </c>
    </row>
    <row r="717" spans="2:2" x14ac:dyDescent="0.35">
      <c r="B717" s="3">
        <v>43809</v>
      </c>
    </row>
    <row r="718" spans="2:2" x14ac:dyDescent="0.35">
      <c r="B718" s="3">
        <v>43810</v>
      </c>
    </row>
    <row r="719" spans="2:2" x14ac:dyDescent="0.35">
      <c r="B719" s="3">
        <v>43811</v>
      </c>
    </row>
    <row r="720" spans="2:2" x14ac:dyDescent="0.35">
      <c r="B720" s="3">
        <v>43812</v>
      </c>
    </row>
    <row r="721" spans="2:2" x14ac:dyDescent="0.35">
      <c r="B721" s="3">
        <v>43813</v>
      </c>
    </row>
    <row r="722" spans="2:2" x14ac:dyDescent="0.35">
      <c r="B722" s="3">
        <v>43814</v>
      </c>
    </row>
    <row r="723" spans="2:2" x14ac:dyDescent="0.35">
      <c r="B723" s="3">
        <v>43815</v>
      </c>
    </row>
    <row r="724" spans="2:2" x14ac:dyDescent="0.35">
      <c r="B724" s="3">
        <v>43816</v>
      </c>
    </row>
    <row r="725" spans="2:2" x14ac:dyDescent="0.35">
      <c r="B725" s="3">
        <v>43817</v>
      </c>
    </row>
    <row r="726" spans="2:2" x14ac:dyDescent="0.35">
      <c r="B726" s="3">
        <v>43818</v>
      </c>
    </row>
    <row r="727" spans="2:2" x14ac:dyDescent="0.35">
      <c r="B727" s="3">
        <v>43819</v>
      </c>
    </row>
    <row r="728" spans="2:2" x14ac:dyDescent="0.35">
      <c r="B728" s="3">
        <v>43820</v>
      </c>
    </row>
    <row r="729" spans="2:2" x14ac:dyDescent="0.35">
      <c r="B729" s="3">
        <v>43821</v>
      </c>
    </row>
    <row r="730" spans="2:2" x14ac:dyDescent="0.35">
      <c r="B730" s="3">
        <v>43822</v>
      </c>
    </row>
    <row r="731" spans="2:2" x14ac:dyDescent="0.35">
      <c r="B731" s="3">
        <v>43823</v>
      </c>
    </row>
    <row r="732" spans="2:2" x14ac:dyDescent="0.35">
      <c r="B732" s="3">
        <v>43824</v>
      </c>
    </row>
    <row r="733" spans="2:2" x14ac:dyDescent="0.35">
      <c r="B733" s="3">
        <v>43825</v>
      </c>
    </row>
    <row r="734" spans="2:2" x14ac:dyDescent="0.35">
      <c r="B734" s="3">
        <v>43826</v>
      </c>
    </row>
    <row r="735" spans="2:2" x14ac:dyDescent="0.35">
      <c r="B735" s="3">
        <v>43827</v>
      </c>
    </row>
    <row r="736" spans="2:2" x14ac:dyDescent="0.35">
      <c r="B736" s="3">
        <v>43828</v>
      </c>
    </row>
    <row r="737" spans="2:2" x14ac:dyDescent="0.35">
      <c r="B737" s="3">
        <v>43829</v>
      </c>
    </row>
    <row r="738" spans="2:2" x14ac:dyDescent="0.35">
      <c r="B738" s="3">
        <v>43830</v>
      </c>
    </row>
    <row r="739" spans="2:2" x14ac:dyDescent="0.35">
      <c r="B739" s="3">
        <v>43831</v>
      </c>
    </row>
  </sheetData>
  <mergeCells count="1">
    <mergeCell ref="P1:S1"/>
  </mergeCells>
  <conditionalFormatting sqref="H3:I368">
    <cfRule type="cellIs" dxfId="3" priority="5" operator="lessThan">
      <formula>-0.2</formula>
    </cfRule>
    <cfRule type="cellIs" dxfId="2" priority="6" operator="greaterThan">
      <formula>0.2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AEAE-FF35-464D-B2D1-0C5BD0E8A79E}">
  <dimension ref="B2:L368"/>
  <sheetViews>
    <sheetView zoomScale="85" zoomScaleNormal="85" workbookViewId="0">
      <selection activeCell="I14" sqref="I14"/>
    </sheetView>
  </sheetViews>
  <sheetFormatPr defaultColWidth="10.6640625" defaultRowHeight="15.5" x14ac:dyDescent="0.35"/>
  <cols>
    <col min="7" max="10" width="23.33203125" bestFit="1" customWidth="1"/>
  </cols>
  <sheetData>
    <row r="2" spans="2:12" x14ac:dyDescent="0.35">
      <c r="B2" s="1" t="s">
        <v>0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34</v>
      </c>
      <c r="H2" s="2" t="s">
        <v>35</v>
      </c>
      <c r="I2" s="2" t="s">
        <v>36</v>
      </c>
      <c r="J2" s="2" t="s">
        <v>37</v>
      </c>
    </row>
    <row r="3" spans="2:12" x14ac:dyDescent="0.35">
      <c r="B3" s="3">
        <v>43466</v>
      </c>
      <c r="C3" s="4">
        <v>7505512</v>
      </c>
      <c r="D3" s="4">
        <v>5629134</v>
      </c>
      <c r="E3" s="4">
        <v>2293351</v>
      </c>
      <c r="F3" s="4">
        <v>5420648</v>
      </c>
      <c r="G3" s="4" t="str" cm="1">
        <f t="array" aca="1" ref="G3" ca="1">IF(ROW()&gt;7, (C3/INDIRECT("C"&amp;ROW()-7)-1)*100, "")</f>
        <v/>
      </c>
      <c r="H3" s="4" t="str" cm="1">
        <f t="array" aca="1" ref="H3" ca="1">IF(ROW()&gt;7, (D3/INDIRECT("D"&amp;ROW()-7)-1)*100, "")</f>
        <v/>
      </c>
      <c r="I3" s="4" t="str" cm="1">
        <f t="array" aca="1" ref="I3" ca="1">IF(ROW()&gt;7, (E3/INDIRECT("E"&amp;ROW()-7)-1)*100, "")</f>
        <v/>
      </c>
      <c r="J3" s="4" t="str" cm="1">
        <f t="array" aca="1" ref="J3" ca="1">IF(ROW()&gt;7, (F3/INDIRECT("F"&amp;ROW()-7)-1)*100, "")</f>
        <v/>
      </c>
    </row>
    <row r="4" spans="2:12" x14ac:dyDescent="0.35">
      <c r="B4" s="3">
        <v>43467</v>
      </c>
      <c r="C4" s="4">
        <v>7896424</v>
      </c>
      <c r="D4" s="4">
        <v>5922318</v>
      </c>
      <c r="E4" s="4">
        <v>2412796</v>
      </c>
      <c r="F4" s="4">
        <v>5702973</v>
      </c>
      <c r="G4" s="4" t="str" cm="1">
        <f t="array" aca="1" ref="G4" ca="1">IF(ROW()&gt;7, (C4/INDIRECT("C"&amp;ROW()-7)-1)*100, "")</f>
        <v/>
      </c>
      <c r="H4" s="4" t="str" cm="1">
        <f t="array" aca="1" ref="H4" ca="1">IF(ROW()&gt;7, (D4/INDIRECT("D"&amp;ROW()-7)-1)*100, "")</f>
        <v/>
      </c>
      <c r="I4" s="4" t="str" cm="1">
        <f t="array" aca="1" ref="I4" ca="1">IF(ROW()&gt;7, (E4/INDIRECT("E"&amp;ROW()-7)-1)*100, "")</f>
        <v/>
      </c>
      <c r="J4" s="4" t="str" cm="1">
        <f t="array" aca="1" ref="J4" ca="1">IF(ROW()&gt;7, (F4/INDIRECT("F"&amp;ROW()-7)-1)*100, "")</f>
        <v/>
      </c>
    </row>
    <row r="5" spans="2:12" x14ac:dyDescent="0.35">
      <c r="B5" s="3">
        <v>43468</v>
      </c>
      <c r="C5" s="4">
        <v>7505512</v>
      </c>
      <c r="D5" s="4">
        <v>5629134</v>
      </c>
      <c r="E5" s="4">
        <v>2293351</v>
      </c>
      <c r="F5" s="4">
        <v>5420648</v>
      </c>
      <c r="G5" s="4" t="str" cm="1">
        <f t="array" aca="1" ref="G5" ca="1">IF(ROW()&gt;7, (C5/INDIRECT("C"&amp;ROW()-7)-1)*100, "")</f>
        <v/>
      </c>
      <c r="H5" s="4" t="str" cm="1">
        <f t="array" aca="1" ref="H5" ca="1">IF(ROW()&gt;7, (D5/INDIRECT("D"&amp;ROW()-7)-1)*100, "")</f>
        <v/>
      </c>
      <c r="I5" s="4" t="str" cm="1">
        <f t="array" aca="1" ref="I5" ca="1">IF(ROW()&gt;7, (E5/INDIRECT("E"&amp;ROW()-7)-1)*100, "")</f>
        <v/>
      </c>
      <c r="J5" s="4" t="str" cm="1">
        <f t="array" aca="1" ref="J5" ca="1">IF(ROW()&gt;7, (F5/INDIRECT("F"&amp;ROW()-7)-1)*100, "")</f>
        <v/>
      </c>
    </row>
    <row r="6" spans="2:12" x14ac:dyDescent="0.35">
      <c r="B6" s="3">
        <v>43469</v>
      </c>
      <c r="C6" s="4">
        <v>7818242</v>
      </c>
      <c r="D6" s="4">
        <v>5863681</v>
      </c>
      <c r="E6" s="4">
        <v>2388907</v>
      </c>
      <c r="F6" s="4">
        <v>5646508</v>
      </c>
      <c r="G6" s="4" t="str" cm="1">
        <f t="array" aca="1" ref="G6" ca="1">IF(ROW()&gt;7, (C6/INDIRECT("C"&amp;ROW()-7)-1)*100, "")</f>
        <v/>
      </c>
      <c r="H6" s="4" t="str" cm="1">
        <f t="array" aca="1" ref="H6" ca="1">IF(ROW()&gt;7, (D6/INDIRECT("D"&amp;ROW()-7)-1)*100, "")</f>
        <v/>
      </c>
      <c r="I6" s="4" t="str" cm="1">
        <f t="array" aca="1" ref="I6" ca="1">IF(ROW()&gt;7, (E6/INDIRECT("E"&amp;ROW()-7)-1)*100, "")</f>
        <v/>
      </c>
      <c r="J6" s="4" t="str" cm="1">
        <f t="array" aca="1" ref="J6" ca="1">IF(ROW()&gt;7, (F6/INDIRECT("F"&amp;ROW()-7)-1)*100, "")</f>
        <v/>
      </c>
    </row>
    <row r="7" spans="2:12" x14ac:dyDescent="0.35">
      <c r="B7" s="3">
        <v>43470</v>
      </c>
      <c r="C7" s="4">
        <v>15352294</v>
      </c>
      <c r="D7" s="4">
        <v>11514221</v>
      </c>
      <c r="E7" s="4">
        <v>4690978</v>
      </c>
      <c r="F7" s="4">
        <v>11087768</v>
      </c>
      <c r="G7" s="4" t="str" cm="1">
        <f t="array" aca="1" ref="G7" ca="1">IF(ROW()&gt;7, (C7/INDIRECT("C"&amp;ROW()-7)-1)*100, "")</f>
        <v/>
      </c>
      <c r="H7" s="4" t="str" cm="1">
        <f t="array" aca="1" ref="H7" ca="1">IF(ROW()&gt;7, (D7/INDIRECT("D"&amp;ROW()-7)-1)*100, "")</f>
        <v/>
      </c>
      <c r="I7" s="4" t="str" cm="1">
        <f t="array" aca="1" ref="I7" ca="1">IF(ROW()&gt;7, (E7/INDIRECT("E"&amp;ROW()-7)-1)*100, "")</f>
        <v/>
      </c>
      <c r="J7" s="4" t="str" cm="1">
        <f t="array" aca="1" ref="J7" ca="1">IF(ROW()&gt;7, (F7/INDIRECT("F"&amp;ROW()-7)-1)*100, "")</f>
        <v/>
      </c>
    </row>
    <row r="8" spans="2:12" x14ac:dyDescent="0.35">
      <c r="B8" s="3">
        <v>43471</v>
      </c>
      <c r="C8" s="4">
        <v>15675500</v>
      </c>
      <c r="D8" s="4">
        <v>11756625</v>
      </c>
      <c r="E8" s="4">
        <v>4789736</v>
      </c>
      <c r="F8" s="4">
        <v>11321195</v>
      </c>
      <c r="G8" s="4" t="e" cm="1">
        <f t="array" aca="1" ref="G8" ca="1">IF(ROW()&gt;7, (C8/INDIRECT("C"&amp;ROW()-7)-1)*100, "")</f>
        <v>#DIV/0!</v>
      </c>
      <c r="H8" s="4" t="e" cm="1">
        <f t="array" aca="1" ref="H8" ca="1">IF(ROW()&gt;7, (D8/INDIRECT("D"&amp;ROW()-7)-1)*100, "")</f>
        <v>#DIV/0!</v>
      </c>
      <c r="I8" s="4" t="e" cm="1">
        <f t="array" aca="1" ref="I8" ca="1">IF(ROW()&gt;7, (E8/INDIRECT("E"&amp;ROW()-7)-1)*100, "")</f>
        <v>#DIV/0!</v>
      </c>
      <c r="J8" s="4" t="e" cm="1">
        <f t="array" aca="1" ref="J8" ca="1">IF(ROW()&gt;7, (F8/INDIRECT("F"&amp;ROW()-7)-1)*100, "")</f>
        <v>#DIV/0!</v>
      </c>
    </row>
    <row r="9" spans="2:12" x14ac:dyDescent="0.35">
      <c r="B9" s="3">
        <v>43472</v>
      </c>
      <c r="C9" s="4">
        <v>8209154</v>
      </c>
      <c r="D9" s="4">
        <v>6156866</v>
      </c>
      <c r="E9" s="4">
        <v>2508352</v>
      </c>
      <c r="F9" s="4">
        <v>5928833</v>
      </c>
      <c r="G9" s="4" t="e" cm="1">
        <f t="array" aca="1" ref="G9" ca="1">IF(ROW()&gt;7, (C9/INDIRECT("C"&amp;ROW()-7)-1)*100, "")</f>
        <v>#VALUE!</v>
      </c>
      <c r="H9" s="4" t="e" cm="1">
        <f t="array" aca="1" ref="H9" ca="1">IF(ROW()&gt;7, (D9/INDIRECT("D"&amp;ROW()-7)-1)*100, "")</f>
        <v>#VALUE!</v>
      </c>
      <c r="I9" s="4" t="e" cm="1">
        <f t="array" aca="1" ref="I9" ca="1">IF(ROW()&gt;7, (E9/INDIRECT("E"&amp;ROW()-7)-1)*100, "")</f>
        <v>#VALUE!</v>
      </c>
      <c r="J9" s="4" t="e" cm="1">
        <f t="array" aca="1" ref="J9" ca="1">IF(ROW()&gt;7, (F9/INDIRECT("F"&amp;ROW()-7)-1)*100, "")</f>
        <v>#VALUE!</v>
      </c>
    </row>
    <row r="10" spans="2:12" x14ac:dyDescent="0.35">
      <c r="B10" s="3">
        <v>43473</v>
      </c>
      <c r="C10" s="4">
        <v>7818242</v>
      </c>
      <c r="D10" s="4">
        <v>5863681</v>
      </c>
      <c r="E10" s="4">
        <v>2388907</v>
      </c>
      <c r="F10" s="4">
        <v>5646508</v>
      </c>
      <c r="G10" s="4" cm="1">
        <f t="array" aca="1" ref="G10" ca="1">IF(ROW()&gt;7, (C10/INDIRECT("C"&amp;ROW()-7)-1)*100, "")</f>
        <v>4.1666711078471419</v>
      </c>
      <c r="H10" s="4" cm="1">
        <f t="array" aca="1" ref="H10" ca="1">IF(ROW()&gt;7, (D10/INDIRECT("D"&amp;ROW()-7)-1)*100, "")</f>
        <v>4.166662225486184</v>
      </c>
      <c r="I10" s="4" cm="1">
        <f t="array" aca="1" ref="I10" ca="1">IF(ROW()&gt;7, (E10/INDIRECT("E"&amp;ROW()-7)-1)*100, "")</f>
        <v>4.1666539487413834</v>
      </c>
      <c r="J10" s="4" cm="1">
        <f t="array" aca="1" ref="J10" ca="1">IF(ROW()&gt;7, (F10/INDIRECT("F"&amp;ROW()-7)-1)*100, "")</f>
        <v>4.1666605173403592</v>
      </c>
      <c r="K10">
        <f ca="1">IF(SUM(G10:J10)=0,0,MAX(C10:F10))</f>
        <v>7818242</v>
      </c>
      <c r="L10" t="str">
        <f ca="1">IF(SUM(G10:J10)=0, 0, INDEX(C$2:F$2, MATCH(MAX(C10:F10), C10:F10, 0)))</f>
        <v>Facebook</v>
      </c>
    </row>
    <row r="11" spans="2:12" x14ac:dyDescent="0.35">
      <c r="B11" s="3">
        <v>43474</v>
      </c>
      <c r="C11" s="4">
        <v>8130972</v>
      </c>
      <c r="D11" s="4">
        <v>6098229</v>
      </c>
      <c r="E11" s="4">
        <v>2484463</v>
      </c>
      <c r="F11" s="4">
        <v>5872368</v>
      </c>
      <c r="G11" s="4" cm="1">
        <f t="array" aca="1" ref="G11" ca="1">IF(ROW()&gt;7, (C11/INDIRECT("C"&amp;ROW()-7)-1)*100, "")</f>
        <v>2.9703065590196198</v>
      </c>
      <c r="H11" s="4" cm="1">
        <f t="array" aca="1" ref="H11" ca="1">IF(ROW()&gt;7, (D11/INDIRECT("D"&amp;ROW()-7)-1)*100, "")</f>
        <v>2.9703065590196198</v>
      </c>
      <c r="I11" s="4" cm="1">
        <f t="array" aca="1" ref="I11" ca="1">IF(ROW()&gt;7, (E11/INDIRECT("E"&amp;ROW()-7)-1)*100, "")</f>
        <v>2.9702884122818407</v>
      </c>
      <c r="J11" s="4" cm="1">
        <f t="array" aca="1" ref="J11" ca="1">IF(ROW()&gt;7, (F11/INDIRECT("F"&amp;ROW()-7)-1)*100, "")</f>
        <v>2.9702928630382708</v>
      </c>
      <c r="K11">
        <f t="shared" ref="K11:K74" ca="1" si="0">IF(SUM(G11:J11)=0,0,MAX(C11:F11))</f>
        <v>8130972</v>
      </c>
      <c r="L11" t="str">
        <f t="shared" ref="L11:L74" ca="1" si="1">IF(SUM(G11:J11)=0, 0, INDEX(C$2:F$2, MATCH(MAX(C11:F11), C11:F11, 0)))</f>
        <v>Facebook</v>
      </c>
    </row>
    <row r="12" spans="2:12" x14ac:dyDescent="0.35">
      <c r="B12" s="3">
        <v>43475</v>
      </c>
      <c r="C12" s="4">
        <v>387156</v>
      </c>
      <c r="D12" s="4">
        <v>2873204</v>
      </c>
      <c r="E12" s="4">
        <v>1170564</v>
      </c>
      <c r="F12" s="4">
        <v>6210572</v>
      </c>
      <c r="G12" s="4" cm="1">
        <f t="array" aca="1" ref="G12" ca="1">IF(ROW()&gt;7, (C12/INDIRECT("C"&amp;ROW()-7)-1)*100, "")</f>
        <v>-94.841710998530147</v>
      </c>
      <c r="H12" s="4" cm="1">
        <f t="array" aca="1" ref="H12" ca="1">IF(ROW()&gt;7, (D12/INDIRECT("D"&amp;ROW()-7)-1)*100, "")</f>
        <v>-48.95833000244798</v>
      </c>
      <c r="I12" s="4" cm="1">
        <f t="array" aca="1" ref="I12" ca="1">IF(ROW()&gt;7, (E12/INDIRECT("E"&amp;ROW()-7)-1)*100, "")</f>
        <v>-48.958358314972287</v>
      </c>
      <c r="J12" s="4" cm="1">
        <f t="array" aca="1" ref="J12" ca="1">IF(ROW()&gt;7, (F12/INDIRECT("F"&amp;ROW()-7)-1)*100, "")</f>
        <v>14.572501295048124</v>
      </c>
      <c r="K12">
        <f t="shared" ca="1" si="0"/>
        <v>6210572</v>
      </c>
      <c r="L12" t="str">
        <f t="shared" ca="1" si="1"/>
        <v>Others</v>
      </c>
    </row>
    <row r="13" spans="2:12" x14ac:dyDescent="0.35">
      <c r="B13" s="3">
        <v>43476</v>
      </c>
      <c r="C13" s="4">
        <v>7427330</v>
      </c>
      <c r="D13" s="4">
        <v>5570497</v>
      </c>
      <c r="E13" s="4">
        <v>2269462</v>
      </c>
      <c r="F13" s="4">
        <v>5364183</v>
      </c>
      <c r="G13" s="4" cm="1">
        <f t="array" aca="1" ref="G13" ca="1">IF(ROW()&gt;7, (C13/INDIRECT("C"&amp;ROW()-7)-1)*100, "")</f>
        <v>-4.9999987209400798</v>
      </c>
      <c r="H13" s="4" cm="1">
        <f t="array" aca="1" ref="H13" ca="1">IF(ROW()&gt;7, (D13/INDIRECT("D"&amp;ROW()-7)-1)*100, "")</f>
        <v>-4.9999991472933107</v>
      </c>
      <c r="I13" s="4" cm="1">
        <f t="array" aca="1" ref="I13" ca="1">IF(ROW()&gt;7, (E13/INDIRECT("E"&amp;ROW()-7)-1)*100, "")</f>
        <v>-4.9999853489482877</v>
      </c>
      <c r="J13" s="4" cm="1">
        <f t="array" aca="1" ref="J13" ca="1">IF(ROW()&gt;7, (F13/INDIRECT("F"&amp;ROW()-7)-1)*100, "")</f>
        <v>-4.9999929159756817</v>
      </c>
      <c r="K13">
        <f t="shared" ca="1" si="0"/>
        <v>7427330</v>
      </c>
      <c r="L13" t="str">
        <f t="shared" ca="1" si="1"/>
        <v>Facebook</v>
      </c>
    </row>
    <row r="14" spans="2:12" x14ac:dyDescent="0.35">
      <c r="B14" s="3">
        <v>43477</v>
      </c>
      <c r="C14" s="4">
        <v>15352294</v>
      </c>
      <c r="D14" s="4">
        <v>11514221</v>
      </c>
      <c r="E14" s="4">
        <v>4690978</v>
      </c>
      <c r="F14" s="4">
        <v>11087768</v>
      </c>
      <c r="G14" s="4" cm="1">
        <f t="array" aca="1" ref="G14" ca="1">IF(ROW()&gt;7, (C14/INDIRECT("C"&amp;ROW()-7)-1)*100, "")</f>
        <v>0</v>
      </c>
      <c r="H14" s="4" cm="1">
        <f t="array" aca="1" ref="H14" ca="1">IF(ROW()&gt;7, (D14/INDIRECT("D"&amp;ROW()-7)-1)*100, "")</f>
        <v>0</v>
      </c>
      <c r="I14" s="4" cm="1">
        <f t="array" aca="1" ref="I14" ca="1">IF(ROW()&gt;7, (E14/INDIRECT("E"&amp;ROW()-7)-1)*100, "")</f>
        <v>0</v>
      </c>
      <c r="J14" s="4" cm="1">
        <f t="array" aca="1" ref="J14" ca="1">IF(ROW()&gt;7, (F14/INDIRECT("F"&amp;ROW()-7)-1)*100, "")</f>
        <v>0</v>
      </c>
      <c r="K14">
        <f t="shared" ca="1" si="0"/>
        <v>0</v>
      </c>
      <c r="L14">
        <f t="shared" ca="1" si="1"/>
        <v>0</v>
      </c>
    </row>
    <row r="15" spans="2:12" x14ac:dyDescent="0.35">
      <c r="B15" s="3">
        <v>43478</v>
      </c>
      <c r="C15" s="4">
        <v>16645119</v>
      </c>
      <c r="D15" s="4">
        <v>12483839</v>
      </c>
      <c r="E15" s="4">
        <v>5086008</v>
      </c>
      <c r="F15" s="4">
        <v>12021475</v>
      </c>
      <c r="G15" s="4" cm="1">
        <f t="array" aca="1" ref="G15" ca="1">IF(ROW()&gt;7, (C15/INDIRECT("C"&amp;ROW()-7)-1)*100, "")</f>
        <v>6.1855698382826674</v>
      </c>
      <c r="H15" s="4" cm="1">
        <f t="array" aca="1" ref="H15" ca="1">IF(ROW()&gt;7, (D15/INDIRECT("D"&amp;ROW()-7)-1)*100, "")</f>
        <v>6.1855677118220598</v>
      </c>
      <c r="I15" s="4" cm="1">
        <f t="array" aca="1" ref="I15" ca="1">IF(ROW()&gt;7, (E15/INDIRECT("E"&amp;ROW()-7)-1)*100, "")</f>
        <v>6.1855601227291057</v>
      </c>
      <c r="J15" s="4" cm="1">
        <f t="array" aca="1" ref="J15" ca="1">IF(ROW()&gt;7, (F15/INDIRECT("F"&amp;ROW()-7)-1)*100, "")</f>
        <v>6.1855660996917639</v>
      </c>
      <c r="K15">
        <f t="shared" ca="1" si="0"/>
        <v>16645119</v>
      </c>
      <c r="L15" t="str">
        <f t="shared" ca="1" si="1"/>
        <v>Facebook</v>
      </c>
    </row>
    <row r="16" spans="2:12" x14ac:dyDescent="0.35">
      <c r="B16" s="3">
        <v>43479</v>
      </c>
      <c r="C16" s="4">
        <v>7583695</v>
      </c>
      <c r="D16" s="4">
        <v>5687771</v>
      </c>
      <c r="E16" s="4">
        <v>2317240</v>
      </c>
      <c r="F16" s="4">
        <v>5477113</v>
      </c>
      <c r="G16" s="4" cm="1">
        <f t="array" aca="1" ref="G16" ca="1">IF(ROW()&gt;7, (C16/INDIRECT("C"&amp;ROW()-7)-1)*100, "")</f>
        <v>-7.6190433265108659</v>
      </c>
      <c r="H16" s="4" cm="1">
        <f t="array" aca="1" ref="H16" ca="1">IF(ROW()&gt;7, (D16/INDIRECT("D"&amp;ROW()-7)-1)*100, "")</f>
        <v>-7.6190548892894565</v>
      </c>
      <c r="I16" s="4" cm="1">
        <f t="array" aca="1" ref="I16" ca="1">IF(ROW()&gt;7, (E16/INDIRECT("E"&amp;ROW()-7)-1)*100, "")</f>
        <v>-7.6190263567473826</v>
      </c>
      <c r="J16" s="4" cm="1">
        <f t="array" aca="1" ref="J16" ca="1">IF(ROW()&gt;7, (F16/INDIRECT("F"&amp;ROW()-7)-1)*100, "")</f>
        <v>-7.6190373383767103</v>
      </c>
      <c r="K16">
        <f t="shared" ca="1" si="0"/>
        <v>7583695</v>
      </c>
      <c r="L16" t="str">
        <f t="shared" ca="1" si="1"/>
        <v>Facebook</v>
      </c>
    </row>
    <row r="17" spans="2:12" x14ac:dyDescent="0.35">
      <c r="B17" s="3">
        <v>43480</v>
      </c>
      <c r="C17" s="4">
        <v>7661877</v>
      </c>
      <c r="D17" s="4">
        <v>5746408</v>
      </c>
      <c r="E17" s="4">
        <v>2341129</v>
      </c>
      <c r="F17" s="4">
        <v>5533578</v>
      </c>
      <c r="G17" s="4" cm="1">
        <f t="array" aca="1" ref="G17" ca="1">IF(ROW()&gt;7, (C17/INDIRECT("C"&amp;ROW()-7)-1)*100, "")</f>
        <v>-2.0000020464958745</v>
      </c>
      <c r="H17" s="4" cm="1">
        <f t="array" aca="1" ref="H17" ca="1">IF(ROW()&gt;7, (D17/INDIRECT("D"&amp;ROW()-7)-1)*100, "")</f>
        <v>-1.9999894264370766</v>
      </c>
      <c r="I17" s="4" cm="1">
        <f t="array" aca="1" ref="I17" ca="1">IF(ROW()&gt;7, (E17/INDIRECT("E"&amp;ROW()-7)-1)*100, "")</f>
        <v>-1.9999941395793086</v>
      </c>
      <c r="J17" s="4" cm="1">
        <f t="array" aca="1" ref="J17" ca="1">IF(ROW()&gt;7, (F17/INDIRECT("F"&amp;ROW()-7)-1)*100, "")</f>
        <v>-1.9999971663902771</v>
      </c>
      <c r="K17">
        <f t="shared" ca="1" si="0"/>
        <v>7661877</v>
      </c>
      <c r="L17" t="str">
        <f t="shared" ca="1" si="1"/>
        <v>Facebook</v>
      </c>
    </row>
    <row r="18" spans="2:12" x14ac:dyDescent="0.35">
      <c r="B18" s="3">
        <v>43481</v>
      </c>
      <c r="C18" s="4">
        <v>7583695</v>
      </c>
      <c r="D18" s="4">
        <v>5687771</v>
      </c>
      <c r="E18" s="4">
        <v>2317240</v>
      </c>
      <c r="F18" s="4">
        <v>5477113</v>
      </c>
      <c r="G18" s="4" cm="1">
        <f t="array" aca="1" ref="G18" ca="1">IF(ROW()&gt;7, (C18/INDIRECT("C"&amp;ROW()-7)-1)*100, "")</f>
        <v>-6.7307697037943264</v>
      </c>
      <c r="H18" s="4" cm="1">
        <f t="array" aca="1" ref="H18" ca="1">IF(ROW()&gt;7, (D18/INDIRECT("D"&amp;ROW()-7)-1)*100, "")</f>
        <v>-6.7307738033452029</v>
      </c>
      <c r="I18" s="4" cm="1">
        <f t="array" aca="1" ref="I18" ca="1">IF(ROW()&gt;7, (E18/INDIRECT("E"&amp;ROW()-7)-1)*100, "")</f>
        <v>-6.7307502667578456</v>
      </c>
      <c r="J18" s="4" cm="1">
        <f t="array" aca="1" ref="J18" ca="1">IF(ROW()&gt;7, (F18/INDIRECT("F"&amp;ROW()-7)-1)*100, "")</f>
        <v>-6.7307600613585539</v>
      </c>
      <c r="K18">
        <f t="shared" ca="1" si="0"/>
        <v>7583695</v>
      </c>
      <c r="L18" t="str">
        <f t="shared" ca="1" si="1"/>
        <v>Facebook</v>
      </c>
    </row>
    <row r="19" spans="2:12" x14ac:dyDescent="0.35">
      <c r="B19" s="3">
        <v>43482</v>
      </c>
      <c r="C19" s="4">
        <v>8052789</v>
      </c>
      <c r="D19" s="4">
        <v>6039592</v>
      </c>
      <c r="E19" s="4">
        <v>2460574</v>
      </c>
      <c r="F19" s="4">
        <v>5815903</v>
      </c>
      <c r="G19" s="4" cm="1">
        <f t="array" aca="1" ref="G19" ca="1">IF(ROW()&gt;7, (C19/INDIRECT("C"&amp;ROW()-7)-1)*100, "")</f>
        <v>1979.9855872051576</v>
      </c>
      <c r="H19" s="4" cm="1">
        <f t="array" aca="1" ref="H19" ca="1">IF(ROW()&gt;7, (D19/INDIRECT("D"&amp;ROW()-7)-1)*100, "")</f>
        <v>110.20407879148158</v>
      </c>
      <c r="I19" s="4" cm="1">
        <f t="array" aca="1" ref="I19" ca="1">IF(ROW()&gt;7, (E19/INDIRECT("E"&amp;ROW()-7)-1)*100, "")</f>
        <v>110.20414090985201</v>
      </c>
      <c r="J19" s="4" cm="1">
        <f t="array" aca="1" ref="J19" ca="1">IF(ROW()&gt;7, (F19/INDIRECT("F"&amp;ROW()-7)-1)*100, "")</f>
        <v>-6.3547930850813783</v>
      </c>
      <c r="K19">
        <f t="shared" ca="1" si="0"/>
        <v>8052789</v>
      </c>
      <c r="L19" t="str">
        <f t="shared" ca="1" si="1"/>
        <v>Facebook</v>
      </c>
    </row>
    <row r="20" spans="2:12" x14ac:dyDescent="0.35">
      <c r="B20" s="3">
        <v>43483</v>
      </c>
      <c r="C20" s="4">
        <v>7974607</v>
      </c>
      <c r="D20" s="4">
        <v>5980955</v>
      </c>
      <c r="E20" s="4">
        <v>2436685</v>
      </c>
      <c r="F20" s="4">
        <v>5759438</v>
      </c>
      <c r="G20" s="4" cm="1">
        <f t="array" aca="1" ref="G20" ca="1">IF(ROW()&gt;7, (C20/INDIRECT("C"&amp;ROW()-7)-1)*100, "")</f>
        <v>7.3684217612520309</v>
      </c>
      <c r="H20" s="4" cm="1">
        <f t="array" aca="1" ref="H20" ca="1">IF(ROW()&gt;7, (D20/INDIRECT("D"&amp;ROW()-7)-1)*100, "")</f>
        <v>7.3684269105611211</v>
      </c>
      <c r="I20" s="4" cm="1">
        <f t="array" aca="1" ref="I20" ca="1">IF(ROW()&gt;7, (E20/INDIRECT("E"&amp;ROW()-7)-1)*100, "")</f>
        <v>7.3683983252418317</v>
      </c>
      <c r="J20" s="4" cm="1">
        <f t="array" aca="1" ref="J20" ca="1">IF(ROW()&gt;7, (F20/INDIRECT("F"&amp;ROW()-7)-1)*100, "")</f>
        <v>7.3684100635641903</v>
      </c>
      <c r="K20">
        <f t="shared" ca="1" si="0"/>
        <v>7974607</v>
      </c>
      <c r="L20" t="str">
        <f t="shared" ca="1" si="1"/>
        <v>Facebook</v>
      </c>
    </row>
    <row r="21" spans="2:12" x14ac:dyDescent="0.35">
      <c r="B21" s="3">
        <v>43484</v>
      </c>
      <c r="C21" s="4">
        <v>15352294</v>
      </c>
      <c r="D21" s="4">
        <v>11514221</v>
      </c>
      <c r="E21" s="4">
        <v>4690978</v>
      </c>
      <c r="F21" s="4">
        <v>11087768</v>
      </c>
      <c r="G21" s="4" cm="1">
        <f t="array" aca="1" ref="G21" ca="1">IF(ROW()&gt;7, (C21/INDIRECT("C"&amp;ROW()-7)-1)*100, "")</f>
        <v>0</v>
      </c>
      <c r="H21" s="4" cm="1">
        <f t="array" aca="1" ref="H21" ca="1">IF(ROW()&gt;7, (D21/INDIRECT("D"&amp;ROW()-7)-1)*100, "")</f>
        <v>0</v>
      </c>
      <c r="I21" s="4" cm="1">
        <f t="array" aca="1" ref="I21" ca="1">IF(ROW()&gt;7, (E21/INDIRECT("E"&amp;ROW()-7)-1)*100, "")</f>
        <v>0</v>
      </c>
      <c r="J21" s="4" cm="1">
        <f t="array" aca="1" ref="J21" ca="1">IF(ROW()&gt;7, (F21/INDIRECT("F"&amp;ROW()-7)-1)*100, "")</f>
        <v>0</v>
      </c>
      <c r="K21">
        <f t="shared" ca="1" si="0"/>
        <v>0</v>
      </c>
      <c r="L21">
        <f t="shared" ca="1" si="1"/>
        <v>0</v>
      </c>
    </row>
    <row r="22" spans="2:12" x14ac:dyDescent="0.35">
      <c r="B22" s="3">
        <v>43485</v>
      </c>
      <c r="C22" s="4">
        <v>15998707</v>
      </c>
      <c r="D22" s="4">
        <v>11999030</v>
      </c>
      <c r="E22" s="4">
        <v>4888493</v>
      </c>
      <c r="F22" s="4">
        <v>11554621</v>
      </c>
      <c r="G22" s="4" cm="1">
        <f t="array" aca="1" ref="G22" ca="1">IF(ROW()&gt;7, (C22/INDIRECT("C"&amp;ROW()-7)-1)*100, "")</f>
        <v>-3.883492812517586</v>
      </c>
      <c r="H22" s="4" cm="1">
        <f t="array" aca="1" ref="H22" ca="1">IF(ROW()&gt;7, (D22/INDIRECT("D"&amp;ROW()-7)-1)*100, "")</f>
        <v>-3.8834928902879984</v>
      </c>
      <c r="I22" s="4" cm="1">
        <f t="array" aca="1" ref="I22" ca="1">IF(ROW()&gt;7, (E22/INDIRECT("E"&amp;ROW()-7)-1)*100, "")</f>
        <v>-3.8834976272156818</v>
      </c>
      <c r="J22" s="4" cm="1">
        <f t="array" aca="1" ref="J22" ca="1">IF(ROW()&gt;7, (F22/INDIRECT("F"&amp;ROW()-7)-1)*100, "")</f>
        <v>-3.8835001528514601</v>
      </c>
      <c r="K22">
        <f t="shared" ca="1" si="0"/>
        <v>15998707</v>
      </c>
      <c r="L22" t="str">
        <f t="shared" ca="1" si="1"/>
        <v>Facebook</v>
      </c>
    </row>
    <row r="23" spans="2:12" x14ac:dyDescent="0.35">
      <c r="B23" s="3">
        <v>43486</v>
      </c>
      <c r="C23" s="4">
        <v>7974607</v>
      </c>
      <c r="D23" s="4">
        <v>5980955</v>
      </c>
      <c r="E23" s="4">
        <v>2436685</v>
      </c>
      <c r="F23" s="4">
        <v>5759438</v>
      </c>
      <c r="G23" s="4" cm="1">
        <f t="array" aca="1" ref="G23" ca="1">IF(ROW()&gt;7, (C23/INDIRECT("C"&amp;ROW()-7)-1)*100, "")</f>
        <v>5.15463767991724</v>
      </c>
      <c r="H23" s="4" cm="1">
        <f t="array" aca="1" ref="H23" ca="1">IF(ROW()&gt;7, (D23/INDIRECT("D"&amp;ROW()-7)-1)*100, "")</f>
        <v>5.1546379064839387</v>
      </c>
      <c r="I23" s="4" cm="1">
        <f t="array" aca="1" ref="I23" ca="1">IF(ROW()&gt;7, (E23/INDIRECT("E"&amp;ROW()-7)-1)*100, "")</f>
        <v>5.1546236039426319</v>
      </c>
      <c r="J23" s="4" cm="1">
        <f t="array" aca="1" ref="J23" ca="1">IF(ROW()&gt;7, (F23/INDIRECT("F"&amp;ROW()-7)-1)*100, "")</f>
        <v>5.154631646270591</v>
      </c>
      <c r="K23">
        <f t="shared" ca="1" si="0"/>
        <v>7974607</v>
      </c>
      <c r="L23" t="str">
        <f t="shared" ca="1" si="1"/>
        <v>Facebook</v>
      </c>
    </row>
    <row r="24" spans="2:12" x14ac:dyDescent="0.35">
      <c r="B24" s="3">
        <v>43487</v>
      </c>
      <c r="C24" s="4">
        <v>13525559</v>
      </c>
      <c r="D24" s="4">
        <v>2028833</v>
      </c>
      <c r="E24" s="4">
        <v>19827367</v>
      </c>
      <c r="F24" s="4">
        <v>2189238</v>
      </c>
      <c r="G24" s="4" cm="1">
        <f t="array" aca="1" ref="G24" ca="1">IF(ROW()&gt;7, (C24/INDIRECT("C"&amp;ROW()-7)-1)*100, "")</f>
        <v>76.530620368873059</v>
      </c>
      <c r="H24" s="4" cm="1">
        <f t="array" aca="1" ref="H24" ca="1">IF(ROW()&gt;7, (D24/INDIRECT("D"&amp;ROW()-7)-1)*100, "")</f>
        <v>-64.693892254082897</v>
      </c>
      <c r="I24" s="4" cm="1">
        <f t="array" aca="1" ref="I24" ca="1">IF(ROW()&gt;7, (E24/INDIRECT("E"&amp;ROW()-7)-1)*100, "")</f>
        <v>746.91475779420955</v>
      </c>
      <c r="J24" s="4" cm="1">
        <f t="array" aca="1" ref="J24" ca="1">IF(ROW()&gt;7, (F24/INDIRECT("F"&amp;ROW()-7)-1)*100, "")</f>
        <v>-60.437207174092421</v>
      </c>
      <c r="K24">
        <f t="shared" ca="1" si="0"/>
        <v>19827367</v>
      </c>
      <c r="L24" t="str">
        <f t="shared" ca="1" si="1"/>
        <v>Twitter</v>
      </c>
    </row>
    <row r="25" spans="2:12" x14ac:dyDescent="0.35">
      <c r="B25" s="3">
        <v>43488</v>
      </c>
      <c r="C25" s="4">
        <v>7740060</v>
      </c>
      <c r="D25" s="4">
        <v>5805045</v>
      </c>
      <c r="E25" s="4">
        <v>2365018</v>
      </c>
      <c r="F25" s="4">
        <v>5590043</v>
      </c>
      <c r="G25" s="4" cm="1">
        <f t="array" aca="1" ref="G25" ca="1">IF(ROW()&gt;7, (C25/INDIRECT("C"&amp;ROW()-7)-1)*100, "")</f>
        <v>2.0618577092037516</v>
      </c>
      <c r="H25" s="4" cm="1">
        <f t="array" aca="1" ref="H25" ca="1">IF(ROW()&gt;7, (D25/INDIRECT("D"&amp;ROW()-7)-1)*100, "")</f>
        <v>2.0618621952255056</v>
      </c>
      <c r="I25" s="4" cm="1">
        <f t="array" aca="1" ref="I25" ca="1">IF(ROW()&gt;7, (E25/INDIRECT("E"&amp;ROW()-7)-1)*100, "")</f>
        <v>2.0618494415770572</v>
      </c>
      <c r="J25" s="4" cm="1">
        <f t="array" aca="1" ref="J25" ca="1">IF(ROW()&gt;7, (F25/INDIRECT("F"&amp;ROW()-7)-1)*100, "")</f>
        <v>2.0618526585082231</v>
      </c>
      <c r="K25">
        <f t="shared" ca="1" si="0"/>
        <v>7740060</v>
      </c>
      <c r="L25" t="str">
        <f t="shared" ca="1" si="1"/>
        <v>Facebook</v>
      </c>
    </row>
    <row r="26" spans="2:12" x14ac:dyDescent="0.35">
      <c r="B26" s="3">
        <v>43489</v>
      </c>
      <c r="C26" s="4">
        <v>7427330</v>
      </c>
      <c r="D26" s="4">
        <v>5570497</v>
      </c>
      <c r="E26" s="4">
        <v>2269462</v>
      </c>
      <c r="F26" s="4">
        <v>5364183</v>
      </c>
      <c r="G26" s="4" cm="1">
        <f t="array" aca="1" ref="G26" ca="1">IF(ROW()&gt;7, (C26/INDIRECT("C"&amp;ROW()-7)-1)*100, "")</f>
        <v>-7.7669860715337213</v>
      </c>
      <c r="H26" s="4" cm="1">
        <f t="array" aca="1" ref="H26" ca="1">IF(ROW()&gt;7, (D26/INDIRECT("D"&amp;ROW()-7)-1)*100, "")</f>
        <v>-7.766998168088179</v>
      </c>
      <c r="I26" s="4" cm="1">
        <f t="array" aca="1" ref="I26" ca="1">IF(ROW()&gt;7, (E26/INDIRECT("E"&amp;ROW()-7)-1)*100, "")</f>
        <v>-7.7669681952259868</v>
      </c>
      <c r="J26" s="4" cm="1">
        <f t="array" aca="1" ref="J26" ca="1">IF(ROW()&gt;7, (F26/INDIRECT("F"&amp;ROW()-7)-1)*100, "")</f>
        <v>-7.7669796074659398</v>
      </c>
      <c r="K26">
        <f t="shared" ca="1" si="0"/>
        <v>7427330</v>
      </c>
      <c r="L26" t="str">
        <f t="shared" ca="1" si="1"/>
        <v>Facebook</v>
      </c>
    </row>
    <row r="27" spans="2:12" x14ac:dyDescent="0.35">
      <c r="B27" s="3">
        <v>43490</v>
      </c>
      <c r="C27" s="4">
        <v>7427330</v>
      </c>
      <c r="D27" s="4">
        <v>5570497</v>
      </c>
      <c r="E27" s="4">
        <v>2269462</v>
      </c>
      <c r="F27" s="4">
        <v>5364183</v>
      </c>
      <c r="G27" s="4" cm="1">
        <f t="array" aca="1" ref="G27" ca="1">IF(ROW()&gt;7, (C27/INDIRECT("C"&amp;ROW()-7)-1)*100, "")</f>
        <v>-6.8627457127354408</v>
      </c>
      <c r="H27" s="4" cm="1">
        <f t="array" aca="1" ref="H27" ca="1">IF(ROW()&gt;7, (D27/INDIRECT("D"&amp;ROW()-7)-1)*100, "")</f>
        <v>-6.862750179528188</v>
      </c>
      <c r="I27" s="4" cm="1">
        <f t="array" aca="1" ref="I27" ca="1">IF(ROW()&gt;7, (E27/INDIRECT("E"&amp;ROW()-7)-1)*100, "")</f>
        <v>-6.8627253830511492</v>
      </c>
      <c r="J27" s="4" cm="1">
        <f t="array" aca="1" ref="J27" ca="1">IF(ROW()&gt;7, (F27/INDIRECT("F"&amp;ROW()-7)-1)*100, "")</f>
        <v>-6.8627355655187188</v>
      </c>
      <c r="K27">
        <f t="shared" ca="1" si="0"/>
        <v>7427330</v>
      </c>
      <c r="L27" t="str">
        <f t="shared" ca="1" si="1"/>
        <v>Facebook</v>
      </c>
    </row>
    <row r="28" spans="2:12" x14ac:dyDescent="0.35">
      <c r="B28" s="3">
        <v>43491</v>
      </c>
      <c r="C28" s="4">
        <v>16968325</v>
      </c>
      <c r="D28" s="4">
        <v>12726244</v>
      </c>
      <c r="E28" s="4">
        <v>5184766</v>
      </c>
      <c r="F28" s="4">
        <v>12254901</v>
      </c>
      <c r="G28" s="4" cm="1">
        <f t="array" aca="1" ref="G28" ca="1">IF(ROW()&gt;7, (C28/INDIRECT("C"&amp;ROW()-7)-1)*100, "")</f>
        <v>10.526316132299197</v>
      </c>
      <c r="H28" s="4" cm="1">
        <f t="array" aca="1" ref="H28" ca="1">IF(ROW()&gt;7, (D28/INDIRECT("D"&amp;ROW()-7)-1)*100, "")</f>
        <v>10.526313503970442</v>
      </c>
      <c r="I28" s="4" cm="1">
        <f t="array" aca="1" ref="I28" ca="1">IF(ROW()&gt;7, (E28/INDIRECT("E"&amp;ROW()-7)-1)*100, "")</f>
        <v>10.526333741066352</v>
      </c>
      <c r="J28" s="4" cm="1">
        <f t="array" aca="1" ref="J28" ca="1">IF(ROW()&gt;7, (F28/INDIRECT("F"&amp;ROW()-7)-1)*100, "")</f>
        <v>10.526311517340559</v>
      </c>
      <c r="K28">
        <f t="shared" ca="1" si="0"/>
        <v>16968325</v>
      </c>
      <c r="L28" t="str">
        <f t="shared" ca="1" si="1"/>
        <v>Facebook</v>
      </c>
    </row>
    <row r="29" spans="2:12" x14ac:dyDescent="0.35">
      <c r="B29" s="3">
        <v>43492</v>
      </c>
      <c r="C29" s="4">
        <v>16321913</v>
      </c>
      <c r="D29" s="4">
        <v>12241435</v>
      </c>
      <c r="E29" s="4">
        <v>4987251</v>
      </c>
      <c r="F29" s="4">
        <v>11788048</v>
      </c>
      <c r="G29" s="4" cm="1">
        <f t="array" aca="1" ref="G29" ca="1">IF(ROW()&gt;7, (C29/INDIRECT("C"&amp;ROW()-7)-1)*100, "")</f>
        <v>2.0202007574737113</v>
      </c>
      <c r="H29" s="4" cm="1">
        <f t="array" aca="1" ref="H29" ca="1">IF(ROW()&gt;7, (D29/INDIRECT("D"&amp;ROW()-7)-1)*100, "")</f>
        <v>2.0202049665681399</v>
      </c>
      <c r="I29" s="4" cm="1">
        <f t="array" aca="1" ref="I29" ca="1">IF(ROW()&gt;7, (E29/INDIRECT("E"&amp;ROW()-7)-1)*100, "")</f>
        <v>2.0202135913869546</v>
      </c>
      <c r="J29" s="4" cm="1">
        <f t="array" aca="1" ref="J29" ca="1">IF(ROW()&gt;7, (F29/INDIRECT("F"&amp;ROW()-7)-1)*100, "")</f>
        <v>2.0202047302114057</v>
      </c>
      <c r="K29">
        <f t="shared" ca="1" si="0"/>
        <v>16321913</v>
      </c>
      <c r="L29" t="str">
        <f t="shared" ca="1" si="1"/>
        <v>Facebook</v>
      </c>
    </row>
    <row r="30" spans="2:12" x14ac:dyDescent="0.35">
      <c r="B30" s="3">
        <v>43493</v>
      </c>
      <c r="C30" s="4">
        <v>7661877</v>
      </c>
      <c r="D30" s="4">
        <v>5746408</v>
      </c>
      <c r="E30" s="4">
        <v>2341129</v>
      </c>
      <c r="F30" s="4">
        <v>5533578</v>
      </c>
      <c r="G30" s="4" cm="1">
        <f t="array" aca="1" ref="G30" ca="1">IF(ROW()&gt;7, (C30/INDIRECT("C"&amp;ROW()-7)-1)*100, "")</f>
        <v>-3.921572561506792</v>
      </c>
      <c r="H30" s="4" cm="1">
        <f t="array" aca="1" ref="H30" ca="1">IF(ROW()&gt;7, (D30/INDIRECT("D"&amp;ROW()-7)-1)*100, "")</f>
        <v>-3.9215643655570065</v>
      </c>
      <c r="I30" s="4" cm="1">
        <f t="array" aca="1" ref="I30" ca="1">IF(ROW()&gt;7, (E30/INDIRECT("E"&amp;ROW()-7)-1)*100, "")</f>
        <v>-3.9215573617435218</v>
      </c>
      <c r="J30" s="4" cm="1">
        <f t="array" aca="1" ref="J30" ca="1">IF(ROW()&gt;7, (F30/INDIRECT("F"&amp;ROW()-7)-1)*100, "")</f>
        <v>-3.9215631802964057</v>
      </c>
      <c r="K30">
        <f t="shared" ca="1" si="0"/>
        <v>7661877</v>
      </c>
      <c r="L30" t="str">
        <f t="shared" ca="1" si="1"/>
        <v>Facebook</v>
      </c>
    </row>
    <row r="31" spans="2:12" x14ac:dyDescent="0.35">
      <c r="B31" s="3">
        <v>43494</v>
      </c>
      <c r="C31" s="4">
        <v>8052789</v>
      </c>
      <c r="D31" s="4">
        <v>6039592</v>
      </c>
      <c r="E31" s="4">
        <v>2460574</v>
      </c>
      <c r="F31" s="4">
        <v>5815903</v>
      </c>
      <c r="G31" s="4" cm="1">
        <f t="array" aca="1" ref="G31" ca="1">IF(ROW()&gt;7, (C31/INDIRECT("C"&amp;ROW()-7)-1)*100, "")</f>
        <v>-40.462431164582547</v>
      </c>
      <c r="H31" s="4" cm="1">
        <f t="array" aca="1" ref="H31" ca="1">IF(ROW()&gt;7, (D31/INDIRECT("D"&amp;ROW()-7)-1)*100, "")</f>
        <v>197.68798121875975</v>
      </c>
      <c r="I31" s="4" cm="1">
        <f t="array" aca="1" ref="I31" ca="1">IF(ROW()&gt;7, (E31/INDIRECT("E"&amp;ROW()-7)-1)*100, "")</f>
        <v>-87.590011321220814</v>
      </c>
      <c r="J31" s="4" cm="1">
        <f t="array" aca="1" ref="J31" ca="1">IF(ROW()&gt;7, (F31/INDIRECT("F"&amp;ROW()-7)-1)*100, "")</f>
        <v>165.65878173136039</v>
      </c>
      <c r="K31">
        <f t="shared" ca="1" si="0"/>
        <v>8052789</v>
      </c>
      <c r="L31" t="str">
        <f t="shared" ca="1" si="1"/>
        <v>Facebook</v>
      </c>
    </row>
    <row r="32" spans="2:12" x14ac:dyDescent="0.35">
      <c r="B32" s="3">
        <v>43495</v>
      </c>
      <c r="C32" s="4">
        <v>8052789</v>
      </c>
      <c r="D32" s="4">
        <v>6039592</v>
      </c>
      <c r="E32" s="4">
        <v>2460574</v>
      </c>
      <c r="F32" s="4">
        <v>5815903</v>
      </c>
      <c r="G32" s="4" cm="1">
        <f t="array" aca="1" ref="G32" ca="1">IF(ROW()&gt;7, (C32/INDIRECT("C"&amp;ROW()-7)-1)*100, "")</f>
        <v>4.0403950356973972</v>
      </c>
      <c r="H32" s="4" cm="1">
        <f t="array" aca="1" ref="H32" ca="1">IF(ROW()&gt;7, (D32/INDIRECT("D"&amp;ROW()-7)-1)*100, "")</f>
        <v>4.0403993422962303</v>
      </c>
      <c r="I32" s="4" cm="1">
        <f t="array" aca="1" ref="I32" ca="1">IF(ROW()&gt;7, (E32/INDIRECT("E"&amp;ROW()-7)-1)*100, "")</f>
        <v>4.0403920815824668</v>
      </c>
      <c r="J32" s="4" cm="1">
        <f t="array" aca="1" ref="J32" ca="1">IF(ROW()&gt;7, (F32/INDIRECT("F"&amp;ROW()-7)-1)*100, "")</f>
        <v>4.0403982581171505</v>
      </c>
      <c r="K32">
        <f t="shared" ca="1" si="0"/>
        <v>8052789</v>
      </c>
      <c r="L32" t="str">
        <f t="shared" ca="1" si="1"/>
        <v>Facebook</v>
      </c>
    </row>
    <row r="33" spans="2:12" x14ac:dyDescent="0.35">
      <c r="B33" s="3">
        <v>43496</v>
      </c>
      <c r="C33" s="4">
        <v>7505512</v>
      </c>
      <c r="D33" s="4">
        <v>5629134</v>
      </c>
      <c r="E33" s="4">
        <v>2293351</v>
      </c>
      <c r="F33" s="4">
        <v>5420648</v>
      </c>
      <c r="G33" s="4" cm="1">
        <f t="array" aca="1" ref="G33" ca="1">IF(ROW()&gt;7, (C33/INDIRECT("C"&amp;ROW()-7)-1)*100, "")</f>
        <v>1.0526259099838065</v>
      </c>
      <c r="H33" s="4" cm="1">
        <f t="array" aca="1" ref="H33" ca="1">IF(ROW()&gt;7, (D33/INDIRECT("D"&amp;ROW()-7)-1)*100, "")</f>
        <v>1.0526349803258173</v>
      </c>
      <c r="I33" s="4" cm="1">
        <f t="array" aca="1" ref="I33" ca="1">IF(ROW()&gt;7, (E33/INDIRECT("E"&amp;ROW()-7)-1)*100, "")</f>
        <v>1.0526283321774077</v>
      </c>
      <c r="J33" s="4" cm="1">
        <f t="array" aca="1" ref="J33" ca="1">IF(ROW()&gt;7, (F33/INDIRECT("F"&amp;ROW()-7)-1)*100, "")</f>
        <v>1.0526300090806018</v>
      </c>
      <c r="K33">
        <f t="shared" ca="1" si="0"/>
        <v>7505512</v>
      </c>
      <c r="L33" t="str">
        <f t="shared" ca="1" si="1"/>
        <v>Facebook</v>
      </c>
    </row>
    <row r="34" spans="2:12" x14ac:dyDescent="0.35">
      <c r="B34" s="3">
        <v>43497</v>
      </c>
      <c r="C34" s="4">
        <v>7427330</v>
      </c>
      <c r="D34" s="4">
        <v>5570497</v>
      </c>
      <c r="E34" s="4">
        <v>2269462</v>
      </c>
      <c r="F34" s="4">
        <v>5364183</v>
      </c>
      <c r="G34" s="4" cm="1">
        <f t="array" aca="1" ref="G34" ca="1">IF(ROW()&gt;7, (C34/INDIRECT("C"&amp;ROW()-7)-1)*100, "")</f>
        <v>0</v>
      </c>
      <c r="H34" s="4" cm="1">
        <f t="array" aca="1" ref="H34" ca="1">IF(ROW()&gt;7, (D34/INDIRECT("D"&amp;ROW()-7)-1)*100, "")</f>
        <v>0</v>
      </c>
      <c r="I34" s="4" cm="1">
        <f t="array" aca="1" ref="I34" ca="1">IF(ROW()&gt;7, (E34/INDIRECT("E"&amp;ROW()-7)-1)*100, "")</f>
        <v>0</v>
      </c>
      <c r="J34" s="4" cm="1">
        <f t="array" aca="1" ref="J34" ca="1">IF(ROW()&gt;7, (F34/INDIRECT("F"&amp;ROW()-7)-1)*100, "")</f>
        <v>0</v>
      </c>
      <c r="K34">
        <f t="shared" ca="1" si="0"/>
        <v>0</v>
      </c>
      <c r="L34">
        <f t="shared" ca="1" si="1"/>
        <v>0</v>
      </c>
    </row>
    <row r="35" spans="2:12" x14ac:dyDescent="0.35">
      <c r="B35" s="3">
        <v>43498</v>
      </c>
      <c r="C35" s="4">
        <v>15675500</v>
      </c>
      <c r="D35" s="4">
        <v>11756625</v>
      </c>
      <c r="E35" s="4">
        <v>4789736</v>
      </c>
      <c r="F35" s="4">
        <v>11321195</v>
      </c>
      <c r="G35" s="4" cm="1">
        <f t="array" aca="1" ref="G35" ca="1">IF(ROW()&gt;7, (C35/INDIRECT("C"&amp;ROW()-7)-1)*100, "")</f>
        <v>-7.6190490222222902</v>
      </c>
      <c r="H35" s="4" cm="1">
        <f t="array" aca="1" ref="H35" ca="1">IF(ROW()&gt;7, (D35/INDIRECT("D"&amp;ROW()-7)-1)*100, "")</f>
        <v>-7.6190508369948002</v>
      </c>
      <c r="I35" s="4" cm="1">
        <f t="array" aca="1" ref="I35" ca="1">IF(ROW()&gt;7, (E35/INDIRECT("E"&amp;ROW()-7)-1)*100, "")</f>
        <v>-7.6190516601906459</v>
      </c>
      <c r="J35" s="4" cm="1">
        <f t="array" aca="1" ref="J35" ca="1">IF(ROW()&gt;7, (F35/INDIRECT("F"&amp;ROW()-7)-1)*100, "")</f>
        <v>-7.6190415573328618</v>
      </c>
      <c r="K35">
        <f t="shared" ca="1" si="0"/>
        <v>15675500</v>
      </c>
      <c r="L35" t="str">
        <f t="shared" ca="1" si="1"/>
        <v>Facebook</v>
      </c>
    </row>
    <row r="36" spans="2:12" x14ac:dyDescent="0.35">
      <c r="B36" s="3">
        <v>43499</v>
      </c>
      <c r="C36" s="4">
        <v>16160310</v>
      </c>
      <c r="D36" s="4">
        <v>12120232</v>
      </c>
      <c r="E36" s="4">
        <v>4937872</v>
      </c>
      <c r="F36" s="4">
        <v>11671335</v>
      </c>
      <c r="G36" s="4" cm="1">
        <f t="array" aca="1" ref="G36" ca="1">IF(ROW()&gt;7, (C36/INDIRECT("C"&amp;ROW()-7)-1)*100, "")</f>
        <v>-0.99009840329378207</v>
      </c>
      <c r="H36" s="4" cm="1">
        <f t="array" aca="1" ref="H36" ca="1">IF(ROW()&gt;7, (D36/INDIRECT("D"&amp;ROW()-7)-1)*100, "")</f>
        <v>-0.99010450980624443</v>
      </c>
      <c r="I36" s="4" cm="1">
        <f t="array" aca="1" ref="I36" ca="1">IF(ROW()&gt;7, (E36/INDIRECT("E"&amp;ROW()-7)-1)*100, "")</f>
        <v>-0.99010456862909102</v>
      </c>
      <c r="J36" s="4" cm="1">
        <f t="array" aca="1" ref="J36" ca="1">IF(ROW()&gt;7, (F36/INDIRECT("F"&amp;ROW()-7)-1)*100, "")</f>
        <v>-0.99009607018906154</v>
      </c>
      <c r="K36">
        <f t="shared" ca="1" si="0"/>
        <v>16160310</v>
      </c>
      <c r="L36" t="str">
        <f t="shared" ca="1" si="1"/>
        <v>Facebook</v>
      </c>
    </row>
    <row r="37" spans="2:12" x14ac:dyDescent="0.35">
      <c r="B37" s="3">
        <v>43500</v>
      </c>
      <c r="C37" s="4">
        <v>7661877</v>
      </c>
      <c r="D37" s="4">
        <v>5746408</v>
      </c>
      <c r="E37" s="4">
        <v>2341129</v>
      </c>
      <c r="F37" s="4">
        <v>5533578</v>
      </c>
      <c r="G37" s="4" cm="1">
        <f t="array" aca="1" ref="G37" ca="1">IF(ROW()&gt;7, (C37/INDIRECT("C"&amp;ROW()-7)-1)*100, "")</f>
        <v>0</v>
      </c>
      <c r="H37" s="4" cm="1">
        <f t="array" aca="1" ref="H37" ca="1">IF(ROW()&gt;7, (D37/INDIRECT("D"&amp;ROW()-7)-1)*100, "")</f>
        <v>0</v>
      </c>
      <c r="I37" s="4" cm="1">
        <f t="array" aca="1" ref="I37" ca="1">IF(ROW()&gt;7, (E37/INDIRECT("E"&amp;ROW()-7)-1)*100, "")</f>
        <v>0</v>
      </c>
      <c r="J37" s="4" cm="1">
        <f t="array" aca="1" ref="J37" ca="1">IF(ROW()&gt;7, (F37/INDIRECT("F"&amp;ROW()-7)-1)*100, "")</f>
        <v>0</v>
      </c>
      <c r="K37">
        <f t="shared" ca="1" si="0"/>
        <v>0</v>
      </c>
      <c r="L37">
        <f t="shared" ca="1" si="1"/>
        <v>0</v>
      </c>
    </row>
    <row r="38" spans="2:12" x14ac:dyDescent="0.35">
      <c r="B38" s="3">
        <v>43501</v>
      </c>
      <c r="C38" s="4">
        <v>8052789</v>
      </c>
      <c r="D38" s="4">
        <v>6039592</v>
      </c>
      <c r="E38" s="4">
        <v>2460574</v>
      </c>
      <c r="F38" s="4">
        <v>5815903</v>
      </c>
      <c r="G38" s="4" cm="1">
        <f t="array" aca="1" ref="G38" ca="1">IF(ROW()&gt;7, (C38/INDIRECT("C"&amp;ROW()-7)-1)*100, "")</f>
        <v>0</v>
      </c>
      <c r="H38" s="4" cm="1">
        <f t="array" aca="1" ref="H38" ca="1">IF(ROW()&gt;7, (D38/INDIRECT("D"&amp;ROW()-7)-1)*100, "")</f>
        <v>0</v>
      </c>
      <c r="I38" s="4" cm="1">
        <f t="array" aca="1" ref="I38" ca="1">IF(ROW()&gt;7, (E38/INDIRECT("E"&amp;ROW()-7)-1)*100, "")</f>
        <v>0</v>
      </c>
      <c r="J38" s="4" cm="1">
        <f t="array" aca="1" ref="J38" ca="1">IF(ROW()&gt;7, (F38/INDIRECT("F"&amp;ROW()-7)-1)*100, "")</f>
        <v>0</v>
      </c>
      <c r="K38">
        <f t="shared" ca="1" si="0"/>
        <v>0</v>
      </c>
      <c r="L38">
        <f t="shared" ca="1" si="1"/>
        <v>0</v>
      </c>
    </row>
    <row r="39" spans="2:12" x14ac:dyDescent="0.35">
      <c r="B39" s="3">
        <v>43502</v>
      </c>
      <c r="C39" s="4">
        <v>7427330</v>
      </c>
      <c r="D39" s="4">
        <v>5570497</v>
      </c>
      <c r="E39" s="4">
        <v>2269462</v>
      </c>
      <c r="F39" s="4">
        <v>5364183</v>
      </c>
      <c r="G39" s="4" cm="1">
        <f t="array" aca="1" ref="G39" ca="1">IF(ROW()&gt;7, (C39/INDIRECT("C"&amp;ROW()-7)-1)*100, "")</f>
        <v>-7.7669860715337213</v>
      </c>
      <c r="H39" s="4" cm="1">
        <f t="array" aca="1" ref="H39" ca="1">IF(ROW()&gt;7, (D39/INDIRECT("D"&amp;ROW()-7)-1)*100, "")</f>
        <v>-7.766998168088179</v>
      </c>
      <c r="I39" s="4" cm="1">
        <f t="array" aca="1" ref="I39" ca="1">IF(ROW()&gt;7, (E39/INDIRECT("E"&amp;ROW()-7)-1)*100, "")</f>
        <v>-7.7669681952259868</v>
      </c>
      <c r="J39" s="4" cm="1">
        <f t="array" aca="1" ref="J39" ca="1">IF(ROW()&gt;7, (F39/INDIRECT("F"&amp;ROW()-7)-1)*100, "")</f>
        <v>-7.7669796074659398</v>
      </c>
      <c r="K39">
        <f t="shared" ca="1" si="0"/>
        <v>7427330</v>
      </c>
      <c r="L39" t="str">
        <f t="shared" ca="1" si="1"/>
        <v>Facebook</v>
      </c>
    </row>
    <row r="40" spans="2:12" x14ac:dyDescent="0.35">
      <c r="B40" s="3">
        <v>43503</v>
      </c>
      <c r="C40" s="4">
        <v>7974607</v>
      </c>
      <c r="D40" s="4">
        <v>5980955</v>
      </c>
      <c r="E40" s="4">
        <v>2436685</v>
      </c>
      <c r="F40" s="4">
        <v>5759438</v>
      </c>
      <c r="G40" s="4" cm="1">
        <f t="array" aca="1" ref="G40" ca="1">IF(ROW()&gt;7, (C40/INDIRECT("C"&amp;ROW()-7)-1)*100, "")</f>
        <v>6.2500066617707128</v>
      </c>
      <c r="H40" s="4" cm="1">
        <f t="array" aca="1" ref="H40" ca="1">IF(ROW()&gt;7, (D40/INDIRECT("D"&amp;ROW()-7)-1)*100, "")</f>
        <v>6.250002220590245</v>
      </c>
      <c r="I40" s="4" cm="1">
        <f t="array" aca="1" ref="I40" ca="1">IF(ROW()&gt;7, (E40/INDIRECT("E"&amp;ROW()-7)-1)*100, "")</f>
        <v>6.249980923112064</v>
      </c>
      <c r="J40" s="4" cm="1">
        <f t="array" aca="1" ref="J40" ca="1">IF(ROW()&gt;7, (F40/INDIRECT("F"&amp;ROW()-7)-1)*100, "")</f>
        <v>6.2499907760105389</v>
      </c>
      <c r="K40">
        <f t="shared" ca="1" si="0"/>
        <v>7974607</v>
      </c>
      <c r="L40" t="str">
        <f t="shared" ca="1" si="1"/>
        <v>Facebook</v>
      </c>
    </row>
    <row r="41" spans="2:12" x14ac:dyDescent="0.35">
      <c r="B41" s="3">
        <v>43504</v>
      </c>
      <c r="C41" s="4">
        <v>7896424</v>
      </c>
      <c r="D41" s="4">
        <v>5922318</v>
      </c>
      <c r="E41" s="4">
        <v>2412796</v>
      </c>
      <c r="F41" s="4">
        <v>5702973</v>
      </c>
      <c r="G41" s="4" cm="1">
        <f t="array" aca="1" ref="G41" ca="1">IF(ROW()&gt;7, (C41/INDIRECT("C"&amp;ROW()-7)-1)*100, "")</f>
        <v>6.3157823874797625</v>
      </c>
      <c r="H41" s="4" cm="1">
        <f t="array" aca="1" ref="H41" ca="1">IF(ROW()&gt;7, (D41/INDIRECT("D"&amp;ROW()-7)-1)*100, "")</f>
        <v>6.3157919302353038</v>
      </c>
      <c r="I41" s="4" cm="1">
        <f t="array" aca="1" ref="I41" ca="1">IF(ROW()&gt;7, (E41/INDIRECT("E"&amp;ROW()-7)-1)*100, "")</f>
        <v>6.3157699930644462</v>
      </c>
      <c r="J41" s="4" cm="1">
        <f t="array" aca="1" ref="J41" ca="1">IF(ROW()&gt;7, (F41/INDIRECT("F"&amp;ROW()-7)-1)*100, "")</f>
        <v>6.3157800544836107</v>
      </c>
      <c r="K41">
        <f t="shared" ca="1" si="0"/>
        <v>7896424</v>
      </c>
      <c r="L41" t="str">
        <f t="shared" ca="1" si="1"/>
        <v>Facebook</v>
      </c>
    </row>
    <row r="42" spans="2:12" x14ac:dyDescent="0.35">
      <c r="B42" s="3">
        <v>43505</v>
      </c>
      <c r="C42" s="4">
        <v>15837104</v>
      </c>
      <c r="D42" s="4">
        <v>11877828</v>
      </c>
      <c r="E42" s="4">
        <v>4839115</v>
      </c>
      <c r="F42" s="4">
        <v>11437908</v>
      </c>
      <c r="G42" s="4" cm="1">
        <f t="array" aca="1" ref="G42" ca="1">IF(ROW()&gt;7, (C42/INDIRECT("C"&amp;ROW()-7)-1)*100, "")</f>
        <v>1.030933622531971</v>
      </c>
      <c r="H42" s="4" cm="1">
        <f t="array" aca="1" ref="H42" ca="1">IF(ROW()&gt;7, (D42/INDIRECT("D"&amp;ROW()-7)-1)*100, "")</f>
        <v>1.030933622531971</v>
      </c>
      <c r="I42" s="4" cm="1">
        <f t="array" aca="1" ref="I42" ca="1">IF(ROW()&gt;7, (E42/INDIRECT("E"&amp;ROW()-7)-1)*100, "")</f>
        <v>1.0309336464473295</v>
      </c>
      <c r="J42" s="4" cm="1">
        <f t="array" aca="1" ref="J42" ca="1">IF(ROW()&gt;7, (F42/INDIRECT("F"&amp;ROW()-7)-1)*100, "")</f>
        <v>1.0309247389520326</v>
      </c>
      <c r="K42">
        <f t="shared" ca="1" si="0"/>
        <v>15837104</v>
      </c>
      <c r="L42" t="str">
        <f t="shared" ca="1" si="1"/>
        <v>Facebook</v>
      </c>
    </row>
    <row r="43" spans="2:12" x14ac:dyDescent="0.35">
      <c r="B43" s="3">
        <v>43506</v>
      </c>
      <c r="C43" s="4">
        <v>16645119</v>
      </c>
      <c r="D43" s="4">
        <v>12483839</v>
      </c>
      <c r="E43" s="4">
        <v>5086008</v>
      </c>
      <c r="F43" s="4">
        <v>12021475</v>
      </c>
      <c r="G43" s="4" cm="1">
        <f t="array" aca="1" ref="G43" ca="1">IF(ROW()&gt;7, (C43/INDIRECT("C"&amp;ROW()-7)-1)*100, "")</f>
        <v>2.999998143599969</v>
      </c>
      <c r="H43" s="4" cm="1">
        <f t="array" aca="1" ref="H43" ca="1">IF(ROW()&gt;7, (D43/INDIRECT("D"&amp;ROW()-7)-1)*100, "")</f>
        <v>3.0000003300266753</v>
      </c>
      <c r="I43" s="4" cm="1">
        <f t="array" aca="1" ref="I43" ca="1">IF(ROW()&gt;7, (E43/INDIRECT("E"&amp;ROW()-7)-1)*100, "")</f>
        <v>2.9999967597377886</v>
      </c>
      <c r="J43" s="4" cm="1">
        <f t="array" aca="1" ref="J43" ca="1">IF(ROW()&gt;7, (F43/INDIRECT("F"&amp;ROW()-7)-1)*100, "")</f>
        <v>2.9999995715999983</v>
      </c>
      <c r="K43">
        <f t="shared" ca="1" si="0"/>
        <v>16645119</v>
      </c>
      <c r="L43" t="str">
        <f t="shared" ca="1" si="1"/>
        <v>Facebook</v>
      </c>
    </row>
    <row r="44" spans="2:12" x14ac:dyDescent="0.35">
      <c r="B44" s="3">
        <v>43507</v>
      </c>
      <c r="C44" s="4">
        <v>8052789</v>
      </c>
      <c r="D44" s="4">
        <v>6039592</v>
      </c>
      <c r="E44" s="4">
        <v>2460574</v>
      </c>
      <c r="F44" s="4">
        <v>5815903</v>
      </c>
      <c r="G44" s="4" cm="1">
        <f t="array" aca="1" ref="G44" ca="1">IF(ROW()&gt;7, (C44/INDIRECT("C"&amp;ROW()-7)-1)*100, "")</f>
        <v>5.1020396177072547</v>
      </c>
      <c r="H44" s="4" cm="1">
        <f t="array" aca="1" ref="H44" ca="1">IF(ROW()&gt;7, (D44/INDIRECT("D"&amp;ROW()-7)-1)*100, "")</f>
        <v>5.1020393957407872</v>
      </c>
      <c r="I44" s="4" cm="1">
        <f t="array" aca="1" ref="I44" ca="1">IF(ROW()&gt;7, (E44/INDIRECT("E"&amp;ROW()-7)-1)*100, "")</f>
        <v>5.1020255611715637</v>
      </c>
      <c r="J44" s="4" cm="1">
        <f t="array" aca="1" ref="J44" ca="1">IF(ROW()&gt;7, (F44/INDIRECT("F"&amp;ROW()-7)-1)*100, "")</f>
        <v>5.1020334402081202</v>
      </c>
      <c r="K44">
        <f t="shared" ca="1" si="0"/>
        <v>8052789</v>
      </c>
      <c r="L44" t="str">
        <f t="shared" ca="1" si="1"/>
        <v>Facebook</v>
      </c>
    </row>
    <row r="45" spans="2:12" x14ac:dyDescent="0.35">
      <c r="B45" s="3">
        <v>43508</v>
      </c>
      <c r="C45" s="4">
        <v>8209154</v>
      </c>
      <c r="D45" s="4">
        <v>6156866</v>
      </c>
      <c r="E45" s="4">
        <v>2508352</v>
      </c>
      <c r="F45" s="4">
        <v>5928833</v>
      </c>
      <c r="G45" s="4" cm="1">
        <f t="array" aca="1" ref="G45" ca="1">IF(ROW()&gt;7, (C45/INDIRECT("C"&amp;ROW()-7)-1)*100, "")</f>
        <v>1.9417496223979036</v>
      </c>
      <c r="H45" s="4" cm="1">
        <f t="array" aca="1" ref="H45" ca="1">IF(ROW()&gt;7, (D45/INDIRECT("D"&amp;ROW()-7)-1)*100, "")</f>
        <v>1.9417536813745029</v>
      </c>
      <c r="I45" s="4" cm="1">
        <f t="array" aca="1" ref="I45" ca="1">IF(ROW()&gt;7, (E45/INDIRECT("E"&amp;ROW()-7)-1)*100, "")</f>
        <v>1.9417420488065051</v>
      </c>
      <c r="J45" s="4" cm="1">
        <f t="array" aca="1" ref="J45" ca="1">IF(ROW()&gt;7, (F45/INDIRECT("F"&amp;ROW()-7)-1)*100, "")</f>
        <v>1.9417449018664934</v>
      </c>
      <c r="K45">
        <f t="shared" ca="1" si="0"/>
        <v>8209154</v>
      </c>
      <c r="L45" t="str">
        <f t="shared" ca="1" si="1"/>
        <v>Facebook</v>
      </c>
    </row>
    <row r="46" spans="2:12" x14ac:dyDescent="0.35">
      <c r="B46" s="3">
        <v>43509</v>
      </c>
      <c r="C46" s="4">
        <v>7818242</v>
      </c>
      <c r="D46" s="4">
        <v>5863681</v>
      </c>
      <c r="E46" s="4">
        <v>2388907</v>
      </c>
      <c r="F46" s="4">
        <v>5646508</v>
      </c>
      <c r="G46" s="4" cm="1">
        <f t="array" aca="1" ref="G46" ca="1">IF(ROW()&gt;7, (C46/INDIRECT("C"&amp;ROW()-7)-1)*100, "")</f>
        <v>5.2631564774959561</v>
      </c>
      <c r="H46" s="4" cm="1">
        <f t="array" aca="1" ref="H46" ca="1">IF(ROW()&gt;7, (D46/INDIRECT("D"&amp;ROW()-7)-1)*100, "")</f>
        <v>5.2631569499094866</v>
      </c>
      <c r="I46" s="4" cm="1">
        <f t="array" aca="1" ref="I46" ca="1">IF(ROW()&gt;7, (E46/INDIRECT("E"&amp;ROW()-7)-1)*100, "")</f>
        <v>5.2631416608870385</v>
      </c>
      <c r="J46" s="4" cm="1">
        <f t="array" aca="1" ref="J46" ca="1">IF(ROW()&gt;7, (F46/INDIRECT("F"&amp;ROW()-7)-1)*100, "")</f>
        <v>5.2631500454030089</v>
      </c>
      <c r="K46">
        <f t="shared" ca="1" si="0"/>
        <v>7818242</v>
      </c>
      <c r="L46" t="str">
        <f t="shared" ca="1" si="1"/>
        <v>Facebook</v>
      </c>
    </row>
    <row r="47" spans="2:12" x14ac:dyDescent="0.35">
      <c r="B47" s="3">
        <v>43510</v>
      </c>
      <c r="C47" s="4">
        <v>7740060</v>
      </c>
      <c r="D47" s="4">
        <v>5805045</v>
      </c>
      <c r="E47" s="4">
        <v>2365018</v>
      </c>
      <c r="F47" s="4">
        <v>5590043</v>
      </c>
      <c r="G47" s="4" cm="1">
        <f t="array" aca="1" ref="G47" ca="1">IF(ROW()&gt;7, (C47/INDIRECT("C"&amp;ROW()-7)-1)*100, "")</f>
        <v>-2.9411731512286488</v>
      </c>
      <c r="H47" s="4" cm="1">
        <f t="array" aca="1" ref="H47" ca="1">IF(ROW()&gt;7, (D47/INDIRECT("D"&amp;ROW()-7)-1)*100, "")</f>
        <v>-2.9411690942332758</v>
      </c>
      <c r="I47" s="4" cm="1">
        <f t="array" aca="1" ref="I47" ca="1">IF(ROW()&gt;7, (E47/INDIRECT("E"&amp;ROW()-7)-1)*100, "")</f>
        <v>-2.9411680213076385</v>
      </c>
      <c r="J47" s="4" cm="1">
        <f t="array" aca="1" ref="J47" ca="1">IF(ROW()&gt;7, (F47/INDIRECT("F"&amp;ROW()-7)-1)*100, "")</f>
        <v>-2.9411723852223126</v>
      </c>
      <c r="K47">
        <f t="shared" ca="1" si="0"/>
        <v>7740060</v>
      </c>
      <c r="L47" t="str">
        <f t="shared" ca="1" si="1"/>
        <v>Facebook</v>
      </c>
    </row>
    <row r="48" spans="2:12" x14ac:dyDescent="0.35">
      <c r="B48" s="3">
        <v>43511</v>
      </c>
      <c r="C48" s="4">
        <v>7740060</v>
      </c>
      <c r="D48" s="4">
        <v>5805045</v>
      </c>
      <c r="E48" s="4">
        <v>2365018</v>
      </c>
      <c r="F48" s="4">
        <v>5590043</v>
      </c>
      <c r="G48" s="4" cm="1">
        <f t="array" aca="1" ref="G48" ca="1">IF(ROW()&gt;7, (C48/INDIRECT("C"&amp;ROW()-7)-1)*100, "")</f>
        <v>-1.9801874873993541</v>
      </c>
      <c r="H48" s="4" cm="1">
        <f t="array" aca="1" ref="H48" ca="1">IF(ROW()&gt;7, (D48/INDIRECT("D"&amp;ROW()-7)-1)*100, "")</f>
        <v>-1.9801874873993541</v>
      </c>
      <c r="I48" s="4" cm="1">
        <f t="array" aca="1" ref="I48" ca="1">IF(ROW()&gt;7, (E48/INDIRECT("E"&amp;ROW()-7)-1)*100, "")</f>
        <v>-1.9801922748545642</v>
      </c>
      <c r="J48" s="4" cm="1">
        <f t="array" aca="1" ref="J48" ca="1">IF(ROW()&gt;7, (F48/INDIRECT("F"&amp;ROW()-7)-1)*100, "")</f>
        <v>-1.9801952420255176</v>
      </c>
      <c r="K48">
        <f t="shared" ca="1" si="0"/>
        <v>7740060</v>
      </c>
      <c r="L48" t="str">
        <f t="shared" ca="1" si="1"/>
        <v>Facebook</v>
      </c>
    </row>
    <row r="49" spans="2:12" x14ac:dyDescent="0.35">
      <c r="B49" s="3">
        <v>43512</v>
      </c>
      <c r="C49" s="4">
        <v>16483516</v>
      </c>
      <c r="D49" s="4">
        <v>12362637</v>
      </c>
      <c r="E49" s="4">
        <v>5036630</v>
      </c>
      <c r="F49" s="4">
        <v>11904761</v>
      </c>
      <c r="G49" s="4" cm="1">
        <f t="array" aca="1" ref="G49" ca="1">IF(ROW()&gt;7, (C49/INDIRECT("C"&amp;ROW()-7)-1)*100, "")</f>
        <v>4.0816300758017343</v>
      </c>
      <c r="H49" s="4" cm="1">
        <f t="array" aca="1" ref="H49" ca="1">IF(ROW()&gt;7, (D49/INDIRECT("D"&amp;ROW()-7)-1)*100, "")</f>
        <v>4.0816300758017343</v>
      </c>
      <c r="I49" s="4" cm="1">
        <f t="array" aca="1" ref="I49" ca="1">IF(ROW()&gt;7, (E49/INDIRECT("E"&amp;ROW()-7)-1)*100, "")</f>
        <v>4.0816347617281368</v>
      </c>
      <c r="J49" s="4" cm="1">
        <f t="array" aca="1" ref="J49" ca="1">IF(ROW()&gt;7, (F49/INDIRECT("F"&amp;ROW()-7)-1)*100, "")</f>
        <v>4.0816292629736184</v>
      </c>
      <c r="K49">
        <f t="shared" ca="1" si="0"/>
        <v>16483516</v>
      </c>
      <c r="L49" t="str">
        <f t="shared" ca="1" si="1"/>
        <v>Facebook</v>
      </c>
    </row>
    <row r="50" spans="2:12" x14ac:dyDescent="0.35">
      <c r="B50" s="3">
        <v>43513</v>
      </c>
      <c r="C50" s="4">
        <v>16321913</v>
      </c>
      <c r="D50" s="4">
        <v>12241435</v>
      </c>
      <c r="E50" s="4">
        <v>4987251</v>
      </c>
      <c r="F50" s="4">
        <v>11788048</v>
      </c>
      <c r="G50" s="4" cm="1">
        <f t="array" aca="1" ref="G50" ca="1">IF(ROW()&gt;7, (C50/INDIRECT("C"&amp;ROW()-7)-1)*100, "")</f>
        <v>-1.941746406258793</v>
      </c>
      <c r="H50" s="4" cm="1">
        <f t="array" aca="1" ref="H50" ca="1">IF(ROW()&gt;7, (D50/INDIRECT("D"&amp;ROW()-7)-1)*100, "")</f>
        <v>-1.9417424399657879</v>
      </c>
      <c r="I50" s="4" cm="1">
        <f t="array" aca="1" ref="I50" ca="1">IF(ROW()&gt;7, (E50/INDIRECT("E"&amp;ROW()-7)-1)*100, "")</f>
        <v>-1.9417389827149356</v>
      </c>
      <c r="J50" s="4" cm="1">
        <f t="array" aca="1" ref="J50" ca="1">IF(ROW()&gt;7, (F50/INDIRECT("F"&amp;ROW()-7)-1)*100, "")</f>
        <v>-1.9417500764257301</v>
      </c>
      <c r="K50">
        <f t="shared" ca="1" si="0"/>
        <v>16321913</v>
      </c>
      <c r="L50" t="str">
        <f t="shared" ca="1" si="1"/>
        <v>Facebook</v>
      </c>
    </row>
    <row r="51" spans="2:12" x14ac:dyDescent="0.35">
      <c r="B51" s="3">
        <v>43514</v>
      </c>
      <c r="C51" s="4">
        <v>7818242</v>
      </c>
      <c r="D51" s="4">
        <v>5863681</v>
      </c>
      <c r="E51" s="4">
        <v>2388907</v>
      </c>
      <c r="F51" s="4">
        <v>5646508</v>
      </c>
      <c r="G51" s="4" cm="1">
        <f t="array" aca="1" ref="G51" ca="1">IF(ROW()&gt;7, (C51/INDIRECT("C"&amp;ROW()-7)-1)*100, "")</f>
        <v>-2.9126182245679089</v>
      </c>
      <c r="H51" s="4" cm="1">
        <f t="array" aca="1" ref="H51" ca="1">IF(ROW()&gt;7, (D51/INDIRECT("D"&amp;ROW()-7)-1)*100, "")</f>
        <v>-2.9126305220617543</v>
      </c>
      <c r="I51" s="4" cm="1">
        <f t="array" aca="1" ref="I51" ca="1">IF(ROW()&gt;7, (E51/INDIRECT("E"&amp;ROW()-7)-1)*100, "")</f>
        <v>-2.9126130732097466</v>
      </c>
      <c r="J51" s="4" cm="1">
        <f t="array" aca="1" ref="J51" ca="1">IF(ROW()&gt;7, (F51/INDIRECT("F"&amp;ROW()-7)-1)*100, "")</f>
        <v>-2.912617352799729</v>
      </c>
      <c r="K51">
        <f t="shared" ca="1" si="0"/>
        <v>7818242</v>
      </c>
      <c r="L51" t="str">
        <f t="shared" ca="1" si="1"/>
        <v>Facebook</v>
      </c>
    </row>
    <row r="52" spans="2:12" x14ac:dyDescent="0.35">
      <c r="B52" s="3">
        <v>43515</v>
      </c>
      <c r="C52" s="4">
        <v>7896424</v>
      </c>
      <c r="D52" s="4">
        <v>5922318</v>
      </c>
      <c r="E52" s="4">
        <v>2412796</v>
      </c>
      <c r="F52" s="4">
        <v>5702973</v>
      </c>
      <c r="G52" s="4" cm="1">
        <f t="array" aca="1" ref="G52" ca="1">IF(ROW()&gt;7, (C52/INDIRECT("C"&amp;ROW()-7)-1)*100, "")</f>
        <v>-3.8095277540170391</v>
      </c>
      <c r="H52" s="4" cm="1">
        <f t="array" aca="1" ref="H52" ca="1">IF(ROW()&gt;7, (D52/INDIRECT("D"&amp;ROW()-7)-1)*100, "")</f>
        <v>-3.8095355656595387</v>
      </c>
      <c r="I52" s="4" cm="1">
        <f t="array" aca="1" ref="I52" ca="1">IF(ROW()&gt;7, (E52/INDIRECT("E"&amp;ROW()-7)-1)*100, "")</f>
        <v>-3.8095131783736913</v>
      </c>
      <c r="J52" s="4" cm="1">
        <f t="array" aca="1" ref="J52" ca="1">IF(ROW()&gt;7, (F52/INDIRECT("F"&amp;ROW()-7)-1)*100, "")</f>
        <v>-3.8095186691883498</v>
      </c>
      <c r="K52">
        <f t="shared" ca="1" si="0"/>
        <v>7896424</v>
      </c>
      <c r="L52" t="str">
        <f t="shared" ca="1" si="1"/>
        <v>Facebook</v>
      </c>
    </row>
    <row r="53" spans="2:12" x14ac:dyDescent="0.35">
      <c r="B53" s="3">
        <v>43516</v>
      </c>
      <c r="C53" s="4">
        <v>7974607</v>
      </c>
      <c r="D53" s="4">
        <v>5980955</v>
      </c>
      <c r="E53" s="4">
        <v>2436685</v>
      </c>
      <c r="F53" s="4">
        <v>5759438</v>
      </c>
      <c r="G53" s="4" cm="1">
        <f t="array" aca="1" ref="G53" ca="1">IF(ROW()&gt;7, (C53/INDIRECT("C"&amp;ROW()-7)-1)*100, "")</f>
        <v>2.0000020464958856</v>
      </c>
      <c r="H53" s="4" cm="1">
        <f t="array" aca="1" ref="H53" ca="1">IF(ROW()&gt;7, (D53/INDIRECT("D"&amp;ROW()-7)-1)*100, "")</f>
        <v>2.0000064805708151</v>
      </c>
      <c r="I53" s="4" cm="1">
        <f t="array" aca="1" ref="I53" ca="1">IF(ROW()&gt;7, (E53/INDIRECT("E"&amp;ROW()-7)-1)*100, "")</f>
        <v>1.9999941395793197</v>
      </c>
      <c r="J53" s="4" cm="1">
        <f t="array" aca="1" ref="J53" ca="1">IF(ROW()&gt;7, (F53/INDIRECT("F"&amp;ROW()-7)-1)*100, "")</f>
        <v>1.9999971663902771</v>
      </c>
      <c r="K53">
        <f t="shared" ca="1" si="0"/>
        <v>7974607</v>
      </c>
      <c r="L53" t="str">
        <f t="shared" ca="1" si="1"/>
        <v>Facebook</v>
      </c>
    </row>
    <row r="54" spans="2:12" x14ac:dyDescent="0.35">
      <c r="B54" s="3">
        <v>43517</v>
      </c>
      <c r="C54" s="4">
        <v>7505512</v>
      </c>
      <c r="D54" s="4">
        <v>5629134</v>
      </c>
      <c r="E54" s="4">
        <v>2293351</v>
      </c>
      <c r="F54" s="4">
        <v>5420648</v>
      </c>
      <c r="G54" s="4" cm="1">
        <f t="array" aca="1" ref="G54" ca="1">IF(ROW()&gt;7, (C54/INDIRECT("C"&amp;ROW()-7)-1)*100, "")</f>
        <v>-3.0303124265186554</v>
      </c>
      <c r="H54" s="4" cm="1">
        <f t="array" aca="1" ref="H54" ca="1">IF(ROW()&gt;7, (D54/INDIRECT("D"&amp;ROW()-7)-1)*100, "")</f>
        <v>-3.0303124265186554</v>
      </c>
      <c r="I54" s="4" cm="1">
        <f t="array" aca="1" ref="I54" ca="1">IF(ROW()&gt;7, (E54/INDIRECT("E"&amp;ROW()-7)-1)*100, "")</f>
        <v>-3.0302940611868445</v>
      </c>
      <c r="J54" s="4" cm="1">
        <f t="array" aca="1" ref="J54" ca="1">IF(ROW()&gt;7, (F54/INDIRECT("F"&amp;ROW()-7)-1)*100, "")</f>
        <v>-3.0302986935878629</v>
      </c>
      <c r="K54">
        <f t="shared" ca="1" si="0"/>
        <v>7505512</v>
      </c>
      <c r="L54" t="str">
        <f t="shared" ca="1" si="1"/>
        <v>Facebook</v>
      </c>
    </row>
    <row r="55" spans="2:12" x14ac:dyDescent="0.35">
      <c r="B55" s="3">
        <v>43518</v>
      </c>
      <c r="C55" s="4">
        <v>7974607</v>
      </c>
      <c r="D55" s="4">
        <v>5980955</v>
      </c>
      <c r="E55" s="4">
        <v>2436685</v>
      </c>
      <c r="F55" s="4">
        <v>5759438</v>
      </c>
      <c r="G55" s="4" cm="1">
        <f t="array" aca="1" ref="G55" ca="1">IF(ROW()&gt;7, (C55/INDIRECT("C"&amp;ROW()-7)-1)*100, "")</f>
        <v>3.0302995067221783</v>
      </c>
      <c r="H55" s="4" cm="1">
        <f t="array" aca="1" ref="H55" ca="1">IF(ROW()&gt;7, (D55/INDIRECT("D"&amp;ROW()-7)-1)*100, "")</f>
        <v>3.0302952001233452</v>
      </c>
      <c r="I55" s="4" cm="1">
        <f t="array" aca="1" ref="I55" ca="1">IF(ROW()&gt;7, (E55/INDIRECT("E"&amp;ROW()-7)-1)*100, "")</f>
        <v>3.0302940611868445</v>
      </c>
      <c r="J55" s="4" cm="1">
        <f t="array" aca="1" ref="J55" ca="1">IF(ROW()&gt;7, (F55/INDIRECT("F"&amp;ROW()-7)-1)*100, "")</f>
        <v>3.0302986935878629</v>
      </c>
      <c r="K55">
        <f t="shared" ca="1" si="0"/>
        <v>7974607</v>
      </c>
      <c r="L55" t="str">
        <f t="shared" ca="1" si="1"/>
        <v>Facebook</v>
      </c>
    </row>
    <row r="56" spans="2:12" x14ac:dyDescent="0.35">
      <c r="B56" s="3">
        <v>43519</v>
      </c>
      <c r="C56" s="4">
        <v>15513897</v>
      </c>
      <c r="D56" s="4">
        <v>11635423</v>
      </c>
      <c r="E56" s="4">
        <v>4740357</v>
      </c>
      <c r="F56" s="4">
        <v>11204481</v>
      </c>
      <c r="G56" s="4" cm="1">
        <f t="array" aca="1" ref="G56" ca="1">IF(ROW()&gt;7, (C56/INDIRECT("C"&amp;ROW()-7)-1)*100, "")</f>
        <v>-5.8823554392157584</v>
      </c>
      <c r="H56" s="4" cm="1">
        <f t="array" aca="1" ref="H56" ca="1">IF(ROW()&gt;7, (D56/INDIRECT("D"&amp;ROW()-7)-1)*100, "")</f>
        <v>-5.8823534169934799</v>
      </c>
      <c r="I56" s="4" cm="1">
        <f t="array" aca="1" ref="I56" ca="1">IF(ROW()&gt;7, (E56/INDIRECT("E"&amp;ROW()-7)-1)*100, "")</f>
        <v>-5.8823657882353881</v>
      </c>
      <c r="J56" s="4" cm="1">
        <f t="array" aca="1" ref="J56" ca="1">IF(ROW()&gt;7, (F56/INDIRECT("F"&amp;ROW()-7)-1)*100, "")</f>
        <v>-5.8823524470587802</v>
      </c>
      <c r="K56">
        <f t="shared" ca="1" si="0"/>
        <v>15513897</v>
      </c>
      <c r="L56" t="str">
        <f t="shared" ca="1" si="1"/>
        <v>Facebook</v>
      </c>
    </row>
    <row r="57" spans="2:12" x14ac:dyDescent="0.35">
      <c r="B57" s="3">
        <v>43520</v>
      </c>
      <c r="C57" s="4">
        <v>15998707</v>
      </c>
      <c r="D57" s="4">
        <v>11999030</v>
      </c>
      <c r="E57" s="4">
        <v>4888493</v>
      </c>
      <c r="F57" s="4">
        <v>11554621</v>
      </c>
      <c r="G57" s="4" cm="1">
        <f t="array" aca="1" ref="G57" ca="1">IF(ROW()&gt;7, (C57/INDIRECT("C"&amp;ROW()-7)-1)*100, "")</f>
        <v>-1.9801968065875641</v>
      </c>
      <c r="H57" s="4" cm="1">
        <f t="array" aca="1" ref="H57" ca="1">IF(ROW()&gt;7, (D57/INDIRECT("D"&amp;ROW()-7)-1)*100, "")</f>
        <v>-1.9802008506355717</v>
      </c>
      <c r="I57" s="4" cm="1">
        <f t="array" aca="1" ref="I57" ca="1">IF(ROW()&gt;7, (E57/INDIRECT("E"&amp;ROW()-7)-1)*100, "")</f>
        <v>-1.980209137258182</v>
      </c>
      <c r="J57" s="4" cm="1">
        <f t="array" aca="1" ref="J57" ca="1">IF(ROW()&gt;7, (F57/INDIRECT("F"&amp;ROW()-7)-1)*100, "")</f>
        <v>-1.980200623546835</v>
      </c>
      <c r="K57">
        <f t="shared" ca="1" si="0"/>
        <v>15998707</v>
      </c>
      <c r="L57" t="str">
        <f t="shared" ca="1" si="1"/>
        <v>Facebook</v>
      </c>
    </row>
    <row r="58" spans="2:12" x14ac:dyDescent="0.35">
      <c r="B58" s="3">
        <v>43521</v>
      </c>
      <c r="C58" s="4">
        <v>7583695</v>
      </c>
      <c r="D58" s="4">
        <v>5687771</v>
      </c>
      <c r="E58" s="4">
        <v>2317240</v>
      </c>
      <c r="F58" s="4">
        <v>5477113</v>
      </c>
      <c r="G58" s="4" cm="1">
        <f t="array" aca="1" ref="G58" ca="1">IF(ROW()&gt;7, (C58/INDIRECT("C"&amp;ROW()-7)-1)*100, "")</f>
        <v>-2.9999966744442053</v>
      </c>
      <c r="H58" s="4" cm="1">
        <f t="array" aca="1" ref="H58" ca="1">IF(ROW()&gt;7, (D58/INDIRECT("D"&amp;ROW()-7)-1)*100, "")</f>
        <v>-2.9999926667224952</v>
      </c>
      <c r="I58" s="4" cm="1">
        <f t="array" aca="1" ref="I58" ca="1">IF(ROW()&gt;7, (E58/INDIRECT("E"&amp;ROW()-7)-1)*100, "")</f>
        <v>-2.9999912093689685</v>
      </c>
      <c r="J58" s="4" cm="1">
        <f t="array" aca="1" ref="J58" ca="1">IF(ROW()&gt;7, (F58/INDIRECT("F"&amp;ROW()-7)-1)*100, "")</f>
        <v>-2.9999957495854046</v>
      </c>
      <c r="K58">
        <f t="shared" ca="1" si="0"/>
        <v>7583695</v>
      </c>
      <c r="L58" t="str">
        <f t="shared" ca="1" si="1"/>
        <v>Facebook</v>
      </c>
    </row>
    <row r="59" spans="2:12" x14ac:dyDescent="0.35">
      <c r="B59" s="3">
        <v>43522</v>
      </c>
      <c r="C59" s="4">
        <v>8052789</v>
      </c>
      <c r="D59" s="4">
        <v>6039592</v>
      </c>
      <c r="E59" s="4">
        <v>2460574</v>
      </c>
      <c r="F59" s="4">
        <v>5815903</v>
      </c>
      <c r="G59" s="4" cm="1">
        <f t="array" aca="1" ref="G59" ca="1">IF(ROW()&gt;7, (C59/INDIRECT("C"&amp;ROW()-7)-1)*100, "")</f>
        <v>1.9802001513596457</v>
      </c>
      <c r="H59" s="4" cm="1">
        <f t="array" aca="1" ref="H59" ca="1">IF(ROW()&gt;7, (D59/INDIRECT("D"&amp;ROW()-7)-1)*100, "")</f>
        <v>1.9802043726797613</v>
      </c>
      <c r="I59" s="4" cm="1">
        <f t="array" aca="1" ref="I59" ca="1">IF(ROW()&gt;7, (E59/INDIRECT("E"&amp;ROW()-7)-1)*100, "")</f>
        <v>1.9801922748545753</v>
      </c>
      <c r="J59" s="4" cm="1">
        <f t="array" aca="1" ref="J59" ca="1">IF(ROW()&gt;7, (F59/INDIRECT("F"&amp;ROW()-7)-1)*100, "")</f>
        <v>1.9801952420255287</v>
      </c>
      <c r="K59">
        <f t="shared" ca="1" si="0"/>
        <v>8052789</v>
      </c>
      <c r="L59" t="str">
        <f t="shared" ca="1" si="1"/>
        <v>Facebook</v>
      </c>
    </row>
    <row r="60" spans="2:12" x14ac:dyDescent="0.35">
      <c r="B60" s="3">
        <v>43523</v>
      </c>
      <c r="C60" s="4">
        <v>7740060</v>
      </c>
      <c r="D60" s="4">
        <v>5805045</v>
      </c>
      <c r="E60" s="4">
        <v>2365018</v>
      </c>
      <c r="F60" s="4">
        <v>5590043</v>
      </c>
      <c r="G60" s="4" cm="1">
        <f t="array" aca="1" ref="G60" ca="1">IF(ROW()&gt;7, (C60/INDIRECT("C"&amp;ROW()-7)-1)*100, "")</f>
        <v>-2.9411731512286488</v>
      </c>
      <c r="H60" s="4" cm="1">
        <f t="array" aca="1" ref="H60" ca="1">IF(ROW()&gt;7, (D60/INDIRECT("D"&amp;ROW()-7)-1)*100, "")</f>
        <v>-2.9411690942332758</v>
      </c>
      <c r="I60" s="4" cm="1">
        <f t="array" aca="1" ref="I60" ca="1">IF(ROW()&gt;7, (E60/INDIRECT("E"&amp;ROW()-7)-1)*100, "")</f>
        <v>-2.9411680213076385</v>
      </c>
      <c r="J60" s="4" cm="1">
        <f t="array" aca="1" ref="J60" ca="1">IF(ROW()&gt;7, (F60/INDIRECT("F"&amp;ROW()-7)-1)*100, "")</f>
        <v>-2.9411723852223126</v>
      </c>
      <c r="K60">
        <f t="shared" ca="1" si="0"/>
        <v>7740060</v>
      </c>
      <c r="L60" t="str">
        <f t="shared" ca="1" si="1"/>
        <v>Facebook</v>
      </c>
    </row>
    <row r="61" spans="2:12" x14ac:dyDescent="0.35">
      <c r="B61" s="3">
        <v>43524</v>
      </c>
      <c r="C61" s="4">
        <v>8130972</v>
      </c>
      <c r="D61" s="4">
        <v>6098229</v>
      </c>
      <c r="E61" s="4">
        <v>2484463</v>
      </c>
      <c r="F61" s="4">
        <v>5872368</v>
      </c>
      <c r="G61" s="4" cm="1">
        <f t="array" aca="1" ref="G61" ca="1">IF(ROW()&gt;7, (C61/INDIRECT("C"&amp;ROW()-7)-1)*100, "")</f>
        <v>8.3333422156942838</v>
      </c>
      <c r="H61" s="4" cm="1">
        <f t="array" aca="1" ref="H61" ca="1">IF(ROW()&gt;7, (D61/INDIRECT("D"&amp;ROW()-7)-1)*100, "")</f>
        <v>8.3333422156942838</v>
      </c>
      <c r="I61" s="4" cm="1">
        <f t="array" aca="1" ref="I61" ca="1">IF(ROW()&gt;7, (E61/INDIRECT("E"&amp;ROW()-7)-1)*100, "")</f>
        <v>8.3333078974827668</v>
      </c>
      <c r="J61" s="4" cm="1">
        <f t="array" aca="1" ref="J61" ca="1">IF(ROW()&gt;7, (F61/INDIRECT("F"&amp;ROW()-7)-1)*100, "")</f>
        <v>8.3333210346807185</v>
      </c>
      <c r="K61">
        <f t="shared" ca="1" si="0"/>
        <v>8130972</v>
      </c>
      <c r="L61" t="str">
        <f t="shared" ca="1" si="1"/>
        <v>Facebook</v>
      </c>
    </row>
    <row r="62" spans="2:12" x14ac:dyDescent="0.35">
      <c r="B62" s="3">
        <v>43525</v>
      </c>
      <c r="C62" s="4">
        <v>8052789</v>
      </c>
      <c r="D62" s="4">
        <v>6039592</v>
      </c>
      <c r="E62" s="4">
        <v>2460574</v>
      </c>
      <c r="F62" s="4">
        <v>5815903</v>
      </c>
      <c r="G62" s="4" cm="1">
        <f t="array" aca="1" ref="G62" ca="1">IF(ROW()&gt;7, (C62/INDIRECT("C"&amp;ROW()-7)-1)*100, "")</f>
        <v>0.9803868704752583</v>
      </c>
      <c r="H62" s="4" cm="1">
        <f t="array" aca="1" ref="H62" ca="1">IF(ROW()&gt;7, (D62/INDIRECT("D"&amp;ROW()-7)-1)*100, "")</f>
        <v>0.98039527132371962</v>
      </c>
      <c r="I62" s="4" cm="1">
        <f t="array" aca="1" ref="I62" ca="1">IF(ROW()&gt;7, (E62/INDIRECT("E"&amp;ROW()-7)-1)*100, "")</f>
        <v>0.98038934043587211</v>
      </c>
      <c r="J62" s="4" cm="1">
        <f t="array" aca="1" ref="J62" ca="1">IF(ROW()&gt;7, (F62/INDIRECT("F"&amp;ROW()-7)-1)*100, "")</f>
        <v>0.9803907950741042</v>
      </c>
      <c r="K62">
        <f t="shared" ca="1" si="0"/>
        <v>8052789</v>
      </c>
      <c r="L62" t="str">
        <f t="shared" ca="1" si="1"/>
        <v>Facebook</v>
      </c>
    </row>
    <row r="63" spans="2:12" x14ac:dyDescent="0.35">
      <c r="B63" s="3">
        <v>43526</v>
      </c>
      <c r="C63" s="4">
        <v>16806722</v>
      </c>
      <c r="D63" s="4">
        <v>12605042</v>
      </c>
      <c r="E63" s="4">
        <v>5135387</v>
      </c>
      <c r="F63" s="4">
        <v>12138188</v>
      </c>
      <c r="G63" s="4" cm="1">
        <f t="array" aca="1" ref="G63" ca="1">IF(ROW()&gt;7, (C63/INDIRECT("C"&amp;ROW()-7)-1)*100, "")</f>
        <v>8.3333349447917584</v>
      </c>
      <c r="H63" s="4" cm="1">
        <f t="array" aca="1" ref="H63" ca="1">IF(ROW()&gt;7, (D63/INDIRECT("D"&amp;ROW()-7)-1)*100, "")</f>
        <v>8.3333369143519853</v>
      </c>
      <c r="I63" s="4" cm="1">
        <f t="array" aca="1" ref="I63" ca="1">IF(ROW()&gt;7, (E63/INDIRECT("E"&amp;ROW()-7)-1)*100, "")</f>
        <v>8.3333386071977387</v>
      </c>
      <c r="J63" s="4" cm="1">
        <f t="array" aca="1" ref="J63" ca="1">IF(ROW()&gt;7, (F63/INDIRECT("F"&amp;ROW()-7)-1)*100, "")</f>
        <v>8.3333355645834892</v>
      </c>
      <c r="K63">
        <f t="shared" ca="1" si="0"/>
        <v>16806722</v>
      </c>
      <c r="L63" t="str">
        <f t="shared" ca="1" si="1"/>
        <v>Facebook</v>
      </c>
    </row>
    <row r="64" spans="2:12" x14ac:dyDescent="0.35">
      <c r="B64" s="3">
        <v>43527</v>
      </c>
      <c r="C64" s="4">
        <v>15837104</v>
      </c>
      <c r="D64" s="4">
        <v>11877828</v>
      </c>
      <c r="E64" s="4">
        <v>4839115</v>
      </c>
      <c r="F64" s="4">
        <v>11437908</v>
      </c>
      <c r="G64" s="4" cm="1">
        <f t="array" aca="1" ref="G64" ca="1">IF(ROW()&gt;7, (C64/INDIRECT("C"&amp;ROW()-7)-1)*100, "")</f>
        <v>-1.0101003787368557</v>
      </c>
      <c r="H64" s="4" cm="1">
        <f t="array" aca="1" ref="H64" ca="1">IF(ROW()&gt;7, (D64/INDIRECT("D"&amp;ROW()-7)-1)*100, "")</f>
        <v>-1.010098316280561</v>
      </c>
      <c r="I64" s="4" cm="1">
        <f t="array" aca="1" ref="I64" ca="1">IF(ROW()&gt;7, (E64/INDIRECT("E"&amp;ROW()-7)-1)*100, "")</f>
        <v>-1.0100863394915338</v>
      </c>
      <c r="J64" s="4" cm="1">
        <f t="array" aca="1" ref="J64" ca="1">IF(ROW()&gt;7, (F64/INDIRECT("F"&amp;ROW()-7)-1)*100, "")</f>
        <v>-1.0100980378326518</v>
      </c>
      <c r="K64">
        <f t="shared" ca="1" si="0"/>
        <v>15837104</v>
      </c>
      <c r="L64" t="str">
        <f t="shared" ca="1" si="1"/>
        <v>Facebook</v>
      </c>
    </row>
    <row r="65" spans="2:12" x14ac:dyDescent="0.35">
      <c r="B65" s="3">
        <v>43528</v>
      </c>
      <c r="C65" s="4">
        <v>7818242</v>
      </c>
      <c r="D65" s="4">
        <v>5863681</v>
      </c>
      <c r="E65" s="4">
        <v>2388907</v>
      </c>
      <c r="F65" s="4">
        <v>5646508</v>
      </c>
      <c r="G65" s="4" cm="1">
        <f t="array" aca="1" ref="G65" ca="1">IF(ROW()&gt;7, (C65/INDIRECT("C"&amp;ROW()-7)-1)*100, "")</f>
        <v>3.0927799707134884</v>
      </c>
      <c r="H65" s="4" cm="1">
        <f t="array" aca="1" ref="H65" ca="1">IF(ROW()&gt;7, (D65/INDIRECT("D"&amp;ROW()-7)-1)*100, "")</f>
        <v>3.0927757112584109</v>
      </c>
      <c r="I65" s="4" cm="1">
        <f t="array" aca="1" ref="I65" ca="1">IF(ROW()&gt;7, (E65/INDIRECT("E"&amp;ROW()-7)-1)*100, "")</f>
        <v>3.0927741623655747</v>
      </c>
      <c r="J65" s="4" cm="1">
        <f t="array" aca="1" ref="J65" ca="1">IF(ROW()&gt;7, (F65/INDIRECT("F"&amp;ROW()-7)-1)*100, "")</f>
        <v>3.0927789877623457</v>
      </c>
      <c r="K65">
        <f t="shared" ca="1" si="0"/>
        <v>7818242</v>
      </c>
      <c r="L65" t="str">
        <f t="shared" ca="1" si="1"/>
        <v>Facebook</v>
      </c>
    </row>
    <row r="66" spans="2:12" x14ac:dyDescent="0.35">
      <c r="B66" s="3">
        <v>43529</v>
      </c>
      <c r="C66" s="4">
        <v>7818242</v>
      </c>
      <c r="D66" s="4">
        <v>5863681</v>
      </c>
      <c r="E66" s="4">
        <v>2388907</v>
      </c>
      <c r="F66" s="4">
        <v>5646508</v>
      </c>
      <c r="G66" s="4" cm="1">
        <f t="array" aca="1" ref="G66" ca="1">IF(ROW()&gt;7, (C66/INDIRECT("C"&amp;ROW()-7)-1)*100, "")</f>
        <v>-2.9126182245679089</v>
      </c>
      <c r="H66" s="4" cm="1">
        <f t="array" aca="1" ref="H66" ca="1">IF(ROW()&gt;7, (D66/INDIRECT("D"&amp;ROW()-7)-1)*100, "")</f>
        <v>-2.9126305220617543</v>
      </c>
      <c r="I66" s="4" cm="1">
        <f t="array" aca="1" ref="I66" ca="1">IF(ROW()&gt;7, (E66/INDIRECT("E"&amp;ROW()-7)-1)*100, "")</f>
        <v>-2.9126130732097466</v>
      </c>
      <c r="J66" s="4" cm="1">
        <f t="array" aca="1" ref="J66" ca="1">IF(ROW()&gt;7, (F66/INDIRECT("F"&amp;ROW()-7)-1)*100, "")</f>
        <v>-2.912617352799729</v>
      </c>
      <c r="K66">
        <f t="shared" ca="1" si="0"/>
        <v>7818242</v>
      </c>
      <c r="L66" t="str">
        <f t="shared" ca="1" si="1"/>
        <v>Facebook</v>
      </c>
    </row>
    <row r="67" spans="2:12" x14ac:dyDescent="0.35">
      <c r="B67" s="3">
        <v>43530</v>
      </c>
      <c r="C67" s="4">
        <v>7583695</v>
      </c>
      <c r="D67" s="4">
        <v>5687771</v>
      </c>
      <c r="E67" s="4">
        <v>2317240</v>
      </c>
      <c r="F67" s="4">
        <v>5477113</v>
      </c>
      <c r="G67" s="4" cm="1">
        <f t="array" aca="1" ref="G67" ca="1">IF(ROW()&gt;7, (C67/INDIRECT("C"&amp;ROW()-7)-1)*100, "")</f>
        <v>-2.0202039777469372</v>
      </c>
      <c r="H67" s="4" cm="1">
        <f t="array" aca="1" ref="H67" ca="1">IF(ROW()&gt;7, (D67/INDIRECT("D"&amp;ROW()-7)-1)*100, "")</f>
        <v>-2.0202082843457703</v>
      </c>
      <c r="I67" s="4" cm="1">
        <f t="array" aca="1" ref="I67" ca="1">IF(ROW()&gt;7, (E67/INDIRECT("E"&amp;ROW()-7)-1)*100, "")</f>
        <v>-2.0201960407912334</v>
      </c>
      <c r="J67" s="4" cm="1">
        <f t="array" aca="1" ref="J67" ca="1">IF(ROW()&gt;7, (F67/INDIRECT("F"&amp;ROW()-7)-1)*100, "")</f>
        <v>-2.0201991290585752</v>
      </c>
      <c r="K67">
        <f t="shared" ca="1" si="0"/>
        <v>7583695</v>
      </c>
      <c r="L67" t="str">
        <f t="shared" ca="1" si="1"/>
        <v>Facebook</v>
      </c>
    </row>
    <row r="68" spans="2:12" x14ac:dyDescent="0.35">
      <c r="B68" s="3">
        <v>43531</v>
      </c>
      <c r="C68" s="4">
        <v>7818242</v>
      </c>
      <c r="D68" s="4">
        <v>5863681</v>
      </c>
      <c r="E68" s="4">
        <v>2388907</v>
      </c>
      <c r="F68" s="4">
        <v>5646508</v>
      </c>
      <c r="G68" s="4" cm="1">
        <f t="array" aca="1" ref="G68" ca="1">IF(ROW()&gt;7, (C68/INDIRECT("C"&amp;ROW()-7)-1)*100, "")</f>
        <v>-3.8461576303546519</v>
      </c>
      <c r="H68" s="4" cm="1">
        <f t="array" aca="1" ref="H68" ca="1">IF(ROW()&gt;7, (D68/INDIRECT("D"&amp;ROW()-7)-1)*100, "")</f>
        <v>-3.8461658294563827</v>
      </c>
      <c r="I68" s="4" cm="1">
        <f t="array" aca="1" ref="I68" ca="1">IF(ROW()&gt;7, (E68/INDIRECT("E"&amp;ROW()-7)-1)*100, "")</f>
        <v>-3.8461430095759086</v>
      </c>
      <c r="J68" s="4" cm="1">
        <f t="array" aca="1" ref="J68" ca="1">IF(ROW()&gt;7, (F68/INDIRECT("F"&amp;ROW()-7)-1)*100, "")</f>
        <v>-3.8461486064905959</v>
      </c>
      <c r="K68">
        <f t="shared" ca="1" si="0"/>
        <v>7818242</v>
      </c>
      <c r="L68" t="str">
        <f t="shared" ca="1" si="1"/>
        <v>Facebook</v>
      </c>
    </row>
    <row r="69" spans="2:12" x14ac:dyDescent="0.35">
      <c r="B69" s="3">
        <v>43532</v>
      </c>
      <c r="C69" s="4">
        <v>7818242</v>
      </c>
      <c r="D69" s="4">
        <v>5863681</v>
      </c>
      <c r="E69" s="4">
        <v>2388907</v>
      </c>
      <c r="F69" s="4">
        <v>5646508</v>
      </c>
      <c r="G69" s="4" cm="1">
        <f t="array" aca="1" ref="G69" ca="1">IF(ROW()&gt;7, (C69/INDIRECT("C"&amp;ROW()-7)-1)*100, "")</f>
        <v>-2.9126182245679089</v>
      </c>
      <c r="H69" s="4" cm="1">
        <f t="array" aca="1" ref="H69" ca="1">IF(ROW()&gt;7, (D69/INDIRECT("D"&amp;ROW()-7)-1)*100, "")</f>
        <v>-2.9126305220617543</v>
      </c>
      <c r="I69" s="4" cm="1">
        <f t="array" aca="1" ref="I69" ca="1">IF(ROW()&gt;7, (E69/INDIRECT("E"&amp;ROW()-7)-1)*100, "")</f>
        <v>-2.9126130732097466</v>
      </c>
      <c r="J69" s="4" cm="1">
        <f t="array" aca="1" ref="J69" ca="1">IF(ROW()&gt;7, (F69/INDIRECT("F"&amp;ROW()-7)-1)*100, "")</f>
        <v>-2.912617352799729</v>
      </c>
      <c r="K69">
        <f t="shared" ca="1" si="0"/>
        <v>7818242</v>
      </c>
      <c r="L69" t="str">
        <f t="shared" ca="1" si="1"/>
        <v>Facebook</v>
      </c>
    </row>
    <row r="70" spans="2:12" x14ac:dyDescent="0.35">
      <c r="B70" s="3">
        <v>43533</v>
      </c>
      <c r="C70" s="4">
        <v>16806722</v>
      </c>
      <c r="D70" s="4">
        <v>12605042</v>
      </c>
      <c r="E70" s="4">
        <v>5135387</v>
      </c>
      <c r="F70" s="4">
        <v>12138188</v>
      </c>
      <c r="G70" s="4" cm="1">
        <f t="array" aca="1" ref="G70" ca="1">IF(ROW()&gt;7, (C70/INDIRECT("C"&amp;ROW()-7)-1)*100, "")</f>
        <v>0</v>
      </c>
      <c r="H70" s="4" cm="1">
        <f t="array" aca="1" ref="H70" ca="1">IF(ROW()&gt;7, (D70/INDIRECT("D"&amp;ROW()-7)-1)*100, "")</f>
        <v>0</v>
      </c>
      <c r="I70" s="4" cm="1">
        <f t="array" aca="1" ref="I70" ca="1">IF(ROW()&gt;7, (E70/INDIRECT("E"&amp;ROW()-7)-1)*100, "")</f>
        <v>0</v>
      </c>
      <c r="J70" s="4" cm="1">
        <f t="array" aca="1" ref="J70" ca="1">IF(ROW()&gt;7, (F70/INDIRECT("F"&amp;ROW()-7)-1)*100, "")</f>
        <v>0</v>
      </c>
      <c r="K70">
        <f t="shared" ca="1" si="0"/>
        <v>0</v>
      </c>
      <c r="L70">
        <f t="shared" ca="1" si="1"/>
        <v>0</v>
      </c>
    </row>
    <row r="71" spans="2:12" x14ac:dyDescent="0.35">
      <c r="B71" s="3">
        <v>43534</v>
      </c>
      <c r="C71" s="4">
        <v>16645119</v>
      </c>
      <c r="D71" s="4">
        <v>12483839</v>
      </c>
      <c r="E71" s="4">
        <v>5086008</v>
      </c>
      <c r="F71" s="4">
        <v>12021475</v>
      </c>
      <c r="G71" s="4" cm="1">
        <f t="array" aca="1" ref="G71" ca="1">IF(ROW()&gt;7, (C71/INDIRECT("C"&amp;ROW()-7)-1)*100, "")</f>
        <v>5.1020375947521623</v>
      </c>
      <c r="H71" s="4" cm="1">
        <f t="array" aca="1" ref="H71" ca="1">IF(ROW()&gt;7, (D71/INDIRECT("D"&amp;ROW()-7)-1)*100, "")</f>
        <v>5.1020354899902642</v>
      </c>
      <c r="I71" s="4" cm="1">
        <f t="array" aca="1" ref="I71" ca="1">IF(ROW()&gt;7, (E71/INDIRECT("E"&amp;ROW()-7)-1)*100, "")</f>
        <v>5.1020279534584212</v>
      </c>
      <c r="J71" s="4" cm="1">
        <f t="array" aca="1" ref="J71" ca="1">IF(ROW()&gt;7, (F71/INDIRECT("F"&amp;ROW()-7)-1)*100, "")</f>
        <v>5.102043135860157</v>
      </c>
      <c r="K71">
        <f t="shared" ca="1" si="0"/>
        <v>16645119</v>
      </c>
      <c r="L71" t="str">
        <f t="shared" ca="1" si="1"/>
        <v>Facebook</v>
      </c>
    </row>
    <row r="72" spans="2:12" x14ac:dyDescent="0.35">
      <c r="B72" s="3">
        <v>43535</v>
      </c>
      <c r="C72" s="4">
        <v>7661877</v>
      </c>
      <c r="D72" s="4">
        <v>5746408</v>
      </c>
      <c r="E72" s="4">
        <v>2341129</v>
      </c>
      <c r="F72" s="4">
        <v>5533578</v>
      </c>
      <c r="G72" s="4" cm="1">
        <f t="array" aca="1" ref="G72" ca="1">IF(ROW()&gt;7, (C72/INDIRECT("C"&amp;ROW()-7)-1)*100, "")</f>
        <v>-2.0000020464958745</v>
      </c>
      <c r="H72" s="4" cm="1">
        <f t="array" aca="1" ref="H72" ca="1">IF(ROW()&gt;7, (D72/INDIRECT("D"&amp;ROW()-7)-1)*100, "")</f>
        <v>-1.9999894264370766</v>
      </c>
      <c r="I72" s="4" cm="1">
        <f t="array" aca="1" ref="I72" ca="1">IF(ROW()&gt;7, (E72/INDIRECT("E"&amp;ROW()-7)-1)*100, "")</f>
        <v>-1.9999941395793086</v>
      </c>
      <c r="J72" s="4" cm="1">
        <f t="array" aca="1" ref="J72" ca="1">IF(ROW()&gt;7, (F72/INDIRECT("F"&amp;ROW()-7)-1)*100, "")</f>
        <v>-1.9999971663902771</v>
      </c>
      <c r="K72">
        <f t="shared" ca="1" si="0"/>
        <v>7661877</v>
      </c>
      <c r="L72" t="str">
        <f t="shared" ca="1" si="1"/>
        <v>Facebook</v>
      </c>
    </row>
    <row r="73" spans="2:12" x14ac:dyDescent="0.35">
      <c r="B73" s="3">
        <v>43536</v>
      </c>
      <c r="C73" s="4">
        <v>7740060</v>
      </c>
      <c r="D73" s="4">
        <v>5805045</v>
      </c>
      <c r="E73" s="4">
        <v>2365018</v>
      </c>
      <c r="F73" s="4">
        <v>5590043</v>
      </c>
      <c r="G73" s="4" cm="1">
        <f t="array" aca="1" ref="G73" ca="1">IF(ROW()&gt;7, (C73/INDIRECT("C"&amp;ROW()-7)-1)*100, "")</f>
        <v>-0.99999462794833072</v>
      </c>
      <c r="H73" s="4" cm="1">
        <f t="array" aca="1" ref="H73" ca="1">IF(ROW()&gt;7, (D73/INDIRECT("D"&amp;ROW()-7)-1)*100, "")</f>
        <v>-0.99998618615166901</v>
      </c>
      <c r="I73" s="4" cm="1">
        <f t="array" aca="1" ref="I73" ca="1">IF(ROW()&gt;7, (E73/INDIRECT("E"&amp;ROW()-7)-1)*100, "")</f>
        <v>-0.99999706978965985</v>
      </c>
      <c r="J73" s="4" cm="1">
        <f t="array" aca="1" ref="J73" ca="1">IF(ROW()&gt;7, (F73/INDIRECT("F"&amp;ROW()-7)-1)*100, "")</f>
        <v>-0.99999858319513857</v>
      </c>
      <c r="K73">
        <f t="shared" ca="1" si="0"/>
        <v>7740060</v>
      </c>
      <c r="L73" t="str">
        <f t="shared" ca="1" si="1"/>
        <v>Facebook</v>
      </c>
    </row>
    <row r="74" spans="2:12" x14ac:dyDescent="0.35">
      <c r="B74" s="3">
        <v>43537</v>
      </c>
      <c r="C74" s="4">
        <v>7818242</v>
      </c>
      <c r="D74" s="4">
        <v>5863681</v>
      </c>
      <c r="E74" s="4">
        <v>2388907</v>
      </c>
      <c r="F74" s="4">
        <v>5646508</v>
      </c>
      <c r="G74" s="4" cm="1">
        <f t="array" aca="1" ref="G74" ca="1">IF(ROW()&gt;7, (C74/INDIRECT("C"&amp;ROW()-7)-1)*100, "")</f>
        <v>3.0927799707134884</v>
      </c>
      <c r="H74" s="4" cm="1">
        <f t="array" aca="1" ref="H74" ca="1">IF(ROW()&gt;7, (D74/INDIRECT("D"&amp;ROW()-7)-1)*100, "")</f>
        <v>3.0927757112584109</v>
      </c>
      <c r="I74" s="4" cm="1">
        <f t="array" aca="1" ref="I74" ca="1">IF(ROW()&gt;7, (E74/INDIRECT("E"&amp;ROW()-7)-1)*100, "")</f>
        <v>3.0927741623655747</v>
      </c>
      <c r="J74" s="4" cm="1">
        <f t="array" aca="1" ref="J74" ca="1">IF(ROW()&gt;7, (F74/INDIRECT("F"&amp;ROW()-7)-1)*100, "")</f>
        <v>3.0927789877623457</v>
      </c>
      <c r="K74">
        <f t="shared" ca="1" si="0"/>
        <v>7818242</v>
      </c>
      <c r="L74" t="str">
        <f t="shared" ca="1" si="1"/>
        <v>Facebook</v>
      </c>
    </row>
    <row r="75" spans="2:12" x14ac:dyDescent="0.35">
      <c r="B75" s="3">
        <v>43538</v>
      </c>
      <c r="C75" s="4">
        <v>8209154</v>
      </c>
      <c r="D75" s="4">
        <v>6156866</v>
      </c>
      <c r="E75" s="4">
        <v>2508352</v>
      </c>
      <c r="F75" s="4">
        <v>5928833</v>
      </c>
      <c r="G75" s="4" cm="1">
        <f t="array" aca="1" ref="G75" ca="1">IF(ROW()&gt;7, (C75/INDIRECT("C"&amp;ROW()-7)-1)*100, "")</f>
        <v>4.9999987209400798</v>
      </c>
      <c r="H75" s="4" cm="1">
        <f t="array" aca="1" ref="H75" ca="1">IF(ROW()&gt;7, (D75/INDIRECT("D"&amp;ROW()-7)-1)*100, "")</f>
        <v>5.0000162014270488</v>
      </c>
      <c r="I75" s="4" cm="1">
        <f t="array" aca="1" ref="I75" ca="1">IF(ROW()&gt;7, (E75/INDIRECT("E"&amp;ROW()-7)-1)*100, "")</f>
        <v>4.9999853489482771</v>
      </c>
      <c r="J75" s="4" cm="1">
        <f t="array" aca="1" ref="J75" ca="1">IF(ROW()&gt;7, (F75/INDIRECT("F"&amp;ROW()-7)-1)*100, "")</f>
        <v>4.9999929159756817</v>
      </c>
      <c r="K75">
        <f t="shared" ref="K75:K138" ca="1" si="2">IF(SUM(G75:J75)=0,0,MAX(C75:F75))</f>
        <v>8209154</v>
      </c>
      <c r="L75" t="str">
        <f t="shared" ref="L75:L138" ca="1" si="3">IF(SUM(G75:J75)=0, 0, INDEX(C$2:F$2, MATCH(MAX(C75:F75), C75:F75, 0)))</f>
        <v>Facebook</v>
      </c>
    </row>
    <row r="76" spans="2:12" x14ac:dyDescent="0.35">
      <c r="B76" s="3">
        <v>43539</v>
      </c>
      <c r="C76" s="4">
        <v>7740060</v>
      </c>
      <c r="D76" s="4">
        <v>5805045</v>
      </c>
      <c r="E76" s="4">
        <v>2365018</v>
      </c>
      <c r="F76" s="4">
        <v>5590043</v>
      </c>
      <c r="G76" s="4" cm="1">
        <f t="array" aca="1" ref="G76" ca="1">IF(ROW()&gt;7, (C76/INDIRECT("C"&amp;ROW()-7)-1)*100, "")</f>
        <v>-0.99999462794833072</v>
      </c>
      <c r="H76" s="4" cm="1">
        <f t="array" aca="1" ref="H76" ca="1">IF(ROW()&gt;7, (D76/INDIRECT("D"&amp;ROW()-7)-1)*100, "")</f>
        <v>-0.99998618615166901</v>
      </c>
      <c r="I76" s="4" cm="1">
        <f t="array" aca="1" ref="I76" ca="1">IF(ROW()&gt;7, (E76/INDIRECT("E"&amp;ROW()-7)-1)*100, "")</f>
        <v>-0.99999706978965985</v>
      </c>
      <c r="J76" s="4" cm="1">
        <f t="array" aca="1" ref="J76" ca="1">IF(ROW()&gt;7, (F76/INDIRECT("F"&amp;ROW()-7)-1)*100, "")</f>
        <v>-0.99999858319513857</v>
      </c>
      <c r="K76">
        <f t="shared" ca="1" si="2"/>
        <v>7740060</v>
      </c>
      <c r="L76" t="str">
        <f t="shared" ca="1" si="3"/>
        <v>Facebook</v>
      </c>
    </row>
    <row r="77" spans="2:12" x14ac:dyDescent="0.35">
      <c r="B77" s="3">
        <v>43540</v>
      </c>
      <c r="C77" s="4">
        <v>15352294</v>
      </c>
      <c r="D77" s="4">
        <v>11514221</v>
      </c>
      <c r="E77" s="4">
        <v>4690978</v>
      </c>
      <c r="F77" s="4">
        <v>11087768</v>
      </c>
      <c r="G77" s="4" cm="1">
        <f t="array" aca="1" ref="G77" ca="1">IF(ROW()&gt;7, (C77/INDIRECT("C"&amp;ROW()-7)-1)*100, "")</f>
        <v>-8.6538469548077206</v>
      </c>
      <c r="H77" s="4" cm="1">
        <f t="array" aca="1" ref="H77" ca="1">IF(ROW()&gt;7, (D77/INDIRECT("D"&amp;ROW()-7)-1)*100, "")</f>
        <v>-8.6538466115384622</v>
      </c>
      <c r="I77" s="4" cm="1">
        <f t="array" aca="1" ref="I77" ca="1">IF(ROW()&gt;7, (E77/INDIRECT("E"&amp;ROW()-7)-1)*100, "")</f>
        <v>-8.6538560774484967</v>
      </c>
      <c r="J77" s="4" cm="1">
        <f t="array" aca="1" ref="J77" ca="1">IF(ROW()&gt;7, (F77/INDIRECT("F"&amp;ROW()-7)-1)*100, "")</f>
        <v>-8.6538452032543951</v>
      </c>
      <c r="K77">
        <f t="shared" ca="1" si="2"/>
        <v>15352294</v>
      </c>
      <c r="L77" t="str">
        <f t="shared" ca="1" si="3"/>
        <v>Facebook</v>
      </c>
    </row>
    <row r="78" spans="2:12" x14ac:dyDescent="0.35">
      <c r="B78" s="3">
        <v>43541</v>
      </c>
      <c r="C78" s="4">
        <v>15352294</v>
      </c>
      <c r="D78" s="4">
        <v>11514221</v>
      </c>
      <c r="E78" s="4">
        <v>4690978</v>
      </c>
      <c r="F78" s="4">
        <v>11087768</v>
      </c>
      <c r="G78" s="4" cm="1">
        <f t="array" aca="1" ref="G78" ca="1">IF(ROW()&gt;7, (C78/INDIRECT("C"&amp;ROW()-7)-1)*100, "")</f>
        <v>-7.7669916328023891</v>
      </c>
      <c r="H78" s="4" cm="1">
        <f t="array" aca="1" ref="H78" ca="1">IF(ROW()&gt;7, (D78/INDIRECT("D"&amp;ROW()-7)-1)*100, "")</f>
        <v>-7.7669857805759861</v>
      </c>
      <c r="I78" s="4" cm="1">
        <f t="array" aca="1" ref="I78" ca="1">IF(ROW()&gt;7, (E78/INDIRECT("E"&amp;ROW()-7)-1)*100, "")</f>
        <v>-7.7669952544313752</v>
      </c>
      <c r="J78" s="4" cm="1">
        <f t="array" aca="1" ref="J78" ca="1">IF(ROW()&gt;7, (F78/INDIRECT("F"&amp;ROW()-7)-1)*100, "")</f>
        <v>-7.7669919872561444</v>
      </c>
      <c r="K78">
        <f t="shared" ca="1" si="2"/>
        <v>15352294</v>
      </c>
      <c r="L78" t="str">
        <f t="shared" ca="1" si="3"/>
        <v>Facebook</v>
      </c>
    </row>
    <row r="79" spans="2:12" x14ac:dyDescent="0.35">
      <c r="B79" s="3">
        <v>43542</v>
      </c>
      <c r="C79" s="4">
        <v>8052789</v>
      </c>
      <c r="D79" s="4">
        <v>6039592</v>
      </c>
      <c r="E79" s="4">
        <v>2460574</v>
      </c>
      <c r="F79" s="4">
        <v>5815903</v>
      </c>
      <c r="G79" s="4" cm="1">
        <f t="array" aca="1" ref="G79" ca="1">IF(ROW()&gt;7, (C79/INDIRECT("C"&amp;ROW()-7)-1)*100, "")</f>
        <v>5.1020396177072547</v>
      </c>
      <c r="H79" s="4" cm="1">
        <f t="array" aca="1" ref="H79" ca="1">IF(ROW()&gt;7, (D79/INDIRECT("D"&amp;ROW()-7)-1)*100, "")</f>
        <v>5.1020393957407872</v>
      </c>
      <c r="I79" s="4" cm="1">
        <f t="array" aca="1" ref="I79" ca="1">IF(ROW()&gt;7, (E79/INDIRECT("E"&amp;ROW()-7)-1)*100, "")</f>
        <v>5.1020255611715637</v>
      </c>
      <c r="J79" s="4" cm="1">
        <f t="array" aca="1" ref="J79" ca="1">IF(ROW()&gt;7, (F79/INDIRECT("F"&amp;ROW()-7)-1)*100, "")</f>
        <v>5.1020334402081202</v>
      </c>
      <c r="K79">
        <f t="shared" ca="1" si="2"/>
        <v>8052789</v>
      </c>
      <c r="L79" t="str">
        <f t="shared" ca="1" si="3"/>
        <v>Facebook</v>
      </c>
    </row>
    <row r="80" spans="2:12" x14ac:dyDescent="0.35">
      <c r="B80" s="3">
        <v>43543</v>
      </c>
      <c r="C80" s="4">
        <v>7896424</v>
      </c>
      <c r="D80" s="4">
        <v>5922318</v>
      </c>
      <c r="E80" s="4">
        <v>2412796</v>
      </c>
      <c r="F80" s="4">
        <v>5702973</v>
      </c>
      <c r="G80" s="4" cm="1">
        <f t="array" aca="1" ref="G80" ca="1">IF(ROW()&gt;7, (C80/INDIRECT("C"&amp;ROW()-7)-1)*100, "")</f>
        <v>2.0201910579504601</v>
      </c>
      <c r="H80" s="4" cm="1">
        <f t="array" aca="1" ref="H80" ca="1">IF(ROW()&gt;7, (D80/INDIRECT("D"&amp;ROW()-7)-1)*100, "")</f>
        <v>2.0201910579504601</v>
      </c>
      <c r="I80" s="4" cm="1">
        <f t="array" aca="1" ref="I80" ca="1">IF(ROW()&gt;7, (E80/INDIRECT("E"&amp;ROW()-7)-1)*100, "")</f>
        <v>2.0201960407912223</v>
      </c>
      <c r="J80" s="4" cm="1">
        <f t="array" aca="1" ref="J80" ca="1">IF(ROW()&gt;7, (F80/INDIRECT("F"&amp;ROW()-7)-1)*100, "")</f>
        <v>2.0201991290585752</v>
      </c>
      <c r="K80">
        <f t="shared" ca="1" si="2"/>
        <v>7896424</v>
      </c>
      <c r="L80" t="str">
        <f t="shared" ca="1" si="3"/>
        <v>Facebook</v>
      </c>
    </row>
    <row r="81" spans="2:12" x14ac:dyDescent="0.35">
      <c r="B81" s="3">
        <v>43544</v>
      </c>
      <c r="C81" s="4">
        <v>7661877</v>
      </c>
      <c r="D81" s="4">
        <v>5746408</v>
      </c>
      <c r="E81" s="4">
        <v>2341129</v>
      </c>
      <c r="F81" s="4">
        <v>5533578</v>
      </c>
      <c r="G81" s="4" cm="1">
        <f t="array" aca="1" ref="G81" ca="1">IF(ROW()&gt;7, (C81/INDIRECT("C"&amp;ROW()-7)-1)*100, "")</f>
        <v>-2.0000020464958745</v>
      </c>
      <c r="H81" s="4" cm="1">
        <f t="array" aca="1" ref="H81" ca="1">IF(ROW()&gt;7, (D81/INDIRECT("D"&amp;ROW()-7)-1)*100, "")</f>
        <v>-1.9999894264370766</v>
      </c>
      <c r="I81" s="4" cm="1">
        <f t="array" aca="1" ref="I81" ca="1">IF(ROW()&gt;7, (E81/INDIRECT("E"&amp;ROW()-7)-1)*100, "")</f>
        <v>-1.9999941395793086</v>
      </c>
      <c r="J81" s="4" cm="1">
        <f t="array" aca="1" ref="J81" ca="1">IF(ROW()&gt;7, (F81/INDIRECT("F"&amp;ROW()-7)-1)*100, "")</f>
        <v>-1.9999971663902771</v>
      </c>
      <c r="K81">
        <f t="shared" ca="1" si="2"/>
        <v>7661877</v>
      </c>
      <c r="L81" t="str">
        <f t="shared" ca="1" si="3"/>
        <v>Facebook</v>
      </c>
    </row>
    <row r="82" spans="2:12" x14ac:dyDescent="0.35">
      <c r="B82" s="3">
        <v>43545</v>
      </c>
      <c r="C82" s="4">
        <v>7818242</v>
      </c>
      <c r="D82" s="4">
        <v>5863681</v>
      </c>
      <c r="E82" s="4">
        <v>2388907</v>
      </c>
      <c r="F82" s="4">
        <v>5646508</v>
      </c>
      <c r="G82" s="4" cm="1">
        <f t="array" aca="1" ref="G82" ca="1">IF(ROW()&gt;7, (C82/INDIRECT("C"&amp;ROW()-7)-1)*100, "")</f>
        <v>-4.7619036017596983</v>
      </c>
      <c r="H82" s="4" cm="1">
        <f t="array" aca="1" ref="H82" ca="1">IF(ROW()&gt;7, (D82/INDIRECT("D"&amp;ROW()-7)-1)*100, "")</f>
        <v>-4.7619194570744261</v>
      </c>
      <c r="I82" s="4" cm="1">
        <f t="array" aca="1" ref="I82" ca="1">IF(ROW()&gt;7, (E82/INDIRECT("E"&amp;ROW()-7)-1)*100, "")</f>
        <v>-4.7618914729671165</v>
      </c>
      <c r="J82" s="4" cm="1">
        <f t="array" aca="1" ref="J82" ca="1">IF(ROW()&gt;7, (F82/INDIRECT("F"&amp;ROW()-7)-1)*100, "")</f>
        <v>-4.7618983364854479</v>
      </c>
      <c r="K82">
        <f t="shared" ca="1" si="2"/>
        <v>7818242</v>
      </c>
      <c r="L82" t="str">
        <f t="shared" ca="1" si="3"/>
        <v>Facebook</v>
      </c>
    </row>
    <row r="83" spans="2:12" x14ac:dyDescent="0.35">
      <c r="B83" s="3">
        <v>43546</v>
      </c>
      <c r="C83" s="4">
        <v>7583695</v>
      </c>
      <c r="D83" s="4">
        <v>5687771</v>
      </c>
      <c r="E83" s="4">
        <v>2317240</v>
      </c>
      <c r="F83" s="4">
        <v>5477113</v>
      </c>
      <c r="G83" s="4" cm="1">
        <f t="array" aca="1" ref="G83" ca="1">IF(ROW()&gt;7, (C83/INDIRECT("C"&amp;ROW()-7)-1)*100, "")</f>
        <v>-2.0202039777469372</v>
      </c>
      <c r="H83" s="4" cm="1">
        <f t="array" aca="1" ref="H83" ca="1">IF(ROW()&gt;7, (D83/INDIRECT("D"&amp;ROW()-7)-1)*100, "")</f>
        <v>-2.0202082843457703</v>
      </c>
      <c r="I83" s="4" cm="1">
        <f t="array" aca="1" ref="I83" ca="1">IF(ROW()&gt;7, (E83/INDIRECT("E"&amp;ROW()-7)-1)*100, "")</f>
        <v>-2.0201960407912334</v>
      </c>
      <c r="J83" s="4" cm="1">
        <f t="array" aca="1" ref="J83" ca="1">IF(ROW()&gt;7, (F83/INDIRECT("F"&amp;ROW()-7)-1)*100, "")</f>
        <v>-2.0201991290585752</v>
      </c>
      <c r="K83">
        <f t="shared" ca="1" si="2"/>
        <v>7583695</v>
      </c>
      <c r="L83" t="str">
        <f t="shared" ca="1" si="3"/>
        <v>Facebook</v>
      </c>
    </row>
    <row r="84" spans="2:12" x14ac:dyDescent="0.35">
      <c r="B84" s="3">
        <v>43547</v>
      </c>
      <c r="C84" s="4">
        <v>15998707</v>
      </c>
      <c r="D84" s="4">
        <v>11999030</v>
      </c>
      <c r="E84" s="4">
        <v>4888493</v>
      </c>
      <c r="F84" s="4">
        <v>11554621</v>
      </c>
      <c r="G84" s="4" cm="1">
        <f t="array" aca="1" ref="G84" ca="1">IF(ROW()&gt;7, (C84/INDIRECT("C"&amp;ROW()-7)-1)*100, "")</f>
        <v>4.2105303611303935</v>
      </c>
      <c r="H84" s="4" cm="1">
        <f t="array" aca="1" ref="H84" ca="1">IF(ROW()&gt;7, (D84/INDIRECT("D"&amp;ROW()-7)-1)*100, "")</f>
        <v>4.2105236646057032</v>
      </c>
      <c r="I84" s="4" cm="1">
        <f t="array" aca="1" ref="I84" ca="1">IF(ROW()&gt;7, (E84/INDIRECT("E"&amp;ROW()-7)-1)*100, "")</f>
        <v>4.210529232923288</v>
      </c>
      <c r="J84" s="4" cm="1">
        <f t="array" aca="1" ref="J84" ca="1">IF(ROW()&gt;7, (F84/INDIRECT("F"&amp;ROW()-7)-1)*100, "")</f>
        <v>4.2105228031466657</v>
      </c>
      <c r="K84">
        <f t="shared" ca="1" si="2"/>
        <v>15998707</v>
      </c>
      <c r="L84" t="str">
        <f t="shared" ca="1" si="3"/>
        <v>Facebook</v>
      </c>
    </row>
    <row r="85" spans="2:12" x14ac:dyDescent="0.35">
      <c r="B85" s="3">
        <v>43548</v>
      </c>
      <c r="C85" s="4">
        <v>16321913</v>
      </c>
      <c r="D85" s="4">
        <v>12241435</v>
      </c>
      <c r="E85" s="4">
        <v>4987251</v>
      </c>
      <c r="F85" s="4">
        <v>11788048</v>
      </c>
      <c r="G85" s="4" cm="1">
        <f t="array" aca="1" ref="G85" ca="1">IF(ROW()&gt;7, (C85/INDIRECT("C"&amp;ROW()-7)-1)*100, "")</f>
        <v>6.3157922848533277</v>
      </c>
      <c r="H85" s="4" cm="1">
        <f t="array" aca="1" ref="H85" ca="1">IF(ROW()&gt;7, (D85/INDIRECT("D"&amp;ROW()-7)-1)*100, "")</f>
        <v>6.3157898393647383</v>
      </c>
      <c r="I85" s="4" cm="1">
        <f t="array" aca="1" ref="I85" ca="1">IF(ROW()&gt;7, (E85/INDIRECT("E"&amp;ROW()-7)-1)*100, "")</f>
        <v>6.3158045081430858</v>
      </c>
      <c r="J85" s="4" cm="1">
        <f t="array" aca="1" ref="J85" ca="1">IF(ROW()&gt;7, (F85/INDIRECT("F"&amp;ROW()-7)-1)*100, "")</f>
        <v>6.3157887141938707</v>
      </c>
      <c r="K85">
        <f t="shared" ca="1" si="2"/>
        <v>16321913</v>
      </c>
      <c r="L85" t="str">
        <f t="shared" ca="1" si="3"/>
        <v>Facebook</v>
      </c>
    </row>
    <row r="86" spans="2:12" x14ac:dyDescent="0.35">
      <c r="B86" s="3">
        <v>43549</v>
      </c>
      <c r="C86" s="4">
        <v>8052789</v>
      </c>
      <c r="D86" s="4">
        <v>6039592</v>
      </c>
      <c r="E86" s="4">
        <v>2460574</v>
      </c>
      <c r="F86" s="4">
        <v>5815903</v>
      </c>
      <c r="G86" s="4" cm="1">
        <f t="array" aca="1" ref="G86" ca="1">IF(ROW()&gt;7, (C86/INDIRECT("C"&amp;ROW()-7)-1)*100, "")</f>
        <v>0</v>
      </c>
      <c r="H86" s="4" cm="1">
        <f t="array" aca="1" ref="H86" ca="1">IF(ROW()&gt;7, (D86/INDIRECT("D"&amp;ROW()-7)-1)*100, "")</f>
        <v>0</v>
      </c>
      <c r="I86" s="4" cm="1">
        <f t="array" aca="1" ref="I86" ca="1">IF(ROW()&gt;7, (E86/INDIRECT("E"&amp;ROW()-7)-1)*100, "")</f>
        <v>0</v>
      </c>
      <c r="J86" s="4" cm="1">
        <f t="array" aca="1" ref="J86" ca="1">IF(ROW()&gt;7, (F86/INDIRECT("F"&amp;ROW()-7)-1)*100, "")</f>
        <v>0</v>
      </c>
      <c r="K86">
        <f t="shared" ca="1" si="2"/>
        <v>0</v>
      </c>
      <c r="L86">
        <f t="shared" ca="1" si="3"/>
        <v>0</v>
      </c>
    </row>
    <row r="87" spans="2:12" x14ac:dyDescent="0.35">
      <c r="B87" s="3">
        <v>43550</v>
      </c>
      <c r="C87" s="4">
        <v>7505512</v>
      </c>
      <c r="D87" s="4">
        <v>5629134</v>
      </c>
      <c r="E87" s="4">
        <v>2293351</v>
      </c>
      <c r="F87" s="4">
        <v>5420648</v>
      </c>
      <c r="G87" s="4" cm="1">
        <f t="array" aca="1" ref="G87" ca="1">IF(ROW()&gt;7, (C87/INDIRECT("C"&amp;ROW()-7)-1)*100, "")</f>
        <v>-4.9504940464189851</v>
      </c>
      <c r="H87" s="4" cm="1">
        <f t="array" aca="1" ref="H87" ca="1">IF(ROW()&gt;7, (D87/INDIRECT("D"&amp;ROW()-7)-1)*100, "")</f>
        <v>-4.9504940464189851</v>
      </c>
      <c r="I87" s="4" cm="1">
        <f t="array" aca="1" ref="I87" ca="1">IF(ROW()&gt;7, (E87/INDIRECT("E"&amp;ROW()-7)-1)*100, "")</f>
        <v>-4.950480687136416</v>
      </c>
      <c r="J87" s="4" cm="1">
        <f t="array" aca="1" ref="J87" ca="1">IF(ROW()&gt;7, (F87/INDIRECT("F"&amp;ROW()-7)-1)*100, "")</f>
        <v>-4.9504881050637994</v>
      </c>
      <c r="K87">
        <f t="shared" ca="1" si="2"/>
        <v>7505512</v>
      </c>
      <c r="L87" t="str">
        <f t="shared" ca="1" si="3"/>
        <v>Facebook</v>
      </c>
    </row>
    <row r="88" spans="2:12" x14ac:dyDescent="0.35">
      <c r="B88" s="3">
        <v>43551</v>
      </c>
      <c r="C88" s="4">
        <v>7505512</v>
      </c>
      <c r="D88" s="4">
        <v>5629134</v>
      </c>
      <c r="E88" s="4">
        <v>2293351</v>
      </c>
      <c r="F88" s="4">
        <v>5420648</v>
      </c>
      <c r="G88" s="4" cm="1">
        <f t="array" aca="1" ref="G88" ca="1">IF(ROW()&gt;7, (C88/INDIRECT("C"&amp;ROW()-7)-1)*100, "")</f>
        <v>-2.0408184574093213</v>
      </c>
      <c r="H88" s="4" cm="1">
        <f t="array" aca="1" ref="H88" ca="1">IF(ROW()&gt;7, (D88/INDIRECT("D"&amp;ROW()-7)-1)*100, "")</f>
        <v>-2.0408227191664796</v>
      </c>
      <c r="I88" s="4" cm="1">
        <f t="array" aca="1" ref="I88" ca="1">IF(ROW()&gt;7, (E88/INDIRECT("E"&amp;ROW()-7)-1)*100, "")</f>
        <v>-2.0408102244686255</v>
      </c>
      <c r="J88" s="4" cm="1">
        <f t="array" aca="1" ref="J88" ca="1">IF(ROW()&gt;7, (F88/INDIRECT("F"&amp;ROW()-7)-1)*100, "")</f>
        <v>-2.0408133760832503</v>
      </c>
      <c r="K88">
        <f t="shared" ca="1" si="2"/>
        <v>7505512</v>
      </c>
      <c r="L88" t="str">
        <f t="shared" ca="1" si="3"/>
        <v>Facebook</v>
      </c>
    </row>
    <row r="89" spans="2:12" x14ac:dyDescent="0.35">
      <c r="B89" s="3">
        <v>43552</v>
      </c>
      <c r="C89" s="4">
        <v>7740060</v>
      </c>
      <c r="D89" s="4">
        <v>5805045</v>
      </c>
      <c r="E89" s="4">
        <v>2365018</v>
      </c>
      <c r="F89" s="4">
        <v>5590043</v>
      </c>
      <c r="G89" s="4" cm="1">
        <f t="array" aca="1" ref="G89" ca="1">IF(ROW()&gt;7, (C89/INDIRECT("C"&amp;ROW()-7)-1)*100, "")</f>
        <v>-0.99999462794833072</v>
      </c>
      <c r="H89" s="4" cm="1">
        <f t="array" aca="1" ref="H89" ca="1">IF(ROW()&gt;7, (D89/INDIRECT("D"&amp;ROW()-7)-1)*100, "")</f>
        <v>-0.99998618615166901</v>
      </c>
      <c r="I89" s="4" cm="1">
        <f t="array" aca="1" ref="I89" ca="1">IF(ROW()&gt;7, (E89/INDIRECT("E"&amp;ROW()-7)-1)*100, "")</f>
        <v>-0.99999706978965985</v>
      </c>
      <c r="J89" s="4" cm="1">
        <f t="array" aca="1" ref="J89" ca="1">IF(ROW()&gt;7, (F89/INDIRECT("F"&amp;ROW()-7)-1)*100, "")</f>
        <v>-0.99999858319513857</v>
      </c>
      <c r="K89">
        <f t="shared" ca="1" si="2"/>
        <v>7740060</v>
      </c>
      <c r="L89" t="str">
        <f t="shared" ca="1" si="3"/>
        <v>Facebook</v>
      </c>
    </row>
    <row r="90" spans="2:12" x14ac:dyDescent="0.35">
      <c r="B90" s="3">
        <v>43553</v>
      </c>
      <c r="C90" s="4">
        <v>8209154</v>
      </c>
      <c r="D90" s="4">
        <v>6156866</v>
      </c>
      <c r="E90" s="4">
        <v>2508352</v>
      </c>
      <c r="F90" s="4">
        <v>5928833</v>
      </c>
      <c r="G90" s="4" cm="1">
        <f t="array" aca="1" ref="G90" ca="1">IF(ROW()&gt;7, (C90/INDIRECT("C"&amp;ROW()-7)-1)*100, "")</f>
        <v>8.2474176506307284</v>
      </c>
      <c r="H90" s="4" cm="1">
        <f t="array" aca="1" ref="H90" ca="1">IF(ROW()&gt;7, (D90/INDIRECT("D"&amp;ROW()-7)-1)*100, "")</f>
        <v>8.247431199322186</v>
      </c>
      <c r="I90" s="4" cm="1">
        <f t="array" aca="1" ref="I90" ca="1">IF(ROW()&gt;7, (E90/INDIRECT("E"&amp;ROW()-7)-1)*100, "")</f>
        <v>8.2473977663081843</v>
      </c>
      <c r="J90" s="4" cm="1">
        <f t="array" aca="1" ref="J90" ca="1">IF(ROW()&gt;7, (F90/INDIRECT("F"&amp;ROW()-7)-1)*100, "")</f>
        <v>8.2474106340329367</v>
      </c>
      <c r="K90">
        <f t="shared" ca="1" si="2"/>
        <v>8209154</v>
      </c>
      <c r="L90" t="str">
        <f t="shared" ca="1" si="3"/>
        <v>Facebook</v>
      </c>
    </row>
    <row r="91" spans="2:12" x14ac:dyDescent="0.35">
      <c r="B91" s="3">
        <v>43554</v>
      </c>
      <c r="C91" s="4">
        <v>16160310</v>
      </c>
      <c r="D91" s="4">
        <v>12120232</v>
      </c>
      <c r="E91" s="4">
        <v>4937872</v>
      </c>
      <c r="F91" s="4">
        <v>11671335</v>
      </c>
      <c r="G91" s="4" cm="1">
        <f t="array" aca="1" ref="G91" ca="1">IF(ROW()&gt;7, (C91/INDIRECT("C"&amp;ROW()-7)-1)*100, "")</f>
        <v>1.0101003787368557</v>
      </c>
      <c r="H91" s="4" cm="1">
        <f t="array" aca="1" ref="H91" ca="1">IF(ROW()&gt;7, (D91/INDIRECT("D"&amp;ROW()-7)-1)*100, "")</f>
        <v>1.010098316280561</v>
      </c>
      <c r="I91" s="4" cm="1">
        <f t="array" aca="1" ref="I91" ca="1">IF(ROW()&gt;7, (E91/INDIRECT("E"&amp;ROW()-7)-1)*100, "")</f>
        <v>1.0101067956934884</v>
      </c>
      <c r="J91" s="4" cm="1">
        <f t="array" aca="1" ref="J91" ca="1">IF(ROW()&gt;7, (F91/INDIRECT("F"&amp;ROW()-7)-1)*100, "")</f>
        <v>1.0101066923787538</v>
      </c>
      <c r="K91">
        <f t="shared" ca="1" si="2"/>
        <v>16160310</v>
      </c>
      <c r="L91" t="str">
        <f t="shared" ca="1" si="3"/>
        <v>Facebook</v>
      </c>
    </row>
    <row r="92" spans="2:12" x14ac:dyDescent="0.35">
      <c r="B92" s="3">
        <v>43555</v>
      </c>
      <c r="C92" s="4">
        <v>15352294</v>
      </c>
      <c r="D92" s="4">
        <v>11514221</v>
      </c>
      <c r="E92" s="4">
        <v>4690978</v>
      </c>
      <c r="F92" s="4">
        <v>11087768</v>
      </c>
      <c r="G92" s="4" cm="1">
        <f t="array" aca="1" ref="G92" ca="1">IF(ROW()&gt;7, (C92/INDIRECT("C"&amp;ROW()-7)-1)*100, "")</f>
        <v>-5.9405965464955024</v>
      </c>
      <c r="H92" s="4" cm="1">
        <f t="array" aca="1" ref="H92" ca="1">IF(ROW()&gt;7, (D92/INDIRECT("D"&amp;ROW()-7)-1)*100, "")</f>
        <v>-5.9405943829297758</v>
      </c>
      <c r="I92" s="4" cm="1">
        <f t="array" aca="1" ref="I92" ca="1">IF(ROW()&gt;7, (E92/INDIRECT("E"&amp;ROW()-7)-1)*100, "")</f>
        <v>-5.9406073606481762</v>
      </c>
      <c r="J92" s="4" cm="1">
        <f t="array" aca="1" ref="J92" ca="1">IF(ROW()&gt;7, (F92/INDIRECT("F"&amp;ROW()-7)-1)*100, "")</f>
        <v>-5.9405933874717824</v>
      </c>
      <c r="K92">
        <f t="shared" ca="1" si="2"/>
        <v>15352294</v>
      </c>
      <c r="L92" t="str">
        <f t="shared" ca="1" si="3"/>
        <v>Facebook</v>
      </c>
    </row>
    <row r="93" spans="2:12" x14ac:dyDescent="0.35">
      <c r="B93" s="3">
        <v>43556</v>
      </c>
      <c r="C93" s="4">
        <v>7583695</v>
      </c>
      <c r="D93" s="4">
        <v>5687771</v>
      </c>
      <c r="E93" s="4">
        <v>2317240</v>
      </c>
      <c r="F93" s="4">
        <v>5477113</v>
      </c>
      <c r="G93" s="4" cm="1">
        <f t="array" aca="1" ref="G93" ca="1">IF(ROW()&gt;7, (C93/INDIRECT("C"&amp;ROW()-7)-1)*100, "")</f>
        <v>-5.8252364491358177</v>
      </c>
      <c r="H93" s="4" cm="1">
        <f t="array" aca="1" ref="H93" ca="1">IF(ROW()&gt;7, (D93/INDIRECT("D"&amp;ROW()-7)-1)*100, "")</f>
        <v>-5.825244486713677</v>
      </c>
      <c r="I93" s="4" cm="1">
        <f t="array" aca="1" ref="I93" ca="1">IF(ROW()&gt;7, (E93/INDIRECT("E"&amp;ROW()-7)-1)*100, "")</f>
        <v>-5.8252261464194932</v>
      </c>
      <c r="J93" s="4" cm="1">
        <f t="array" aca="1" ref="J93" ca="1">IF(ROW()&gt;7, (F93/INDIRECT("F"&amp;ROW()-7)-1)*100, "")</f>
        <v>-5.825234705599458</v>
      </c>
      <c r="K93">
        <f t="shared" ca="1" si="2"/>
        <v>7583695</v>
      </c>
      <c r="L93" t="str">
        <f t="shared" ca="1" si="3"/>
        <v>Facebook</v>
      </c>
    </row>
    <row r="94" spans="2:12" x14ac:dyDescent="0.35">
      <c r="B94" s="3">
        <v>43557</v>
      </c>
      <c r="C94" s="4">
        <v>8209154</v>
      </c>
      <c r="D94" s="4">
        <v>6156866</v>
      </c>
      <c r="E94" s="4">
        <v>2508352</v>
      </c>
      <c r="F94" s="4">
        <v>5928833</v>
      </c>
      <c r="G94" s="4" cm="1">
        <f t="array" aca="1" ref="G94" ca="1">IF(ROW()&gt;7, (C94/INDIRECT("C"&amp;ROW()-7)-1)*100, "")</f>
        <v>9.3750033308853453</v>
      </c>
      <c r="H94" s="4" cm="1">
        <f t="array" aca="1" ref="H94" ca="1">IF(ROW()&gt;7, (D94/INDIRECT("D"&amp;ROW()-7)-1)*100, "")</f>
        <v>9.3750122132463041</v>
      </c>
      <c r="I94" s="4" cm="1">
        <f t="array" aca="1" ref="I94" ca="1">IF(ROW()&gt;7, (E94/INDIRECT("E"&amp;ROW()-7)-1)*100, "")</f>
        <v>9.3749713846681182</v>
      </c>
      <c r="J94" s="4" cm="1">
        <f t="array" aca="1" ref="J94" ca="1">IF(ROW()&gt;7, (F94/INDIRECT("F"&amp;ROW()-7)-1)*100, "")</f>
        <v>9.3749861640158194</v>
      </c>
      <c r="K94">
        <f t="shared" ca="1" si="2"/>
        <v>8209154</v>
      </c>
      <c r="L94" t="str">
        <f t="shared" ca="1" si="3"/>
        <v>Facebook</v>
      </c>
    </row>
    <row r="95" spans="2:12" x14ac:dyDescent="0.35">
      <c r="B95" s="3">
        <v>43558</v>
      </c>
      <c r="C95" s="4">
        <v>8052789</v>
      </c>
      <c r="D95" s="4">
        <v>6039592</v>
      </c>
      <c r="E95" s="4">
        <v>2460574</v>
      </c>
      <c r="F95" s="4">
        <v>5815903</v>
      </c>
      <c r="G95" s="4" cm="1">
        <f t="array" aca="1" ref="G95" ca="1">IF(ROW()&gt;7, (C95/INDIRECT("C"&amp;ROW()-7)-1)*100, "")</f>
        <v>7.2916677769617744</v>
      </c>
      <c r="H95" s="4" cm="1">
        <f t="array" aca="1" ref="H95" ca="1">IF(ROW()&gt;7, (D95/INDIRECT("D"&amp;ROW()-7)-1)*100, "")</f>
        <v>7.2916722181422644</v>
      </c>
      <c r="I95" s="4" cm="1">
        <f t="array" aca="1" ref="I95" ca="1">IF(ROW()&gt;7, (E95/INDIRECT("E"&amp;ROW()-7)-1)*100, "")</f>
        <v>7.2916444102974154</v>
      </c>
      <c r="J95" s="4" cm="1">
        <f t="array" aca="1" ref="J95" ca="1">IF(ROW()&gt;7, (F95/INDIRECT("F"&amp;ROW()-7)-1)*100, "")</f>
        <v>7.2916559053456398</v>
      </c>
      <c r="K95">
        <f t="shared" ca="1" si="2"/>
        <v>8052789</v>
      </c>
      <c r="L95" t="str">
        <f t="shared" ca="1" si="3"/>
        <v>Facebook</v>
      </c>
    </row>
    <row r="96" spans="2:12" x14ac:dyDescent="0.35">
      <c r="B96" s="3">
        <v>43559</v>
      </c>
      <c r="C96" s="4">
        <v>7974607</v>
      </c>
      <c r="D96" s="4">
        <v>5980955</v>
      </c>
      <c r="E96" s="4">
        <v>2436685</v>
      </c>
      <c r="F96" s="4">
        <v>5759438</v>
      </c>
      <c r="G96" s="4" cm="1">
        <f t="array" aca="1" ref="G96" ca="1">IF(ROW()&gt;7, (C96/INDIRECT("C"&amp;ROW()-7)-1)*100, "")</f>
        <v>3.0302995067221783</v>
      </c>
      <c r="H96" s="4" cm="1">
        <f t="array" aca="1" ref="H96" ca="1">IF(ROW()&gt;7, (D96/INDIRECT("D"&amp;ROW()-7)-1)*100, "")</f>
        <v>3.0302952001233452</v>
      </c>
      <c r="I96" s="4" cm="1">
        <f t="array" aca="1" ref="I96" ca="1">IF(ROW()&gt;7, (E96/INDIRECT("E"&amp;ROW()-7)-1)*100, "")</f>
        <v>3.0302940611868445</v>
      </c>
      <c r="J96" s="4" cm="1">
        <f t="array" aca="1" ref="J96" ca="1">IF(ROW()&gt;7, (F96/INDIRECT("F"&amp;ROW()-7)-1)*100, "")</f>
        <v>3.0302986935878629</v>
      </c>
      <c r="K96">
        <f t="shared" ca="1" si="2"/>
        <v>7974607</v>
      </c>
      <c r="L96" t="str">
        <f t="shared" ca="1" si="3"/>
        <v>Facebook</v>
      </c>
    </row>
    <row r="97" spans="2:12" x14ac:dyDescent="0.35">
      <c r="B97" s="3">
        <v>43560</v>
      </c>
      <c r="C97" s="4">
        <v>8130972</v>
      </c>
      <c r="D97" s="4">
        <v>6098229</v>
      </c>
      <c r="E97" s="4">
        <v>2484463</v>
      </c>
      <c r="F97" s="4">
        <v>5872368</v>
      </c>
      <c r="G97" s="4" cm="1">
        <f t="array" aca="1" ref="G97" ca="1">IF(ROW()&gt;7, (C97/INDIRECT("C"&amp;ROW()-7)-1)*100, "")</f>
        <v>-0.95237584774265915</v>
      </c>
      <c r="H97" s="4" cm="1">
        <f t="array" aca="1" ref="H97" ca="1">IF(ROW()&gt;7, (D97/INDIRECT("D"&amp;ROW()-7)-1)*100, "")</f>
        <v>-0.95238389141488744</v>
      </c>
      <c r="I97" s="4" cm="1">
        <f t="array" aca="1" ref="I97" ca="1">IF(ROW()&gt;7, (E97/INDIRECT("E"&amp;ROW()-7)-1)*100, "")</f>
        <v>-0.9523782945934256</v>
      </c>
      <c r="J97" s="4" cm="1">
        <f t="array" aca="1" ref="J97" ca="1">IF(ROW()&gt;7, (F97/INDIRECT("F"&amp;ROW()-7)-1)*100, "")</f>
        <v>-0.95237966729708745</v>
      </c>
      <c r="K97">
        <f t="shared" ca="1" si="2"/>
        <v>8130972</v>
      </c>
      <c r="L97" t="str">
        <f t="shared" ca="1" si="3"/>
        <v>Facebook</v>
      </c>
    </row>
    <row r="98" spans="2:12" x14ac:dyDescent="0.35">
      <c r="B98" s="3">
        <v>43561</v>
      </c>
      <c r="C98" s="4">
        <v>16806722</v>
      </c>
      <c r="D98" s="4">
        <v>12605042</v>
      </c>
      <c r="E98" s="4">
        <v>5135387</v>
      </c>
      <c r="F98" s="4">
        <v>12138188</v>
      </c>
      <c r="G98" s="4" cm="1">
        <f t="array" aca="1" ref="G98" ca="1">IF(ROW()&gt;7, (C98/INDIRECT("C"&amp;ROW()-7)-1)*100, "")</f>
        <v>3.9999975247999586</v>
      </c>
      <c r="H98" s="4" cm="1">
        <f t="array" aca="1" ref="H98" ca="1">IF(ROW()&gt;7, (D98/INDIRECT("D"&amp;ROW()-7)-1)*100, "")</f>
        <v>4.0000059404803556</v>
      </c>
      <c r="I98" s="4" cm="1">
        <f t="array" aca="1" ref="I98" ca="1">IF(ROW()&gt;7, (E98/INDIRECT("E"&amp;ROW()-7)-1)*100, "")</f>
        <v>4.0000024301966475</v>
      </c>
      <c r="J98" s="4" cm="1">
        <f t="array" aca="1" ref="J98" ca="1">IF(ROW()&gt;7, (F98/INDIRECT("F"&amp;ROW()-7)-1)*100, "")</f>
        <v>3.9999965727999465</v>
      </c>
      <c r="K98">
        <f t="shared" ca="1" si="2"/>
        <v>16806722</v>
      </c>
      <c r="L98" t="str">
        <f t="shared" ca="1" si="3"/>
        <v>Facebook</v>
      </c>
    </row>
    <row r="99" spans="2:12" x14ac:dyDescent="0.35">
      <c r="B99" s="3">
        <v>43562</v>
      </c>
      <c r="C99" s="4">
        <v>15513897</v>
      </c>
      <c r="D99" s="4">
        <v>11635423</v>
      </c>
      <c r="E99" s="4">
        <v>4740357</v>
      </c>
      <c r="F99" s="4">
        <v>11204481</v>
      </c>
      <c r="G99" s="4" cm="1">
        <f t="array" aca="1" ref="G99" ca="1">IF(ROW()&gt;7, (C99/INDIRECT("C"&amp;ROW()-7)-1)*100, "")</f>
        <v>1.052630961861456</v>
      </c>
      <c r="H99" s="4" cm="1">
        <f t="array" aca="1" ref="H99" ca="1">IF(ROW()&gt;7, (D99/INDIRECT("D"&amp;ROW()-7)-1)*100, "")</f>
        <v>1.052628744923334</v>
      </c>
      <c r="I99" s="4" cm="1">
        <f t="array" aca="1" ref="I99" ca="1">IF(ROW()&gt;7, (E99/INDIRECT("E"&amp;ROW()-7)-1)*100, "")</f>
        <v>1.0526376376098989</v>
      </c>
      <c r="J99" s="4" cm="1">
        <f t="array" aca="1" ref="J99" ca="1">IF(ROW()&gt;7, (F99/INDIRECT("F"&amp;ROW()-7)-1)*100, "")</f>
        <v>1.0526284460497415</v>
      </c>
      <c r="K99">
        <f t="shared" ca="1" si="2"/>
        <v>15513897</v>
      </c>
      <c r="L99" t="str">
        <f t="shared" ca="1" si="3"/>
        <v>Facebook</v>
      </c>
    </row>
    <row r="100" spans="2:12" x14ac:dyDescent="0.35">
      <c r="B100" s="3">
        <v>43563</v>
      </c>
      <c r="C100" s="4">
        <v>7740060</v>
      </c>
      <c r="D100" s="4">
        <v>5805045</v>
      </c>
      <c r="E100" s="4">
        <v>2365018</v>
      </c>
      <c r="F100" s="4">
        <v>5590043</v>
      </c>
      <c r="G100" s="4" cm="1">
        <f t="array" aca="1" ref="G100" ca="1">IF(ROW()&gt;7, (C100/INDIRECT("C"&amp;ROW()-7)-1)*100, "")</f>
        <v>2.0618577092037516</v>
      </c>
      <c r="H100" s="4" cm="1">
        <f t="array" aca="1" ref="H100" ca="1">IF(ROW()&gt;7, (D100/INDIRECT("D"&amp;ROW()-7)-1)*100, "")</f>
        <v>2.0618621952255056</v>
      </c>
      <c r="I100" s="4" cm="1">
        <f t="array" aca="1" ref="I100" ca="1">IF(ROW()&gt;7, (E100/INDIRECT("E"&amp;ROW()-7)-1)*100, "")</f>
        <v>2.0618494415770572</v>
      </c>
      <c r="J100" s="4" cm="1">
        <f t="array" aca="1" ref="J100" ca="1">IF(ROW()&gt;7, (F100/INDIRECT("F"&amp;ROW()-7)-1)*100, "")</f>
        <v>2.0618526585082231</v>
      </c>
      <c r="K100">
        <f t="shared" ca="1" si="2"/>
        <v>7740060</v>
      </c>
      <c r="L100" t="str">
        <f t="shared" ca="1" si="3"/>
        <v>Facebook</v>
      </c>
    </row>
    <row r="101" spans="2:12" x14ac:dyDescent="0.35">
      <c r="B101" s="3">
        <v>43564</v>
      </c>
      <c r="C101" s="4">
        <v>7818242</v>
      </c>
      <c r="D101" s="4">
        <v>5863681</v>
      </c>
      <c r="E101" s="4">
        <v>2388907</v>
      </c>
      <c r="F101" s="4">
        <v>5646508</v>
      </c>
      <c r="G101" s="4" cm="1">
        <f t="array" aca="1" ref="G101" ca="1">IF(ROW()&gt;7, (C101/INDIRECT("C"&amp;ROW()-7)-1)*100, "")</f>
        <v>-4.7619036017596983</v>
      </c>
      <c r="H101" s="4" cm="1">
        <f t="array" aca="1" ref="H101" ca="1">IF(ROW()&gt;7, (D101/INDIRECT("D"&amp;ROW()-7)-1)*100, "")</f>
        <v>-4.7619194570744261</v>
      </c>
      <c r="I101" s="4" cm="1">
        <f t="array" aca="1" ref="I101" ca="1">IF(ROW()&gt;7, (E101/INDIRECT("E"&amp;ROW()-7)-1)*100, "")</f>
        <v>-4.7618914729671165</v>
      </c>
      <c r="J101" s="4" cm="1">
        <f t="array" aca="1" ref="J101" ca="1">IF(ROW()&gt;7, (F101/INDIRECT("F"&amp;ROW()-7)-1)*100, "")</f>
        <v>-4.7618983364854479</v>
      </c>
      <c r="K101">
        <f t="shared" ca="1" si="2"/>
        <v>7818242</v>
      </c>
      <c r="L101" t="str">
        <f t="shared" ca="1" si="3"/>
        <v>Facebook</v>
      </c>
    </row>
    <row r="102" spans="2:12" x14ac:dyDescent="0.35">
      <c r="B102" s="3">
        <v>43565</v>
      </c>
      <c r="C102" s="4">
        <v>7740060</v>
      </c>
      <c r="D102" s="4">
        <v>5805045</v>
      </c>
      <c r="E102" s="4">
        <v>2365018</v>
      </c>
      <c r="F102" s="4">
        <v>5590043</v>
      </c>
      <c r="G102" s="4" cm="1">
        <f t="array" aca="1" ref="G102" ca="1">IF(ROW()&gt;7, (C102/INDIRECT("C"&amp;ROW()-7)-1)*100, "")</f>
        <v>-3.8834868267379141</v>
      </c>
      <c r="H102" s="4" cm="1">
        <f t="array" aca="1" ref="H102" ca="1">IF(ROW()&gt;7, (D102/INDIRECT("D"&amp;ROW()-7)-1)*100, "")</f>
        <v>-3.8834908053391737</v>
      </c>
      <c r="I102" s="4" cm="1">
        <f t="array" aca="1" ref="I102" ca="1">IF(ROW()&gt;7, (E102/INDIRECT("E"&amp;ROW()-7)-1)*100, "")</f>
        <v>-3.8834840976129992</v>
      </c>
      <c r="J102" s="4" cm="1">
        <f t="array" aca="1" ref="J102" ca="1">IF(ROW()&gt;7, (F102/INDIRECT("F"&amp;ROW()-7)-1)*100, "")</f>
        <v>-3.8834898037329757</v>
      </c>
      <c r="K102">
        <f t="shared" ca="1" si="2"/>
        <v>7740060</v>
      </c>
      <c r="L102" t="str">
        <f t="shared" ca="1" si="3"/>
        <v>Facebook</v>
      </c>
    </row>
    <row r="103" spans="2:12" x14ac:dyDescent="0.35">
      <c r="B103" s="3">
        <v>43566</v>
      </c>
      <c r="C103" s="4">
        <v>7427330</v>
      </c>
      <c r="D103" s="4">
        <v>5570497</v>
      </c>
      <c r="E103" s="4">
        <v>2269462</v>
      </c>
      <c r="F103" s="4">
        <v>5364183</v>
      </c>
      <c r="G103" s="4" cm="1">
        <f t="array" aca="1" ref="G103" ca="1">IF(ROW()&gt;7, (C103/INDIRECT("C"&amp;ROW()-7)-1)*100, "")</f>
        <v>-6.8627457127354408</v>
      </c>
      <c r="H103" s="4" cm="1">
        <f t="array" aca="1" ref="H103" ca="1">IF(ROW()&gt;7, (D103/INDIRECT("D"&amp;ROW()-7)-1)*100, "")</f>
        <v>-6.862750179528188</v>
      </c>
      <c r="I103" s="4" cm="1">
        <f t="array" aca="1" ref="I103" ca="1">IF(ROW()&gt;7, (E103/INDIRECT("E"&amp;ROW()-7)-1)*100, "")</f>
        <v>-6.8627253830511492</v>
      </c>
      <c r="J103" s="4" cm="1">
        <f t="array" aca="1" ref="J103" ca="1">IF(ROW()&gt;7, (F103/INDIRECT("F"&amp;ROW()-7)-1)*100, "")</f>
        <v>-6.8627355655187188</v>
      </c>
      <c r="K103">
        <f t="shared" ca="1" si="2"/>
        <v>7427330</v>
      </c>
      <c r="L103" t="str">
        <f t="shared" ca="1" si="3"/>
        <v>Facebook</v>
      </c>
    </row>
    <row r="104" spans="2:12" x14ac:dyDescent="0.35">
      <c r="B104" s="3">
        <v>43567</v>
      </c>
      <c r="C104" s="4">
        <v>7427330</v>
      </c>
      <c r="D104" s="4">
        <v>5570497</v>
      </c>
      <c r="E104" s="4">
        <v>2269462</v>
      </c>
      <c r="F104" s="4">
        <v>5364183</v>
      </c>
      <c r="G104" s="4" cm="1">
        <f t="array" aca="1" ref="G104" ca="1">IF(ROW()&gt;7, (C104/INDIRECT("C"&amp;ROW()-7)-1)*100, "")</f>
        <v>-8.6538485189716514</v>
      </c>
      <c r="H104" s="4" cm="1">
        <f t="array" aca="1" ref="H104" ca="1">IF(ROW()&gt;7, (D104/INDIRECT("D"&amp;ROW()-7)-1)*100, "")</f>
        <v>-8.6538567180733938</v>
      </c>
      <c r="I104" s="4" cm="1">
        <f t="array" aca="1" ref="I104" ca="1">IF(ROW()&gt;7, (E104/INDIRECT("E"&amp;ROW()-7)-1)*100, "")</f>
        <v>-8.6538217715458003</v>
      </c>
      <c r="J104" s="4" cm="1">
        <f t="array" aca="1" ref="J104" ca="1">IF(ROW()&gt;7, (F104/INDIRECT("F"&amp;ROW()-7)-1)*100, "")</f>
        <v>-8.6538343646038527</v>
      </c>
      <c r="K104">
        <f t="shared" ca="1" si="2"/>
        <v>7427330</v>
      </c>
      <c r="L104" t="str">
        <f t="shared" ca="1" si="3"/>
        <v>Facebook</v>
      </c>
    </row>
    <row r="105" spans="2:12" x14ac:dyDescent="0.35">
      <c r="B105" s="3">
        <v>43568</v>
      </c>
      <c r="C105" s="4">
        <v>15513897</v>
      </c>
      <c r="D105" s="4">
        <v>11635423</v>
      </c>
      <c r="E105" s="4">
        <v>4740357</v>
      </c>
      <c r="F105" s="4">
        <v>11204481</v>
      </c>
      <c r="G105" s="4" cm="1">
        <f t="array" aca="1" ref="G105" ca="1">IF(ROW()&gt;7, (C105/INDIRECT("C"&amp;ROW()-7)-1)*100, "")</f>
        <v>-7.6923090653846726</v>
      </c>
      <c r="H105" s="4" cm="1">
        <f t="array" aca="1" ref="H105" ca="1">IF(ROW()&gt;7, (D105/INDIRECT("D"&amp;ROW()-7)-1)*100, "")</f>
        <v>-7.6923107435897471</v>
      </c>
      <c r="I105" s="4" cm="1">
        <f t="array" aca="1" ref="I105" ca="1">IF(ROW()&gt;7, (E105/INDIRECT("E"&amp;ROW()-7)-1)*100, "")</f>
        <v>-7.6923121860144157</v>
      </c>
      <c r="J105" s="4" cm="1">
        <f t="array" aca="1" ref="J105" ca="1">IF(ROW()&gt;7, (F105/INDIRECT("F"&amp;ROW()-7)-1)*100, "")</f>
        <v>-7.6923095934912205</v>
      </c>
      <c r="K105">
        <f t="shared" ca="1" si="2"/>
        <v>15513897</v>
      </c>
      <c r="L105" t="str">
        <f t="shared" ca="1" si="3"/>
        <v>Facebook</v>
      </c>
    </row>
    <row r="106" spans="2:12" x14ac:dyDescent="0.35">
      <c r="B106" s="3">
        <v>43569</v>
      </c>
      <c r="C106" s="4">
        <v>16806722</v>
      </c>
      <c r="D106" s="4">
        <v>12605042</v>
      </c>
      <c r="E106" s="4">
        <v>5135387</v>
      </c>
      <c r="F106" s="4">
        <v>12138188</v>
      </c>
      <c r="G106" s="4" cm="1">
        <f t="array" aca="1" ref="G106" ca="1">IF(ROW()&gt;7, (C106/INDIRECT("C"&amp;ROW()-7)-1)*100, "")</f>
        <v>8.3333349447917584</v>
      </c>
      <c r="H106" s="4" cm="1">
        <f t="array" aca="1" ref="H106" ca="1">IF(ROW()&gt;7, (D106/INDIRECT("D"&amp;ROW()-7)-1)*100, "")</f>
        <v>8.3333369143519853</v>
      </c>
      <c r="I106" s="4" cm="1">
        <f t="array" aca="1" ref="I106" ca="1">IF(ROW()&gt;7, (E106/INDIRECT("E"&amp;ROW()-7)-1)*100, "")</f>
        <v>8.3333386071977387</v>
      </c>
      <c r="J106" s="4" cm="1">
        <f t="array" aca="1" ref="J106" ca="1">IF(ROW()&gt;7, (F106/INDIRECT("F"&amp;ROW()-7)-1)*100, "")</f>
        <v>8.3333355645834892</v>
      </c>
      <c r="K106">
        <f t="shared" ca="1" si="2"/>
        <v>16806722</v>
      </c>
      <c r="L106" t="str">
        <f t="shared" ca="1" si="3"/>
        <v>Facebook</v>
      </c>
    </row>
    <row r="107" spans="2:12" x14ac:dyDescent="0.35">
      <c r="B107" s="3">
        <v>43570</v>
      </c>
      <c r="C107" s="4">
        <v>7583695</v>
      </c>
      <c r="D107" s="4">
        <v>5687771</v>
      </c>
      <c r="E107" s="4">
        <v>2317240</v>
      </c>
      <c r="F107" s="4">
        <v>5477113</v>
      </c>
      <c r="G107" s="4" cm="1">
        <f t="array" aca="1" ref="G107" ca="1">IF(ROW()&gt;7, (C107/INDIRECT("C"&amp;ROW()-7)-1)*100, "")</f>
        <v>-2.0202039777469372</v>
      </c>
      <c r="H107" s="4" cm="1">
        <f t="array" aca="1" ref="H107" ca="1">IF(ROW()&gt;7, (D107/INDIRECT("D"&amp;ROW()-7)-1)*100, "")</f>
        <v>-2.0202082843457703</v>
      </c>
      <c r="I107" s="4" cm="1">
        <f t="array" aca="1" ref="I107" ca="1">IF(ROW()&gt;7, (E107/INDIRECT("E"&amp;ROW()-7)-1)*100, "")</f>
        <v>-2.0201960407912334</v>
      </c>
      <c r="J107" s="4" cm="1">
        <f t="array" aca="1" ref="J107" ca="1">IF(ROW()&gt;7, (F107/INDIRECT("F"&amp;ROW()-7)-1)*100, "")</f>
        <v>-2.0201991290585752</v>
      </c>
      <c r="K107">
        <f t="shared" ca="1" si="2"/>
        <v>7583695</v>
      </c>
      <c r="L107" t="str">
        <f t="shared" ca="1" si="3"/>
        <v>Facebook</v>
      </c>
    </row>
    <row r="108" spans="2:12" x14ac:dyDescent="0.35">
      <c r="B108" s="3">
        <v>43571</v>
      </c>
      <c r="C108" s="4">
        <v>8130972</v>
      </c>
      <c r="D108" s="4">
        <v>6098229</v>
      </c>
      <c r="E108" s="4">
        <v>2484463</v>
      </c>
      <c r="F108" s="4">
        <v>5872368</v>
      </c>
      <c r="G108" s="4" cm="1">
        <f t="array" aca="1" ref="G108" ca="1">IF(ROW()&gt;7, (C108/INDIRECT("C"&amp;ROW()-7)-1)*100, "")</f>
        <v>4.0000040929917491</v>
      </c>
      <c r="H108" s="4" cm="1">
        <f t="array" aca="1" ref="H108" ca="1">IF(ROW()&gt;7, (D108/INDIRECT("D"&amp;ROW()-7)-1)*100, "")</f>
        <v>4.0000129611416524</v>
      </c>
      <c r="I108" s="4" cm="1">
        <f t="array" aca="1" ref="I108" ca="1">IF(ROW()&gt;7, (E108/INDIRECT("E"&amp;ROW()-7)-1)*100, "")</f>
        <v>3.9999882791586172</v>
      </c>
      <c r="J108" s="4" cm="1">
        <f t="array" aca="1" ref="J108" ca="1">IF(ROW()&gt;7, (F108/INDIRECT("F"&amp;ROW()-7)-1)*100, "")</f>
        <v>3.9999943327805543</v>
      </c>
      <c r="K108">
        <f t="shared" ca="1" si="2"/>
        <v>8130972</v>
      </c>
      <c r="L108" t="str">
        <f t="shared" ca="1" si="3"/>
        <v>Facebook</v>
      </c>
    </row>
    <row r="109" spans="2:12" x14ac:dyDescent="0.35">
      <c r="B109" s="3">
        <v>43572</v>
      </c>
      <c r="C109" s="4">
        <v>7896424</v>
      </c>
      <c r="D109" s="4">
        <v>5922318</v>
      </c>
      <c r="E109" s="4">
        <v>2412796</v>
      </c>
      <c r="F109" s="4">
        <v>5702973</v>
      </c>
      <c r="G109" s="4" cm="1">
        <f t="array" aca="1" ref="G109" ca="1">IF(ROW()&gt;7, (C109/INDIRECT("C"&amp;ROW()-7)-1)*100, "")</f>
        <v>2.0201910579504601</v>
      </c>
      <c r="H109" s="4" cm="1">
        <f t="array" aca="1" ref="H109" ca="1">IF(ROW()&gt;7, (D109/INDIRECT("D"&amp;ROW()-7)-1)*100, "")</f>
        <v>2.0201910579504601</v>
      </c>
      <c r="I109" s="4" cm="1">
        <f t="array" aca="1" ref="I109" ca="1">IF(ROW()&gt;7, (E109/INDIRECT("E"&amp;ROW()-7)-1)*100, "")</f>
        <v>2.0201960407912223</v>
      </c>
      <c r="J109" s="4" cm="1">
        <f t="array" aca="1" ref="J109" ca="1">IF(ROW()&gt;7, (F109/INDIRECT("F"&amp;ROW()-7)-1)*100, "")</f>
        <v>2.0201991290585752</v>
      </c>
      <c r="K109">
        <f t="shared" ca="1" si="2"/>
        <v>7896424</v>
      </c>
      <c r="L109" t="str">
        <f t="shared" ca="1" si="3"/>
        <v>Facebook</v>
      </c>
    </row>
    <row r="110" spans="2:12" x14ac:dyDescent="0.35">
      <c r="B110" s="3">
        <v>43573</v>
      </c>
      <c r="C110" s="4">
        <v>8209154</v>
      </c>
      <c r="D110" s="4">
        <v>6156866</v>
      </c>
      <c r="E110" s="4">
        <v>2508352</v>
      </c>
      <c r="F110" s="4">
        <v>5928833</v>
      </c>
      <c r="G110" s="4" cm="1">
        <f t="array" aca="1" ref="G110" ca="1">IF(ROW()&gt;7, (C110/INDIRECT("C"&amp;ROW()-7)-1)*100, "")</f>
        <v>10.526312954991912</v>
      </c>
      <c r="H110" s="4" cm="1">
        <f t="array" aca="1" ref="H110" ca="1">IF(ROW()&gt;7, (D110/INDIRECT("D"&amp;ROW()-7)-1)*100, "")</f>
        <v>10.526331851538551</v>
      </c>
      <c r="I110" s="4" cm="1">
        <f t="array" aca="1" ref="I110" ca="1">IF(ROW()&gt;7, (E110/INDIRECT("E"&amp;ROW()-7)-1)*100, "")</f>
        <v>10.526283321774056</v>
      </c>
      <c r="J110" s="4" cm="1">
        <f t="array" aca="1" ref="J110" ca="1">IF(ROW()&gt;7, (F110/INDIRECT("F"&amp;ROW()-7)-1)*100, "")</f>
        <v>10.526300090805996</v>
      </c>
      <c r="K110">
        <f t="shared" ca="1" si="2"/>
        <v>8209154</v>
      </c>
      <c r="L110" t="str">
        <f t="shared" ca="1" si="3"/>
        <v>Facebook</v>
      </c>
    </row>
    <row r="111" spans="2:12" x14ac:dyDescent="0.35">
      <c r="B111" s="3">
        <v>43574</v>
      </c>
      <c r="C111" s="4">
        <v>7974607</v>
      </c>
      <c r="D111" s="4">
        <v>5980955</v>
      </c>
      <c r="E111" s="4">
        <v>2436685</v>
      </c>
      <c r="F111" s="4">
        <v>5759438</v>
      </c>
      <c r="G111" s="4" cm="1">
        <f t="array" aca="1" ref="G111" ca="1">IF(ROW()&gt;7, (C111/INDIRECT("C"&amp;ROW()-7)-1)*100, "")</f>
        <v>7.3684217612520309</v>
      </c>
      <c r="H111" s="4" cm="1">
        <f t="array" aca="1" ref="H111" ca="1">IF(ROW()&gt;7, (D111/INDIRECT("D"&amp;ROW()-7)-1)*100, "")</f>
        <v>7.3684269105611211</v>
      </c>
      <c r="I111" s="4" cm="1">
        <f t="array" aca="1" ref="I111" ca="1">IF(ROW()&gt;7, (E111/INDIRECT("E"&amp;ROW()-7)-1)*100, "")</f>
        <v>7.3683983252418317</v>
      </c>
      <c r="J111" s="4" cm="1">
        <f t="array" aca="1" ref="J111" ca="1">IF(ROW()&gt;7, (F111/INDIRECT("F"&amp;ROW()-7)-1)*100, "")</f>
        <v>7.3684100635641903</v>
      </c>
      <c r="K111">
        <f t="shared" ca="1" si="2"/>
        <v>7974607</v>
      </c>
      <c r="L111" t="str">
        <f t="shared" ca="1" si="3"/>
        <v>Facebook</v>
      </c>
    </row>
    <row r="112" spans="2:12" x14ac:dyDescent="0.35">
      <c r="B112" s="3">
        <v>43575</v>
      </c>
      <c r="C112" s="4">
        <v>15998707</v>
      </c>
      <c r="D112" s="4">
        <v>11999030</v>
      </c>
      <c r="E112" s="4">
        <v>4888493</v>
      </c>
      <c r="F112" s="4">
        <v>11554621</v>
      </c>
      <c r="G112" s="4" cm="1">
        <f t="array" aca="1" ref="G112" ca="1">IF(ROW()&gt;7, (C112/INDIRECT("C"&amp;ROW()-7)-1)*100, "")</f>
        <v>3.1250046329429626</v>
      </c>
      <c r="H112" s="4" cm="1">
        <f t="array" aca="1" ref="H112" ca="1">IF(ROW()&gt;7, (D112/INDIRECT("D"&amp;ROW()-7)-1)*100, "")</f>
        <v>3.1250002685764056</v>
      </c>
      <c r="I112" s="4" cm="1">
        <f t="array" aca="1" ref="I112" ca="1">IF(ROW()&gt;7, (E112/INDIRECT("E"&amp;ROW()-7)-1)*100, "")</f>
        <v>3.1249967038347481</v>
      </c>
      <c r="J112" s="4" cm="1">
        <f t="array" aca="1" ref="J112" ca="1">IF(ROW()&gt;7, (F112/INDIRECT("F"&amp;ROW()-7)-1)*100, "")</f>
        <v>3.1249997210937241</v>
      </c>
      <c r="K112">
        <f t="shared" ca="1" si="2"/>
        <v>15998707</v>
      </c>
      <c r="L112" t="str">
        <f t="shared" ca="1" si="3"/>
        <v>Facebook</v>
      </c>
    </row>
    <row r="113" spans="2:12" x14ac:dyDescent="0.35">
      <c r="B113" s="3">
        <v>43576</v>
      </c>
      <c r="C113" s="4">
        <v>16806722</v>
      </c>
      <c r="D113" s="4">
        <v>12605042</v>
      </c>
      <c r="E113" s="4">
        <v>5135387</v>
      </c>
      <c r="F113" s="4">
        <v>12138188</v>
      </c>
      <c r="G113" s="4" cm="1">
        <f t="array" aca="1" ref="G113" ca="1">IF(ROW()&gt;7, (C113/INDIRECT("C"&amp;ROW()-7)-1)*100, "")</f>
        <v>0</v>
      </c>
      <c r="H113" s="4" cm="1">
        <f t="array" aca="1" ref="H113" ca="1">IF(ROW()&gt;7, (D113/INDIRECT("D"&amp;ROW()-7)-1)*100, "")</f>
        <v>0</v>
      </c>
      <c r="I113" s="4" cm="1">
        <f t="array" aca="1" ref="I113" ca="1">IF(ROW()&gt;7, (E113/INDIRECT("E"&amp;ROW()-7)-1)*100, "")</f>
        <v>0</v>
      </c>
      <c r="J113" s="4" cm="1">
        <f t="array" aca="1" ref="J113" ca="1">IF(ROW()&gt;7, (F113/INDIRECT("F"&amp;ROW()-7)-1)*100, "")</f>
        <v>0</v>
      </c>
      <c r="K113">
        <f t="shared" ca="1" si="2"/>
        <v>0</v>
      </c>
      <c r="L113">
        <f t="shared" ca="1" si="3"/>
        <v>0</v>
      </c>
    </row>
    <row r="114" spans="2:12" x14ac:dyDescent="0.35">
      <c r="B114" s="3">
        <v>43577</v>
      </c>
      <c r="C114" s="4">
        <v>7505512</v>
      </c>
      <c r="D114" s="4">
        <v>5629134</v>
      </c>
      <c r="E114" s="4">
        <v>2293351</v>
      </c>
      <c r="F114" s="4">
        <v>5420648</v>
      </c>
      <c r="G114" s="4" cm="1">
        <f t="array" aca="1" ref="G114" ca="1">IF(ROW()&gt;7, (C114/INDIRECT("C"&amp;ROW()-7)-1)*100, "")</f>
        <v>-1.0309354476940369</v>
      </c>
      <c r="H114" s="4" cm="1">
        <f t="array" aca="1" ref="H114" ca="1">IF(ROW()&gt;7, (D114/INDIRECT("D"&amp;ROW()-7)-1)*100, "")</f>
        <v>-1.0309310976127528</v>
      </c>
      <c r="I114" s="4" cm="1">
        <f t="array" aca="1" ref="I114" ca="1">IF(ROW()&gt;7, (E114/INDIRECT("E"&amp;ROW()-7)-1)*100, "")</f>
        <v>-1.0309247207885286</v>
      </c>
      <c r="J114" s="4" cm="1">
        <f t="array" aca="1" ref="J114" ca="1">IF(ROW()&gt;7, (F114/INDIRECT("F"&amp;ROW()-7)-1)*100, "")</f>
        <v>-1.0309263292541115</v>
      </c>
      <c r="K114">
        <f t="shared" ca="1" si="2"/>
        <v>7505512</v>
      </c>
      <c r="L114" t="str">
        <f t="shared" ca="1" si="3"/>
        <v>Facebook</v>
      </c>
    </row>
    <row r="115" spans="2:12" x14ac:dyDescent="0.35">
      <c r="B115" s="3">
        <v>43578</v>
      </c>
      <c r="C115" s="4">
        <v>7427330</v>
      </c>
      <c r="D115" s="4">
        <v>5570497</v>
      </c>
      <c r="E115" s="4">
        <v>2269462</v>
      </c>
      <c r="F115" s="4">
        <v>5364183</v>
      </c>
      <c r="G115" s="4" cm="1">
        <f t="array" aca="1" ref="G115" ca="1">IF(ROW()&gt;7, (C115/INDIRECT("C"&amp;ROW()-7)-1)*100, "")</f>
        <v>-8.6538485189716514</v>
      </c>
      <c r="H115" s="4" cm="1">
        <f t="array" aca="1" ref="H115" ca="1">IF(ROW()&gt;7, (D115/INDIRECT("D"&amp;ROW()-7)-1)*100, "")</f>
        <v>-8.6538567180733938</v>
      </c>
      <c r="I115" s="4" cm="1">
        <f t="array" aca="1" ref="I115" ca="1">IF(ROW()&gt;7, (E115/INDIRECT("E"&amp;ROW()-7)-1)*100, "")</f>
        <v>-8.6538217715458003</v>
      </c>
      <c r="J115" s="4" cm="1">
        <f t="array" aca="1" ref="J115" ca="1">IF(ROW()&gt;7, (F115/INDIRECT("F"&amp;ROW()-7)-1)*100, "")</f>
        <v>-8.6538343646038527</v>
      </c>
      <c r="K115">
        <f t="shared" ca="1" si="2"/>
        <v>7427330</v>
      </c>
      <c r="L115" t="str">
        <f t="shared" ca="1" si="3"/>
        <v>Facebook</v>
      </c>
    </row>
    <row r="116" spans="2:12" x14ac:dyDescent="0.35">
      <c r="B116" s="3">
        <v>43579</v>
      </c>
      <c r="C116" s="4">
        <v>7818242</v>
      </c>
      <c r="D116" s="4">
        <v>5863681</v>
      </c>
      <c r="E116" s="4">
        <v>2388907</v>
      </c>
      <c r="F116" s="4">
        <v>5646508</v>
      </c>
      <c r="G116" s="4" cm="1">
        <f t="array" aca="1" ref="G116" ca="1">IF(ROW()&gt;7, (C116/INDIRECT("C"&amp;ROW()-7)-1)*100, "")</f>
        <v>-0.99009374369968262</v>
      </c>
      <c r="H116" s="4" cm="1">
        <f t="array" aca="1" ref="H116" ca="1">IF(ROW()&gt;7, (D116/INDIRECT("D"&amp;ROW()-7)-1)*100, "")</f>
        <v>-0.99010218633988067</v>
      </c>
      <c r="I116" s="4" cm="1">
        <f t="array" aca="1" ref="I116" ca="1">IF(ROW()&gt;7, (E116/INDIRECT("E"&amp;ROW()-7)-1)*100, "")</f>
        <v>-0.99009613742728764</v>
      </c>
      <c r="J116" s="4" cm="1">
        <f t="array" aca="1" ref="J116" ca="1">IF(ROW()&gt;7, (F116/INDIRECT("F"&amp;ROW()-7)-1)*100, "")</f>
        <v>-0.99009762101276433</v>
      </c>
      <c r="K116">
        <f t="shared" ca="1" si="2"/>
        <v>7818242</v>
      </c>
      <c r="L116" t="str">
        <f t="shared" ca="1" si="3"/>
        <v>Facebook</v>
      </c>
    </row>
    <row r="117" spans="2:12" x14ac:dyDescent="0.35">
      <c r="B117" s="3">
        <v>43580</v>
      </c>
      <c r="C117" s="4">
        <v>8209154</v>
      </c>
      <c r="D117" s="4">
        <v>6156866</v>
      </c>
      <c r="E117" s="4">
        <v>2508352</v>
      </c>
      <c r="F117" s="4">
        <v>5928833</v>
      </c>
      <c r="G117" s="4" cm="1">
        <f t="array" aca="1" ref="G117" ca="1">IF(ROW()&gt;7, (C117/INDIRECT("C"&amp;ROW()-7)-1)*100, "")</f>
        <v>0</v>
      </c>
      <c r="H117" s="4" cm="1">
        <f t="array" aca="1" ref="H117" ca="1">IF(ROW()&gt;7, (D117/INDIRECT("D"&amp;ROW()-7)-1)*100, "")</f>
        <v>0</v>
      </c>
      <c r="I117" s="4" cm="1">
        <f t="array" aca="1" ref="I117" ca="1">IF(ROW()&gt;7, (E117/INDIRECT("E"&amp;ROW()-7)-1)*100, "")</f>
        <v>0</v>
      </c>
      <c r="J117" s="4" cm="1">
        <f t="array" aca="1" ref="J117" ca="1">IF(ROW()&gt;7, (F117/INDIRECT("F"&amp;ROW()-7)-1)*100, "")</f>
        <v>0</v>
      </c>
      <c r="K117">
        <f t="shared" ca="1" si="2"/>
        <v>0</v>
      </c>
      <c r="L117">
        <f t="shared" ca="1" si="3"/>
        <v>0</v>
      </c>
    </row>
    <row r="118" spans="2:12" x14ac:dyDescent="0.35">
      <c r="B118" s="3">
        <v>43581</v>
      </c>
      <c r="C118" s="4">
        <v>7974607</v>
      </c>
      <c r="D118" s="4">
        <v>5980955</v>
      </c>
      <c r="E118" s="4">
        <v>2436685</v>
      </c>
      <c r="F118" s="4">
        <v>5759438</v>
      </c>
      <c r="G118" s="4" cm="1">
        <f t="array" aca="1" ref="G118" ca="1">IF(ROW()&gt;7, (C118/INDIRECT("C"&amp;ROW()-7)-1)*100, "")</f>
        <v>0</v>
      </c>
      <c r="H118" s="4" cm="1">
        <f t="array" aca="1" ref="H118" ca="1">IF(ROW()&gt;7, (D118/INDIRECT("D"&amp;ROW()-7)-1)*100, "")</f>
        <v>0</v>
      </c>
      <c r="I118" s="4" cm="1">
        <f t="array" aca="1" ref="I118" ca="1">IF(ROW()&gt;7, (E118/INDIRECT("E"&amp;ROW()-7)-1)*100, "")</f>
        <v>0</v>
      </c>
      <c r="J118" s="4" cm="1">
        <f t="array" aca="1" ref="J118" ca="1">IF(ROW()&gt;7, (F118/INDIRECT("F"&amp;ROW()-7)-1)*100, "")</f>
        <v>0</v>
      </c>
      <c r="K118">
        <f t="shared" ca="1" si="2"/>
        <v>0</v>
      </c>
      <c r="L118">
        <f t="shared" ca="1" si="3"/>
        <v>0</v>
      </c>
    </row>
    <row r="119" spans="2:12" x14ac:dyDescent="0.35">
      <c r="B119" s="3">
        <v>43582</v>
      </c>
      <c r="C119" s="4">
        <v>16968325</v>
      </c>
      <c r="D119" s="4">
        <v>12726244</v>
      </c>
      <c r="E119" s="4">
        <v>5184766</v>
      </c>
      <c r="F119" s="4">
        <v>12254901</v>
      </c>
      <c r="G119" s="4" cm="1">
        <f t="array" aca="1" ref="G119" ca="1">IF(ROW()&gt;7, (C119/INDIRECT("C"&amp;ROW()-7)-1)*100, "")</f>
        <v>6.0606022724211339</v>
      </c>
      <c r="H119" s="4" cm="1">
        <f t="array" aca="1" ref="H119" ca="1">IF(ROW()&gt;7, (D119/INDIRECT("D"&amp;ROW()-7)-1)*100, "")</f>
        <v>6.0606065656974017</v>
      </c>
      <c r="I119" s="4" cm="1">
        <f t="array" aca="1" ref="I119" ca="1">IF(ROW()&gt;7, (E119/INDIRECT("E"&amp;ROW()-7)-1)*100, "")</f>
        <v>6.0606203179589313</v>
      </c>
      <c r="J119" s="4" cm="1">
        <f t="array" aca="1" ref="J119" ca="1">IF(ROW()&gt;7, (F119/INDIRECT("F"&amp;ROW()-7)-1)*100, "")</f>
        <v>6.060605536088115</v>
      </c>
      <c r="K119">
        <f t="shared" ca="1" si="2"/>
        <v>16968325</v>
      </c>
      <c r="L119" t="str">
        <f t="shared" ca="1" si="3"/>
        <v>Facebook</v>
      </c>
    </row>
    <row r="120" spans="2:12" x14ac:dyDescent="0.35">
      <c r="B120" s="3">
        <v>43583</v>
      </c>
      <c r="C120" s="4">
        <v>16645119</v>
      </c>
      <c r="D120" s="4">
        <v>12483839</v>
      </c>
      <c r="E120" s="4">
        <v>5086008</v>
      </c>
      <c r="F120" s="4">
        <v>12021475</v>
      </c>
      <c r="G120" s="4" cm="1">
        <f t="array" aca="1" ref="G120" ca="1">IF(ROW()&gt;7, (C120/INDIRECT("C"&amp;ROW()-7)-1)*100, "")</f>
        <v>-0.96153788942305862</v>
      </c>
      <c r="H120" s="4" cm="1">
        <f t="array" aca="1" ref="H120" ca="1">IF(ROW()&gt;7, (D120/INDIRECT("D"&amp;ROW()-7)-1)*100, "")</f>
        <v>-0.96154380128206096</v>
      </c>
      <c r="I120" s="4" cm="1">
        <f t="array" aca="1" ref="I120" ca="1">IF(ROW()&gt;7, (E120/INDIRECT("E"&amp;ROW()-7)-1)*100, "")</f>
        <v>-0.96154389143408014</v>
      </c>
      <c r="J120" s="4" cm="1">
        <f t="array" aca="1" ref="J120" ca="1">IF(ROW()&gt;7, (F120/INDIRECT("F"&amp;ROW()-7)-1)*100, "")</f>
        <v>-0.96153560976317554</v>
      </c>
      <c r="K120">
        <f t="shared" ca="1" si="2"/>
        <v>16645119</v>
      </c>
      <c r="L120" t="str">
        <f t="shared" ca="1" si="3"/>
        <v>Facebook</v>
      </c>
    </row>
    <row r="121" spans="2:12" x14ac:dyDescent="0.35">
      <c r="B121" s="3">
        <v>43584</v>
      </c>
      <c r="C121" s="4">
        <v>7427330</v>
      </c>
      <c r="D121" s="4">
        <v>5570497</v>
      </c>
      <c r="E121" s="4">
        <v>2269462</v>
      </c>
      <c r="F121" s="4">
        <v>5364183</v>
      </c>
      <c r="G121" s="4" cm="1">
        <f t="array" aca="1" ref="G121" ca="1">IF(ROW()&gt;7, (C121/INDIRECT("C"&amp;ROW()-7)-1)*100, "")</f>
        <v>-1.0416611151910726</v>
      </c>
      <c r="H121" s="4" cm="1">
        <f t="array" aca="1" ref="H121" ca="1">IF(ROW()&gt;7, (D121/INDIRECT("D"&amp;ROW()-7)-1)*100, "")</f>
        <v>-1.0416699975520194</v>
      </c>
      <c r="I121" s="4" cm="1">
        <f t="array" aca="1" ref="I121" ca="1">IF(ROW()&gt;7, (E121/INDIRECT("E"&amp;ROW()-7)-1)*100, "")</f>
        <v>-1.0416634871853403</v>
      </c>
      <c r="J121" s="4" cm="1">
        <f t="array" aca="1" ref="J121" ca="1">IF(ROW()&gt;7, (F121/INDIRECT("F"&amp;ROW()-7)-1)*100, "")</f>
        <v>-1.0416651293350898</v>
      </c>
      <c r="K121">
        <f t="shared" ca="1" si="2"/>
        <v>7427330</v>
      </c>
      <c r="L121" t="str">
        <f t="shared" ca="1" si="3"/>
        <v>Facebook</v>
      </c>
    </row>
    <row r="122" spans="2:12" x14ac:dyDescent="0.35">
      <c r="B122" s="3">
        <v>43585</v>
      </c>
      <c r="C122" s="4">
        <v>7583695</v>
      </c>
      <c r="D122" s="4">
        <v>5687771</v>
      </c>
      <c r="E122" s="4">
        <v>2317240</v>
      </c>
      <c r="F122" s="4">
        <v>5477113</v>
      </c>
      <c r="G122" s="4" cm="1">
        <f t="array" aca="1" ref="G122" ca="1">IF(ROW()&gt;7, (C122/INDIRECT("C"&amp;ROW()-7)-1)*100, "")</f>
        <v>2.1052652837560748</v>
      </c>
      <c r="H122" s="4" cm="1">
        <f t="array" aca="1" ref="H122" ca="1">IF(ROW()&gt;7, (D122/INDIRECT("D"&amp;ROW()-7)-1)*100, "")</f>
        <v>2.1052699606516345</v>
      </c>
      <c r="I122" s="4" cm="1">
        <f t="array" aca="1" ref="I122" ca="1">IF(ROW()&gt;7, (E122/INDIRECT("E"&amp;ROW()-7)-1)*100, "")</f>
        <v>2.1052566643548154</v>
      </c>
      <c r="J122" s="4" cm="1">
        <f t="array" aca="1" ref="J122" ca="1">IF(ROW()&gt;7, (F122/INDIRECT("F"&amp;ROW()-7)-1)*100, "")</f>
        <v>2.1052600181612036</v>
      </c>
      <c r="K122">
        <f t="shared" ca="1" si="2"/>
        <v>7583695</v>
      </c>
      <c r="L122" t="str">
        <f t="shared" ca="1" si="3"/>
        <v>Facebook</v>
      </c>
    </row>
    <row r="123" spans="2:12" x14ac:dyDescent="0.35">
      <c r="B123" s="3">
        <v>43586</v>
      </c>
      <c r="C123" s="4">
        <v>8209154</v>
      </c>
      <c r="D123" s="4">
        <v>6156866</v>
      </c>
      <c r="E123" s="4">
        <v>2508352</v>
      </c>
      <c r="F123" s="4">
        <v>5928833</v>
      </c>
      <c r="G123" s="4" cm="1">
        <f t="array" aca="1" ref="G123" ca="1">IF(ROW()&gt;7, (C123/INDIRECT("C"&amp;ROW()-7)-1)*100, "")</f>
        <v>4.9999987209400798</v>
      </c>
      <c r="H123" s="4" cm="1">
        <f t="array" aca="1" ref="H123" ca="1">IF(ROW()&gt;7, (D123/INDIRECT("D"&amp;ROW()-7)-1)*100, "")</f>
        <v>5.0000162014270488</v>
      </c>
      <c r="I123" s="4" cm="1">
        <f t="array" aca="1" ref="I123" ca="1">IF(ROW()&gt;7, (E123/INDIRECT("E"&amp;ROW()-7)-1)*100, "")</f>
        <v>4.9999853489482771</v>
      </c>
      <c r="J123" s="4" cm="1">
        <f t="array" aca="1" ref="J123" ca="1">IF(ROW()&gt;7, (F123/INDIRECT("F"&amp;ROW()-7)-1)*100, "")</f>
        <v>4.9999929159756817</v>
      </c>
      <c r="K123">
        <f t="shared" ca="1" si="2"/>
        <v>8209154</v>
      </c>
      <c r="L123" t="str">
        <f t="shared" ca="1" si="3"/>
        <v>Facebook</v>
      </c>
    </row>
    <row r="124" spans="2:12" x14ac:dyDescent="0.35">
      <c r="B124" s="3">
        <v>43587</v>
      </c>
      <c r="C124" s="4">
        <v>7661877</v>
      </c>
      <c r="D124" s="4">
        <v>5746408</v>
      </c>
      <c r="E124" s="4">
        <v>2341129</v>
      </c>
      <c r="F124" s="4">
        <v>5533578</v>
      </c>
      <c r="G124" s="4" cm="1">
        <f t="array" aca="1" ref="G124" ca="1">IF(ROW()&gt;7, (C124/INDIRECT("C"&amp;ROW()-7)-1)*100, "")</f>
        <v>-6.6666674787682183</v>
      </c>
      <c r="H124" s="4" cm="1">
        <f t="array" aca="1" ref="H124" ca="1">IF(ROW()&gt;7, (D124/INDIRECT("D"&amp;ROW()-7)-1)*100, "")</f>
        <v>-6.6666709978745686</v>
      </c>
      <c r="I124" s="4" cm="1">
        <f t="array" aca="1" ref="I124" ca="1">IF(ROW()&gt;7, (E124/INDIRECT("E"&amp;ROW()-7)-1)*100, "")</f>
        <v>-6.666648062153957</v>
      </c>
      <c r="J124" s="4" cm="1">
        <f t="array" aca="1" ref="J124" ca="1">IF(ROW()&gt;7, (F124/INDIRECT("F"&amp;ROW()-7)-1)*100, "")</f>
        <v>-6.6666576710796228</v>
      </c>
      <c r="K124">
        <f t="shared" ca="1" si="2"/>
        <v>7661877</v>
      </c>
      <c r="L124" t="str">
        <f t="shared" ca="1" si="3"/>
        <v>Facebook</v>
      </c>
    </row>
    <row r="125" spans="2:12" x14ac:dyDescent="0.35">
      <c r="B125" s="3">
        <v>43588</v>
      </c>
      <c r="C125" s="4">
        <v>7505512</v>
      </c>
      <c r="D125" s="4">
        <v>5629134</v>
      </c>
      <c r="E125" s="4">
        <v>2293351</v>
      </c>
      <c r="F125" s="4">
        <v>5420648</v>
      </c>
      <c r="G125" s="4" cm="1">
        <f t="array" aca="1" ref="G125" ca="1">IF(ROW()&gt;7, (C125/INDIRECT("C"&amp;ROW()-7)-1)*100, "")</f>
        <v>-5.882358842260194</v>
      </c>
      <c r="H125" s="4" cm="1">
        <f t="array" aca="1" ref="H125" ca="1">IF(ROW()&gt;7, (D125/INDIRECT("D"&amp;ROW()-7)-1)*100, "")</f>
        <v>-5.8823549082044568</v>
      </c>
      <c r="I125" s="4" cm="1">
        <f t="array" aca="1" ref="I125" ca="1">IF(ROW()&gt;7, (E125/INDIRECT("E"&amp;ROW()-7)-1)*100, "")</f>
        <v>-5.8823360426152771</v>
      </c>
      <c r="J125" s="4" cm="1">
        <f t="array" aca="1" ref="J125" ca="1">IF(ROW()&gt;7, (F125/INDIRECT("F"&amp;ROW()-7)-1)*100, "")</f>
        <v>-5.8823447704446146</v>
      </c>
      <c r="K125">
        <f t="shared" ca="1" si="2"/>
        <v>7505512</v>
      </c>
      <c r="L125" t="str">
        <f t="shared" ca="1" si="3"/>
        <v>Facebook</v>
      </c>
    </row>
    <row r="126" spans="2:12" x14ac:dyDescent="0.35">
      <c r="B126" s="3">
        <v>43589</v>
      </c>
      <c r="C126" s="4">
        <v>15513897</v>
      </c>
      <c r="D126" s="4">
        <v>11635423</v>
      </c>
      <c r="E126" s="4">
        <v>4740357</v>
      </c>
      <c r="F126" s="4">
        <v>11204481</v>
      </c>
      <c r="G126" s="4" cm="1">
        <f t="array" aca="1" ref="G126" ca="1">IF(ROW()&gt;7, (C126/INDIRECT("C"&amp;ROW()-7)-1)*100, "")</f>
        <v>-8.5714294133333766</v>
      </c>
      <c r="H126" s="4" cm="1">
        <f t="array" aca="1" ref="H126" ca="1">IF(ROW()&gt;7, (D126/INDIRECT("D"&amp;ROW()-7)-1)*100, "")</f>
        <v>-8.5714292449523999</v>
      </c>
      <c r="I126" s="4" cm="1">
        <f t="array" aca="1" ref="I126" ca="1">IF(ROW()&gt;7, (E126/INDIRECT("E"&amp;ROW()-7)-1)*100, "")</f>
        <v>-8.5714379395328564</v>
      </c>
      <c r="J126" s="4" cm="1">
        <f t="array" aca="1" ref="J126" ca="1">IF(ROW()&gt;7, (F126/INDIRECT("F"&amp;ROW()-7)-1)*100, "")</f>
        <v>-8.5714278719999477</v>
      </c>
      <c r="K126">
        <f t="shared" ca="1" si="2"/>
        <v>15513897</v>
      </c>
      <c r="L126" t="str">
        <f t="shared" ca="1" si="3"/>
        <v>Facebook</v>
      </c>
    </row>
    <row r="127" spans="2:12" x14ac:dyDescent="0.35">
      <c r="B127" s="3">
        <v>43590</v>
      </c>
      <c r="C127" s="4">
        <v>15837104</v>
      </c>
      <c r="D127" s="4">
        <v>11877828</v>
      </c>
      <c r="E127" s="4">
        <v>4839115</v>
      </c>
      <c r="F127" s="4">
        <v>11437908</v>
      </c>
      <c r="G127" s="4" cm="1">
        <f t="array" aca="1" ref="G127" ca="1">IF(ROW()&gt;7, (C127/INDIRECT("C"&amp;ROW()-7)-1)*100, "")</f>
        <v>-4.8543660156469937</v>
      </c>
      <c r="H127" s="4" cm="1">
        <f t="array" aca="1" ref="H127" ca="1">IF(ROW()&gt;7, (D127/INDIRECT("D"&amp;ROW()-7)-1)*100, "")</f>
        <v>-4.8543641102708923</v>
      </c>
      <c r="I127" s="4" cm="1">
        <f t="array" aca="1" ref="I127" ca="1">IF(ROW()&gt;7, (E127/INDIRECT("E"&amp;ROW()-7)-1)*100, "")</f>
        <v>-4.8543572876802443</v>
      </c>
      <c r="J127" s="4" cm="1">
        <f t="array" aca="1" ref="J127" ca="1">IF(ROW()&gt;7, (F127/INDIRECT("F"&amp;ROW()-7)-1)*100, "")</f>
        <v>-4.8543710318409321</v>
      </c>
      <c r="K127">
        <f t="shared" ca="1" si="2"/>
        <v>15837104</v>
      </c>
      <c r="L127" t="str">
        <f t="shared" ca="1" si="3"/>
        <v>Facebook</v>
      </c>
    </row>
    <row r="128" spans="2:12" x14ac:dyDescent="0.35">
      <c r="B128" s="3">
        <v>43591</v>
      </c>
      <c r="C128" s="4">
        <v>7818242</v>
      </c>
      <c r="D128" s="4">
        <v>5863681</v>
      </c>
      <c r="E128" s="4">
        <v>2388907</v>
      </c>
      <c r="F128" s="4">
        <v>5646508</v>
      </c>
      <c r="G128" s="4" cm="1">
        <f t="array" aca="1" ref="G128" ca="1">IF(ROW()&gt;7, (C128/INDIRECT("C"&amp;ROW()-7)-1)*100, "")</f>
        <v>5.2631564774959561</v>
      </c>
      <c r="H128" s="4" cm="1">
        <f t="array" aca="1" ref="H128" ca="1">IF(ROW()&gt;7, (D128/INDIRECT("D"&amp;ROW()-7)-1)*100, "")</f>
        <v>5.2631569499094866</v>
      </c>
      <c r="I128" s="4" cm="1">
        <f t="array" aca="1" ref="I128" ca="1">IF(ROW()&gt;7, (E128/INDIRECT("E"&amp;ROW()-7)-1)*100, "")</f>
        <v>5.2631416608870385</v>
      </c>
      <c r="J128" s="4" cm="1">
        <f t="array" aca="1" ref="J128" ca="1">IF(ROW()&gt;7, (F128/INDIRECT("F"&amp;ROW()-7)-1)*100, "")</f>
        <v>5.2631500454030089</v>
      </c>
      <c r="K128">
        <f t="shared" ca="1" si="2"/>
        <v>7818242</v>
      </c>
      <c r="L128" t="str">
        <f t="shared" ca="1" si="3"/>
        <v>Facebook</v>
      </c>
    </row>
    <row r="129" spans="2:12" x14ac:dyDescent="0.35">
      <c r="B129" s="3">
        <v>43592</v>
      </c>
      <c r="C129" s="4">
        <v>7974607</v>
      </c>
      <c r="D129" s="4">
        <v>5980955</v>
      </c>
      <c r="E129" s="4">
        <v>2436685</v>
      </c>
      <c r="F129" s="4">
        <v>5759438</v>
      </c>
      <c r="G129" s="4" cm="1">
        <f t="array" aca="1" ref="G129" ca="1">IF(ROW()&gt;7, (C129/INDIRECT("C"&amp;ROW()-7)-1)*100, "")</f>
        <v>5.15463767991724</v>
      </c>
      <c r="H129" s="4" cm="1">
        <f t="array" aca="1" ref="H129" ca="1">IF(ROW()&gt;7, (D129/INDIRECT("D"&amp;ROW()-7)-1)*100, "")</f>
        <v>5.1546379064839387</v>
      </c>
      <c r="I129" s="4" cm="1">
        <f t="array" aca="1" ref="I129" ca="1">IF(ROW()&gt;7, (E129/INDIRECT("E"&amp;ROW()-7)-1)*100, "")</f>
        <v>5.1546236039426319</v>
      </c>
      <c r="J129" s="4" cm="1">
        <f t="array" aca="1" ref="J129" ca="1">IF(ROW()&gt;7, (F129/INDIRECT("F"&amp;ROW()-7)-1)*100, "")</f>
        <v>5.154631646270591</v>
      </c>
      <c r="K129">
        <f t="shared" ca="1" si="2"/>
        <v>7974607</v>
      </c>
      <c r="L129" t="str">
        <f t="shared" ca="1" si="3"/>
        <v>Facebook</v>
      </c>
    </row>
    <row r="130" spans="2:12" x14ac:dyDescent="0.35">
      <c r="B130" s="3">
        <v>43593</v>
      </c>
      <c r="C130" s="4">
        <v>8209154</v>
      </c>
      <c r="D130" s="4">
        <v>6156866</v>
      </c>
      <c r="E130" s="4">
        <v>2508352</v>
      </c>
      <c r="F130" s="4">
        <v>5928833</v>
      </c>
      <c r="G130" s="4" cm="1">
        <f t="array" aca="1" ref="G130" ca="1">IF(ROW()&gt;7, (C130/INDIRECT("C"&amp;ROW()-7)-1)*100, "")</f>
        <v>0</v>
      </c>
      <c r="H130" s="4" cm="1">
        <f t="array" aca="1" ref="H130" ca="1">IF(ROW()&gt;7, (D130/INDIRECT("D"&amp;ROW()-7)-1)*100, "")</f>
        <v>0</v>
      </c>
      <c r="I130" s="4" cm="1">
        <f t="array" aca="1" ref="I130" ca="1">IF(ROW()&gt;7, (E130/INDIRECT("E"&amp;ROW()-7)-1)*100, "")</f>
        <v>0</v>
      </c>
      <c r="J130" s="4" cm="1">
        <f t="array" aca="1" ref="J130" ca="1">IF(ROW()&gt;7, (F130/INDIRECT("F"&amp;ROW()-7)-1)*100, "")</f>
        <v>0</v>
      </c>
      <c r="K130">
        <f t="shared" ca="1" si="2"/>
        <v>0</v>
      </c>
      <c r="L130">
        <f t="shared" ca="1" si="3"/>
        <v>0</v>
      </c>
    </row>
    <row r="131" spans="2:12" x14ac:dyDescent="0.35">
      <c r="B131" s="3">
        <v>43594</v>
      </c>
      <c r="C131" s="4">
        <v>7583695</v>
      </c>
      <c r="D131" s="4">
        <v>5687771</v>
      </c>
      <c r="E131" s="4">
        <v>2317240</v>
      </c>
      <c r="F131" s="4">
        <v>5477113</v>
      </c>
      <c r="G131" s="4" cm="1">
        <f t="array" aca="1" ref="G131" ca="1">IF(ROW()&gt;7, (C131/INDIRECT("C"&amp;ROW()-7)-1)*100, "")</f>
        <v>-1.0204027028886009</v>
      </c>
      <c r="H131" s="4" cm="1">
        <f t="array" aca="1" ref="H131" ca="1">IF(ROW()&gt;7, (D131/INDIRECT("D"&amp;ROW()-7)-1)*100, "")</f>
        <v>-1.0204113595832398</v>
      </c>
      <c r="I131" s="4" cm="1">
        <f t="array" aca="1" ref="I131" ca="1">IF(ROW()&gt;7, (E131/INDIRECT("E"&amp;ROW()-7)-1)*100, "")</f>
        <v>-1.0204051122343127</v>
      </c>
      <c r="J131" s="4" cm="1">
        <f t="array" aca="1" ref="J131" ca="1">IF(ROW()&gt;7, (F131/INDIRECT("F"&amp;ROW()-7)-1)*100, "")</f>
        <v>-1.0204066880416196</v>
      </c>
      <c r="K131">
        <f t="shared" ca="1" si="2"/>
        <v>7583695</v>
      </c>
      <c r="L131" t="str">
        <f t="shared" ca="1" si="3"/>
        <v>Facebook</v>
      </c>
    </row>
    <row r="132" spans="2:12" x14ac:dyDescent="0.35">
      <c r="B132" s="3">
        <v>43595</v>
      </c>
      <c r="C132" s="4">
        <v>7583695</v>
      </c>
      <c r="D132" s="4">
        <v>5687771</v>
      </c>
      <c r="E132" s="4">
        <v>2317240</v>
      </c>
      <c r="F132" s="4">
        <v>5477113</v>
      </c>
      <c r="G132" s="4" cm="1">
        <f t="array" aca="1" ref="G132" ca="1">IF(ROW()&gt;7, (C132/INDIRECT("C"&amp;ROW()-7)-1)*100, "")</f>
        <v>1.0416744387324872</v>
      </c>
      <c r="H132" s="4" cm="1">
        <f t="array" aca="1" ref="H132" ca="1">IF(ROW()&gt;7, (D132/INDIRECT("D"&amp;ROW()-7)-1)*100, "")</f>
        <v>1.0416699975520194</v>
      </c>
      <c r="I132" s="4" cm="1">
        <f t="array" aca="1" ref="I132" ca="1">IF(ROW()&gt;7, (E132/INDIRECT("E"&amp;ROW()-7)-1)*100, "")</f>
        <v>1.0416634871853514</v>
      </c>
      <c r="J132" s="4" cm="1">
        <f t="array" aca="1" ref="J132" ca="1">IF(ROW()&gt;7, (F132/INDIRECT("F"&amp;ROW()-7)-1)*100, "")</f>
        <v>1.0416651293351009</v>
      </c>
      <c r="K132">
        <f t="shared" ca="1" si="2"/>
        <v>7583695</v>
      </c>
      <c r="L132" t="str">
        <f t="shared" ca="1" si="3"/>
        <v>Facebook</v>
      </c>
    </row>
    <row r="133" spans="2:12" x14ac:dyDescent="0.35">
      <c r="B133" s="3">
        <v>43596</v>
      </c>
      <c r="C133" s="4">
        <v>16483516</v>
      </c>
      <c r="D133" s="4">
        <v>12362637</v>
      </c>
      <c r="E133" s="4">
        <v>5036630</v>
      </c>
      <c r="F133" s="4">
        <v>11904761</v>
      </c>
      <c r="G133" s="4" cm="1">
        <f t="array" aca="1" ref="G133" ca="1">IF(ROW()&gt;7, (C133/INDIRECT("C"&amp;ROW()-7)-1)*100, "")</f>
        <v>6.2500028200522362</v>
      </c>
      <c r="H133" s="4" cm="1">
        <f t="array" aca="1" ref="H133" ca="1">IF(ROW()&gt;7, (D133/INDIRECT("D"&amp;ROW()-7)-1)*100, "")</f>
        <v>6.2500005371527889</v>
      </c>
      <c r="I133" s="4" cm="1">
        <f t="array" aca="1" ref="I133" ca="1">IF(ROW()&gt;7, (E133/INDIRECT("E"&amp;ROW()-7)-1)*100, "")</f>
        <v>6.2500145031270771</v>
      </c>
      <c r="J133" s="4" cm="1">
        <f t="array" aca="1" ref="J133" ca="1">IF(ROW()&gt;7, (F133/INDIRECT("F"&amp;ROW()-7)-1)*100, "")</f>
        <v>6.2499994421874705</v>
      </c>
      <c r="K133">
        <f t="shared" ca="1" si="2"/>
        <v>16483516</v>
      </c>
      <c r="L133" t="str">
        <f t="shared" ca="1" si="3"/>
        <v>Facebook</v>
      </c>
    </row>
    <row r="134" spans="2:12" x14ac:dyDescent="0.35">
      <c r="B134" s="3">
        <v>43597</v>
      </c>
      <c r="C134" s="4">
        <v>15352294</v>
      </c>
      <c r="D134" s="4">
        <v>11514221</v>
      </c>
      <c r="E134" s="4">
        <v>4690978</v>
      </c>
      <c r="F134" s="4">
        <v>11087768</v>
      </c>
      <c r="G134" s="4" cm="1">
        <f t="array" aca="1" ref="G134" ca="1">IF(ROW()&gt;7, (C134/INDIRECT("C"&amp;ROW()-7)-1)*100, "")</f>
        <v>-3.061228871137045</v>
      </c>
      <c r="H134" s="4" cm="1">
        <f t="array" aca="1" ref="H134" ca="1">IF(ROW()&gt;7, (D134/INDIRECT("D"&amp;ROW()-7)-1)*100, "")</f>
        <v>-3.0612246616132155</v>
      </c>
      <c r="I134" s="4" cm="1">
        <f t="array" aca="1" ref="I134" ca="1">IF(ROW()&gt;7, (E134/INDIRECT("E"&amp;ROW()-7)-1)*100, "")</f>
        <v>-3.061241569997819</v>
      </c>
      <c r="J134" s="4" cm="1">
        <f t="array" aca="1" ref="J134" ca="1">IF(ROW()&gt;7, (F134/INDIRECT("F"&amp;ROW()-7)-1)*100, "")</f>
        <v>-3.0612241329445955</v>
      </c>
      <c r="K134">
        <f t="shared" ca="1" si="2"/>
        <v>15352294</v>
      </c>
      <c r="L134" t="str">
        <f t="shared" ca="1" si="3"/>
        <v>Facebook</v>
      </c>
    </row>
    <row r="135" spans="2:12" x14ac:dyDescent="0.35">
      <c r="B135" s="3">
        <v>43598</v>
      </c>
      <c r="C135" s="4">
        <v>7505512</v>
      </c>
      <c r="D135" s="4">
        <v>5629134</v>
      </c>
      <c r="E135" s="4">
        <v>2293351</v>
      </c>
      <c r="F135" s="4">
        <v>5420648</v>
      </c>
      <c r="G135" s="4" cm="1">
        <f t="array" aca="1" ref="G135" ca="1">IF(ROW()&gt;7, (C135/INDIRECT("C"&amp;ROW()-7)-1)*100, "")</f>
        <v>-4.0000040929917491</v>
      </c>
      <c r="H135" s="4" cm="1">
        <f t="array" aca="1" ref="H135" ca="1">IF(ROW()&gt;7, (D135/INDIRECT("D"&amp;ROW()-7)-1)*100, "")</f>
        <v>-3.9999959070079028</v>
      </c>
      <c r="I135" s="4" cm="1">
        <f t="array" aca="1" ref="I135" ca="1">IF(ROW()&gt;7, (E135/INDIRECT("E"&amp;ROW()-7)-1)*100, "")</f>
        <v>-3.9999882791586283</v>
      </c>
      <c r="J135" s="4" cm="1">
        <f t="array" aca="1" ref="J135" ca="1">IF(ROW()&gt;7, (F135/INDIRECT("F"&amp;ROW()-7)-1)*100, "")</f>
        <v>-3.9999943327805432</v>
      </c>
      <c r="K135">
        <f t="shared" ca="1" si="2"/>
        <v>7505512</v>
      </c>
      <c r="L135" t="str">
        <f t="shared" ca="1" si="3"/>
        <v>Facebook</v>
      </c>
    </row>
    <row r="136" spans="2:12" x14ac:dyDescent="0.35">
      <c r="B136" s="3">
        <v>43599</v>
      </c>
      <c r="C136" s="4">
        <v>8209154</v>
      </c>
      <c r="D136" s="4">
        <v>6156866</v>
      </c>
      <c r="E136" s="4">
        <v>2508352</v>
      </c>
      <c r="F136" s="4">
        <v>5928833</v>
      </c>
      <c r="G136" s="4" cm="1">
        <f t="array" aca="1" ref="G136" ca="1">IF(ROW()&gt;7, (C136/INDIRECT("C"&amp;ROW()-7)-1)*100, "")</f>
        <v>2.9411731512286376</v>
      </c>
      <c r="H136" s="4" cm="1">
        <f t="array" aca="1" ref="H136" ca="1">IF(ROW()&gt;7, (D136/INDIRECT("D"&amp;ROW()-7)-1)*100, "")</f>
        <v>2.9411858139711811</v>
      </c>
      <c r="I136" s="4" cm="1">
        <f t="array" aca="1" ref="I136" ca="1">IF(ROW()&gt;7, (E136/INDIRECT("E"&amp;ROW()-7)-1)*100, "")</f>
        <v>2.9411680213076385</v>
      </c>
      <c r="J136" s="4" cm="1">
        <f t="array" aca="1" ref="J136" ca="1">IF(ROW()&gt;7, (F136/INDIRECT("F"&amp;ROW()-7)-1)*100, "")</f>
        <v>2.9411723852223126</v>
      </c>
      <c r="K136">
        <f t="shared" ca="1" si="2"/>
        <v>8209154</v>
      </c>
      <c r="L136" t="str">
        <f t="shared" ca="1" si="3"/>
        <v>Facebook</v>
      </c>
    </row>
    <row r="137" spans="2:12" x14ac:dyDescent="0.35">
      <c r="B137" s="3">
        <v>43600</v>
      </c>
      <c r="C137" s="4">
        <v>7896424</v>
      </c>
      <c r="D137" s="4">
        <v>5922318</v>
      </c>
      <c r="E137" s="4">
        <v>2412796</v>
      </c>
      <c r="F137" s="4">
        <v>5702973</v>
      </c>
      <c r="G137" s="4" cm="1">
        <f t="array" aca="1" ref="G137" ca="1">IF(ROW()&gt;7, (C137/INDIRECT("C"&amp;ROW()-7)-1)*100, "")</f>
        <v>-3.8095277540170391</v>
      </c>
      <c r="H137" s="4" cm="1">
        <f t="array" aca="1" ref="H137" ca="1">IF(ROW()&gt;7, (D137/INDIRECT("D"&amp;ROW()-7)-1)*100, "")</f>
        <v>-3.8095355656595387</v>
      </c>
      <c r="I137" s="4" cm="1">
        <f t="array" aca="1" ref="I137" ca="1">IF(ROW()&gt;7, (E137/INDIRECT("E"&amp;ROW()-7)-1)*100, "")</f>
        <v>-3.8095131783736913</v>
      </c>
      <c r="J137" s="4" cm="1">
        <f t="array" aca="1" ref="J137" ca="1">IF(ROW()&gt;7, (F137/INDIRECT("F"&amp;ROW()-7)-1)*100, "")</f>
        <v>-3.8095186691883498</v>
      </c>
      <c r="K137">
        <f t="shared" ca="1" si="2"/>
        <v>7896424</v>
      </c>
      <c r="L137" t="str">
        <f t="shared" ca="1" si="3"/>
        <v>Facebook</v>
      </c>
    </row>
    <row r="138" spans="2:12" x14ac:dyDescent="0.35">
      <c r="B138" s="3">
        <v>43601</v>
      </c>
      <c r="C138" s="4">
        <v>7583695</v>
      </c>
      <c r="D138" s="4">
        <v>5687771</v>
      </c>
      <c r="E138" s="4">
        <v>2317240</v>
      </c>
      <c r="F138" s="4">
        <v>5477113</v>
      </c>
      <c r="G138" s="4" cm="1">
        <f t="array" aca="1" ref="G138" ca="1">IF(ROW()&gt;7, (C138/INDIRECT("C"&amp;ROW()-7)-1)*100, "")</f>
        <v>0</v>
      </c>
      <c r="H138" s="4" cm="1">
        <f t="array" aca="1" ref="H138" ca="1">IF(ROW()&gt;7, (D138/INDIRECT("D"&amp;ROW()-7)-1)*100, "")</f>
        <v>0</v>
      </c>
      <c r="I138" s="4" cm="1">
        <f t="array" aca="1" ref="I138" ca="1">IF(ROW()&gt;7, (E138/INDIRECT("E"&amp;ROW()-7)-1)*100, "")</f>
        <v>0</v>
      </c>
      <c r="J138" s="4" cm="1">
        <f t="array" aca="1" ref="J138" ca="1">IF(ROW()&gt;7, (F138/INDIRECT("F"&amp;ROW()-7)-1)*100, "")</f>
        <v>0</v>
      </c>
      <c r="K138">
        <f t="shared" ca="1" si="2"/>
        <v>0</v>
      </c>
      <c r="L138">
        <f t="shared" ca="1" si="3"/>
        <v>0</v>
      </c>
    </row>
    <row r="139" spans="2:12" x14ac:dyDescent="0.35">
      <c r="B139" s="3">
        <v>43602</v>
      </c>
      <c r="C139" s="4">
        <v>7427330</v>
      </c>
      <c r="D139" s="4">
        <v>5570497</v>
      </c>
      <c r="E139" s="4">
        <v>2269462</v>
      </c>
      <c r="F139" s="4">
        <v>5364183</v>
      </c>
      <c r="G139" s="4" cm="1">
        <f t="array" aca="1" ref="G139" ca="1">IF(ROW()&gt;7, (C139/INDIRECT("C"&amp;ROW()-7)-1)*100, "")</f>
        <v>-2.0618577092037627</v>
      </c>
      <c r="H139" s="4" cm="1">
        <f t="array" aca="1" ref="H139" ca="1">IF(ROW()&gt;7, (D139/INDIRECT("D"&amp;ROW()-7)-1)*100, "")</f>
        <v>-2.0618621952255056</v>
      </c>
      <c r="I139" s="4" cm="1">
        <f t="array" aca="1" ref="I139" ca="1">IF(ROW()&gt;7, (E139/INDIRECT("E"&amp;ROW()-7)-1)*100, "")</f>
        <v>-2.0618494415770461</v>
      </c>
      <c r="J139" s="4" cm="1">
        <f t="array" aca="1" ref="J139" ca="1">IF(ROW()&gt;7, (F139/INDIRECT("F"&amp;ROW()-7)-1)*100, "")</f>
        <v>-2.0618526585082342</v>
      </c>
      <c r="K139">
        <f t="shared" ref="K139:K202" ca="1" si="4">IF(SUM(G139:J139)=0,0,MAX(C139:F139))</f>
        <v>7427330</v>
      </c>
      <c r="L139" t="str">
        <f t="shared" ref="L139:L202" ca="1" si="5">IF(SUM(G139:J139)=0, 0, INDEX(C$2:F$2, MATCH(MAX(C139:F139), C139:F139, 0)))</f>
        <v>Facebook</v>
      </c>
    </row>
    <row r="140" spans="2:12" x14ac:dyDescent="0.35">
      <c r="B140" s="3">
        <v>43603</v>
      </c>
      <c r="C140" s="4">
        <v>16160310</v>
      </c>
      <c r="D140" s="4">
        <v>12120232</v>
      </c>
      <c r="E140" s="4">
        <v>4937872</v>
      </c>
      <c r="F140" s="4">
        <v>11671335</v>
      </c>
      <c r="G140" s="4" cm="1">
        <f t="array" aca="1" ref="G140" ca="1">IF(ROW()&gt;7, (C140/INDIRECT("C"&amp;ROW()-7)-1)*100, "")</f>
        <v>-1.9607831241829743</v>
      </c>
      <c r="H140" s="4" cm="1">
        <f t="array" aca="1" ref="H140" ca="1">IF(ROW()&gt;7, (D140/INDIRECT("D"&amp;ROW()-7)-1)*100, "")</f>
        <v>-1.9607871686275313</v>
      </c>
      <c r="I140" s="4" cm="1">
        <f t="array" aca="1" ref="I140" ca="1">IF(ROW()&gt;7, (E140/INDIRECT("E"&amp;ROW()-7)-1)*100, "")</f>
        <v>-1.9607952142603247</v>
      </c>
      <c r="J140" s="4" cm="1">
        <f t="array" aca="1" ref="J140" ca="1">IF(ROW()&gt;7, (F140/INDIRECT("F"&amp;ROW()-7)-1)*100, "")</f>
        <v>-1.9607785490191709</v>
      </c>
      <c r="K140">
        <f t="shared" ca="1" si="4"/>
        <v>16160310</v>
      </c>
      <c r="L140" t="str">
        <f t="shared" ca="1" si="5"/>
        <v>Facebook</v>
      </c>
    </row>
    <row r="141" spans="2:12" x14ac:dyDescent="0.35">
      <c r="B141" s="3">
        <v>43604</v>
      </c>
      <c r="C141" s="4">
        <v>16968325</v>
      </c>
      <c r="D141" s="4">
        <v>12726244</v>
      </c>
      <c r="E141" s="4">
        <v>5184766</v>
      </c>
      <c r="F141" s="4">
        <v>12254901</v>
      </c>
      <c r="G141" s="4" cm="1">
        <f t="array" aca="1" ref="G141" ca="1">IF(ROW()&gt;7, (C141/INDIRECT("C"&amp;ROW()-7)-1)*100, "")</f>
        <v>10.526316132299197</v>
      </c>
      <c r="H141" s="4" cm="1">
        <f t="array" aca="1" ref="H141" ca="1">IF(ROW()&gt;7, (D141/INDIRECT("D"&amp;ROW()-7)-1)*100, "")</f>
        <v>10.526313503970442</v>
      </c>
      <c r="I141" s="4" cm="1">
        <f t="array" aca="1" ref="I141" ca="1">IF(ROW()&gt;7, (E141/INDIRECT("E"&amp;ROW()-7)-1)*100, "")</f>
        <v>10.526333741066352</v>
      </c>
      <c r="J141" s="4" cm="1">
        <f t="array" aca="1" ref="J141" ca="1">IF(ROW()&gt;7, (F141/INDIRECT("F"&amp;ROW()-7)-1)*100, "")</f>
        <v>10.526311517340559</v>
      </c>
      <c r="K141">
        <f t="shared" ca="1" si="4"/>
        <v>16968325</v>
      </c>
      <c r="L141" t="str">
        <f t="shared" ca="1" si="5"/>
        <v>Facebook</v>
      </c>
    </row>
    <row r="142" spans="2:12" x14ac:dyDescent="0.35">
      <c r="B142" s="3">
        <v>43605</v>
      </c>
      <c r="C142" s="4">
        <v>8052789</v>
      </c>
      <c r="D142" s="4">
        <v>6039592</v>
      </c>
      <c r="E142" s="4">
        <v>2460574</v>
      </c>
      <c r="F142" s="4">
        <v>5815903</v>
      </c>
      <c r="G142" s="4" cm="1">
        <f t="array" aca="1" ref="G142" ca="1">IF(ROW()&gt;7, (C142/INDIRECT("C"&amp;ROW()-7)-1)*100, "")</f>
        <v>7.2916677769617744</v>
      </c>
      <c r="H142" s="4" cm="1">
        <f t="array" aca="1" ref="H142" ca="1">IF(ROW()&gt;7, (D142/INDIRECT("D"&amp;ROW()-7)-1)*100, "")</f>
        <v>7.2916722181422644</v>
      </c>
      <c r="I142" s="4" cm="1">
        <f t="array" aca="1" ref="I142" ca="1">IF(ROW()&gt;7, (E142/INDIRECT("E"&amp;ROW()-7)-1)*100, "")</f>
        <v>7.2916444102974154</v>
      </c>
      <c r="J142" s="4" cm="1">
        <f t="array" aca="1" ref="J142" ca="1">IF(ROW()&gt;7, (F142/INDIRECT("F"&amp;ROW()-7)-1)*100, "")</f>
        <v>7.2916559053456398</v>
      </c>
      <c r="K142">
        <f t="shared" ca="1" si="4"/>
        <v>8052789</v>
      </c>
      <c r="L142" t="str">
        <f t="shared" ca="1" si="5"/>
        <v>Facebook</v>
      </c>
    </row>
    <row r="143" spans="2:12" x14ac:dyDescent="0.35">
      <c r="B143" s="3">
        <v>43606</v>
      </c>
      <c r="C143" s="4">
        <v>8052789</v>
      </c>
      <c r="D143" s="4">
        <v>6039592</v>
      </c>
      <c r="E143" s="4">
        <v>2460574</v>
      </c>
      <c r="F143" s="4">
        <v>5815903</v>
      </c>
      <c r="G143" s="4" cm="1">
        <f t="array" aca="1" ref="G143" ca="1">IF(ROW()&gt;7, (C143/INDIRECT("C"&amp;ROW()-7)-1)*100, "")</f>
        <v>-1.9047638770085196</v>
      </c>
      <c r="H143" s="4" cm="1">
        <f t="array" aca="1" ref="H143" ca="1">IF(ROW()&gt;7, (D143/INDIRECT("D"&amp;ROW()-7)-1)*100, "")</f>
        <v>-1.9047677828297749</v>
      </c>
      <c r="I143" s="4" cm="1">
        <f t="array" aca="1" ref="I143" ca="1">IF(ROW()&gt;7, (E143/INDIRECT("E"&amp;ROW()-7)-1)*100, "")</f>
        <v>-1.9047565891868401</v>
      </c>
      <c r="J143" s="4" cm="1">
        <f t="array" aca="1" ref="J143" ca="1">IF(ROW()&gt;7, (F143/INDIRECT("F"&amp;ROW()-7)-1)*100, "")</f>
        <v>-1.9047593345941749</v>
      </c>
      <c r="K143">
        <f t="shared" ca="1" si="4"/>
        <v>8052789</v>
      </c>
      <c r="L143" t="str">
        <f t="shared" ca="1" si="5"/>
        <v>Facebook</v>
      </c>
    </row>
    <row r="144" spans="2:12" x14ac:dyDescent="0.35">
      <c r="B144" s="3">
        <v>43607</v>
      </c>
      <c r="C144" s="4">
        <v>7896424</v>
      </c>
      <c r="D144" s="4">
        <v>5922318</v>
      </c>
      <c r="E144" s="4">
        <v>2412796</v>
      </c>
      <c r="F144" s="4">
        <v>5702973</v>
      </c>
      <c r="G144" s="4" cm="1">
        <f t="array" aca="1" ref="G144" ca="1">IF(ROW()&gt;7, (C144/INDIRECT("C"&amp;ROW()-7)-1)*100, "")</f>
        <v>0</v>
      </c>
      <c r="H144" s="4" cm="1">
        <f t="array" aca="1" ref="H144" ca="1">IF(ROW()&gt;7, (D144/INDIRECT("D"&amp;ROW()-7)-1)*100, "")</f>
        <v>0</v>
      </c>
      <c r="I144" s="4" cm="1">
        <f t="array" aca="1" ref="I144" ca="1">IF(ROW()&gt;7, (E144/INDIRECT("E"&amp;ROW()-7)-1)*100, "")</f>
        <v>0</v>
      </c>
      <c r="J144" s="4" cm="1">
        <f t="array" aca="1" ref="J144" ca="1">IF(ROW()&gt;7, (F144/INDIRECT("F"&amp;ROW()-7)-1)*100, "")</f>
        <v>0</v>
      </c>
      <c r="K144">
        <f t="shared" ca="1" si="4"/>
        <v>0</v>
      </c>
      <c r="L144">
        <f t="shared" ca="1" si="5"/>
        <v>0</v>
      </c>
    </row>
    <row r="145" spans="2:12" x14ac:dyDescent="0.35">
      <c r="B145" s="3">
        <v>43608</v>
      </c>
      <c r="C145" s="4">
        <v>7583695</v>
      </c>
      <c r="D145" s="4">
        <v>5687771</v>
      </c>
      <c r="E145" s="4">
        <v>2317240</v>
      </c>
      <c r="F145" s="4">
        <v>5477113</v>
      </c>
      <c r="G145" s="4" cm="1">
        <f t="array" aca="1" ref="G145" ca="1">IF(ROW()&gt;7, (C145/INDIRECT("C"&amp;ROW()-7)-1)*100, "")</f>
        <v>0</v>
      </c>
      <c r="H145" s="4" cm="1">
        <f t="array" aca="1" ref="H145" ca="1">IF(ROW()&gt;7, (D145/INDIRECT("D"&amp;ROW()-7)-1)*100, "")</f>
        <v>0</v>
      </c>
      <c r="I145" s="4" cm="1">
        <f t="array" aca="1" ref="I145" ca="1">IF(ROW()&gt;7, (E145/INDIRECT("E"&amp;ROW()-7)-1)*100, "")</f>
        <v>0</v>
      </c>
      <c r="J145" s="4" cm="1">
        <f t="array" aca="1" ref="J145" ca="1">IF(ROW()&gt;7, (F145/INDIRECT("F"&amp;ROW()-7)-1)*100, "")</f>
        <v>0</v>
      </c>
      <c r="K145">
        <f t="shared" ca="1" si="4"/>
        <v>0</v>
      </c>
      <c r="L145">
        <f t="shared" ca="1" si="5"/>
        <v>0</v>
      </c>
    </row>
    <row r="146" spans="2:12" x14ac:dyDescent="0.35">
      <c r="B146" s="3">
        <v>43609</v>
      </c>
      <c r="C146" s="4">
        <v>8052789</v>
      </c>
      <c r="D146" s="4">
        <v>6039592</v>
      </c>
      <c r="E146" s="4">
        <v>2460574</v>
      </c>
      <c r="F146" s="4">
        <v>5815903</v>
      </c>
      <c r="G146" s="4" cm="1">
        <f t="array" aca="1" ref="G146" ca="1">IF(ROW()&gt;7, (C146/INDIRECT("C"&amp;ROW()-7)-1)*100, "")</f>
        <v>8.4210476712358364</v>
      </c>
      <c r="H146" s="4" cm="1">
        <f t="array" aca="1" ref="H146" ca="1">IF(ROW()&gt;7, (D146/INDIRECT("D"&amp;ROW()-7)-1)*100, "")</f>
        <v>8.4210618908869392</v>
      </c>
      <c r="I146" s="4" cm="1">
        <f t="array" aca="1" ref="I146" ca="1">IF(ROW()&gt;7, (E146/INDIRECT("E"&amp;ROW()-7)-1)*100, "")</f>
        <v>8.4210266574192403</v>
      </c>
      <c r="J146" s="4" cm="1">
        <f t="array" aca="1" ref="J146" ca="1">IF(ROW()&gt;7, (F146/INDIRECT("F"&amp;ROW()-7)-1)*100, "")</f>
        <v>8.4210400726447929</v>
      </c>
      <c r="K146">
        <f t="shared" ca="1" si="4"/>
        <v>8052789</v>
      </c>
      <c r="L146" t="str">
        <f t="shared" ca="1" si="5"/>
        <v>Facebook</v>
      </c>
    </row>
    <row r="147" spans="2:12" x14ac:dyDescent="0.35">
      <c r="B147" s="3">
        <v>43610</v>
      </c>
      <c r="C147" s="4">
        <v>16968325</v>
      </c>
      <c r="D147" s="4">
        <v>12726244</v>
      </c>
      <c r="E147" s="4">
        <v>5184766</v>
      </c>
      <c r="F147" s="4">
        <v>12254901</v>
      </c>
      <c r="G147" s="4" cm="1">
        <f t="array" aca="1" ref="G147" ca="1">IF(ROW()&gt;7, (C147/INDIRECT("C"&amp;ROW()-7)-1)*100, "")</f>
        <v>4.9999969059999483</v>
      </c>
      <c r="H147" s="4" cm="1">
        <f t="array" aca="1" ref="H147" ca="1">IF(ROW()&gt;7, (D147/INDIRECT("D"&amp;ROW()-7)-1)*100, "")</f>
        <v>5.0000033002668642</v>
      </c>
      <c r="I147" s="4" cm="1">
        <f t="array" aca="1" ref="I147" ca="1">IF(ROW()&gt;7, (E147/INDIRECT("E"&amp;ROW()-7)-1)*100, "")</f>
        <v>5.0000081006555064</v>
      </c>
      <c r="J147" s="4" cm="1">
        <f t="array" aca="1" ref="J147" ca="1">IF(ROW()&gt;7, (F147/INDIRECT("F"&amp;ROW()-7)-1)*100, "")</f>
        <v>4.9999935739998946</v>
      </c>
      <c r="K147">
        <f t="shared" ca="1" si="4"/>
        <v>16968325</v>
      </c>
      <c r="L147" t="str">
        <f t="shared" ca="1" si="5"/>
        <v>Facebook</v>
      </c>
    </row>
    <row r="148" spans="2:12" x14ac:dyDescent="0.35">
      <c r="B148" s="3">
        <v>43611</v>
      </c>
      <c r="C148" s="4">
        <v>16968325</v>
      </c>
      <c r="D148" s="4">
        <v>12726244</v>
      </c>
      <c r="E148" s="4">
        <v>5184766</v>
      </c>
      <c r="F148" s="4">
        <v>12254901</v>
      </c>
      <c r="G148" s="4" cm="1">
        <f t="array" aca="1" ref="G148" ca="1">IF(ROW()&gt;7, (C148/INDIRECT("C"&amp;ROW()-7)-1)*100, "")</f>
        <v>0</v>
      </c>
      <c r="H148" s="4" cm="1">
        <f t="array" aca="1" ref="H148" ca="1">IF(ROW()&gt;7, (D148/INDIRECT("D"&amp;ROW()-7)-1)*100, "")</f>
        <v>0</v>
      </c>
      <c r="I148" s="4" cm="1">
        <f t="array" aca="1" ref="I148" ca="1">IF(ROW()&gt;7, (E148/INDIRECT("E"&amp;ROW()-7)-1)*100, "")</f>
        <v>0</v>
      </c>
      <c r="J148" s="4" cm="1">
        <f t="array" aca="1" ref="J148" ca="1">IF(ROW()&gt;7, (F148/INDIRECT("F"&amp;ROW()-7)-1)*100, "")</f>
        <v>0</v>
      </c>
      <c r="K148">
        <f t="shared" ca="1" si="4"/>
        <v>0</v>
      </c>
      <c r="L148">
        <f t="shared" ca="1" si="5"/>
        <v>0</v>
      </c>
    </row>
    <row r="149" spans="2:12" x14ac:dyDescent="0.35">
      <c r="B149" s="3">
        <v>43612</v>
      </c>
      <c r="C149" s="4">
        <v>7583695</v>
      </c>
      <c r="D149" s="4">
        <v>5687771</v>
      </c>
      <c r="E149" s="4">
        <v>2317240</v>
      </c>
      <c r="F149" s="4">
        <v>5477113</v>
      </c>
      <c r="G149" s="4" cm="1">
        <f t="array" aca="1" ref="G149" ca="1">IF(ROW()&gt;7, (C149/INDIRECT("C"&amp;ROW()-7)-1)*100, "")</f>
        <v>-5.8252364491358177</v>
      </c>
      <c r="H149" s="4" cm="1">
        <f t="array" aca="1" ref="H149" ca="1">IF(ROW()&gt;7, (D149/INDIRECT("D"&amp;ROW()-7)-1)*100, "")</f>
        <v>-5.825244486713677</v>
      </c>
      <c r="I149" s="4" cm="1">
        <f t="array" aca="1" ref="I149" ca="1">IF(ROW()&gt;7, (E149/INDIRECT("E"&amp;ROW()-7)-1)*100, "")</f>
        <v>-5.8252261464194932</v>
      </c>
      <c r="J149" s="4" cm="1">
        <f t="array" aca="1" ref="J149" ca="1">IF(ROW()&gt;7, (F149/INDIRECT("F"&amp;ROW()-7)-1)*100, "")</f>
        <v>-5.825234705599458</v>
      </c>
      <c r="K149">
        <f t="shared" ca="1" si="4"/>
        <v>7583695</v>
      </c>
      <c r="L149" t="str">
        <f t="shared" ca="1" si="5"/>
        <v>Facebook</v>
      </c>
    </row>
    <row r="150" spans="2:12" x14ac:dyDescent="0.35">
      <c r="B150" s="3">
        <v>43613</v>
      </c>
      <c r="C150" s="4">
        <v>8130972</v>
      </c>
      <c r="D150" s="4">
        <v>6098229</v>
      </c>
      <c r="E150" s="4">
        <v>2484463</v>
      </c>
      <c r="F150" s="4">
        <v>5872368</v>
      </c>
      <c r="G150" s="4" cm="1">
        <f t="array" aca="1" ref="G150" ca="1">IF(ROW()&gt;7, (C150/INDIRECT("C"&amp;ROW()-7)-1)*100, "")</f>
        <v>0.97088102022790945</v>
      </c>
      <c r="H150" s="4" cm="1">
        <f t="array" aca="1" ref="H150" ca="1">IF(ROW()&gt;7, (D150/INDIRECT("D"&amp;ROW()-7)-1)*100, "")</f>
        <v>0.97087684068726254</v>
      </c>
      <c r="I150" s="4" cm="1">
        <f t="array" aca="1" ref="I150" ca="1">IF(ROW()&gt;7, (E150/INDIRECT("E"&amp;ROW()-7)-1)*100, "")</f>
        <v>0.97087102440325257</v>
      </c>
      <c r="J150" s="4" cm="1">
        <f t="array" aca="1" ref="J150" ca="1">IF(ROW()&gt;7, (F150/INDIRECT("F"&amp;ROW()-7)-1)*100, "")</f>
        <v>0.9708724509332356</v>
      </c>
      <c r="K150">
        <f t="shared" ca="1" si="4"/>
        <v>8130972</v>
      </c>
      <c r="L150" t="str">
        <f t="shared" ca="1" si="5"/>
        <v>Facebook</v>
      </c>
    </row>
    <row r="151" spans="2:12" x14ac:dyDescent="0.35">
      <c r="B151" s="3">
        <v>43614</v>
      </c>
      <c r="C151" s="4">
        <v>7427330</v>
      </c>
      <c r="D151" s="4">
        <v>5570497</v>
      </c>
      <c r="E151" s="4">
        <v>2269462</v>
      </c>
      <c r="F151" s="4">
        <v>5364183</v>
      </c>
      <c r="G151" s="4" cm="1">
        <f t="array" aca="1" ref="G151" ca="1">IF(ROW()&gt;7, (C151/INDIRECT("C"&amp;ROW()-7)-1)*100, "")</f>
        <v>-5.9405877901186681</v>
      </c>
      <c r="H151" s="4" cm="1">
        <f t="array" aca="1" ref="H151" ca="1">IF(ROW()&gt;7, (D151/INDIRECT("D"&amp;ROW()-7)-1)*100, "")</f>
        <v>-5.9405962327588657</v>
      </c>
      <c r="I151" s="4" cm="1">
        <f t="array" aca="1" ref="I151" ca="1">IF(ROW()&gt;7, (E151/INDIRECT("E"&amp;ROW()-7)-1)*100, "")</f>
        <v>-5.9405768245637036</v>
      </c>
      <c r="J151" s="4" cm="1">
        <f t="array" aca="1" ref="J151" ca="1">IF(ROW()&gt;7, (F151/INDIRECT("F"&amp;ROW()-7)-1)*100, "")</f>
        <v>-5.9405857260765522</v>
      </c>
      <c r="K151">
        <f t="shared" ca="1" si="4"/>
        <v>7427330</v>
      </c>
      <c r="L151" t="str">
        <f t="shared" ca="1" si="5"/>
        <v>Facebook</v>
      </c>
    </row>
    <row r="152" spans="2:12" x14ac:dyDescent="0.35">
      <c r="B152" s="3">
        <v>43615</v>
      </c>
      <c r="C152" s="4">
        <v>7740060</v>
      </c>
      <c r="D152" s="4">
        <v>5805045</v>
      </c>
      <c r="E152" s="4">
        <v>2365018</v>
      </c>
      <c r="F152" s="4">
        <v>5590043</v>
      </c>
      <c r="G152" s="4" cm="1">
        <f t="array" aca="1" ref="G152" ca="1">IF(ROW()&gt;7, (C152/INDIRECT("C"&amp;ROW()-7)-1)*100, "")</f>
        <v>2.0618577092037516</v>
      </c>
      <c r="H152" s="4" cm="1">
        <f t="array" aca="1" ref="H152" ca="1">IF(ROW()&gt;7, (D152/INDIRECT("D"&amp;ROW()-7)-1)*100, "")</f>
        <v>2.0618621952255056</v>
      </c>
      <c r="I152" s="4" cm="1">
        <f t="array" aca="1" ref="I152" ca="1">IF(ROW()&gt;7, (E152/INDIRECT("E"&amp;ROW()-7)-1)*100, "")</f>
        <v>2.0618494415770572</v>
      </c>
      <c r="J152" s="4" cm="1">
        <f t="array" aca="1" ref="J152" ca="1">IF(ROW()&gt;7, (F152/INDIRECT("F"&amp;ROW()-7)-1)*100, "")</f>
        <v>2.0618526585082231</v>
      </c>
      <c r="K152">
        <f t="shared" ca="1" si="4"/>
        <v>7740060</v>
      </c>
      <c r="L152" t="str">
        <f t="shared" ca="1" si="5"/>
        <v>Facebook</v>
      </c>
    </row>
    <row r="153" spans="2:12" x14ac:dyDescent="0.35">
      <c r="B153" s="3">
        <v>43616</v>
      </c>
      <c r="C153" s="4">
        <v>8052789</v>
      </c>
      <c r="D153" s="4">
        <v>6039592</v>
      </c>
      <c r="E153" s="4">
        <v>2460574</v>
      </c>
      <c r="F153" s="4">
        <v>5815903</v>
      </c>
      <c r="G153" s="4" cm="1">
        <f t="array" aca="1" ref="G153" ca="1">IF(ROW()&gt;7, (C153/INDIRECT("C"&amp;ROW()-7)-1)*100, "")</f>
        <v>0</v>
      </c>
      <c r="H153" s="4" cm="1">
        <f t="array" aca="1" ref="H153" ca="1">IF(ROW()&gt;7, (D153/INDIRECT("D"&amp;ROW()-7)-1)*100, "")</f>
        <v>0</v>
      </c>
      <c r="I153" s="4" cm="1">
        <f t="array" aca="1" ref="I153" ca="1">IF(ROW()&gt;7, (E153/INDIRECT("E"&amp;ROW()-7)-1)*100, "")</f>
        <v>0</v>
      </c>
      <c r="J153" s="4" cm="1">
        <f t="array" aca="1" ref="J153" ca="1">IF(ROW()&gt;7, (F153/INDIRECT("F"&amp;ROW()-7)-1)*100, "")</f>
        <v>0</v>
      </c>
      <c r="K153">
        <f t="shared" ca="1" si="4"/>
        <v>0</v>
      </c>
      <c r="L153">
        <f t="shared" ca="1" si="5"/>
        <v>0</v>
      </c>
    </row>
    <row r="154" spans="2:12" x14ac:dyDescent="0.35">
      <c r="B154" s="3">
        <v>43617</v>
      </c>
      <c r="C154" s="4">
        <v>16806722</v>
      </c>
      <c r="D154" s="4">
        <v>12605042</v>
      </c>
      <c r="E154" s="4">
        <v>5135387</v>
      </c>
      <c r="F154" s="4">
        <v>12138188</v>
      </c>
      <c r="G154" s="4" cm="1">
        <f t="array" aca="1" ref="G154" ca="1">IF(ROW()&gt;7, (C154/INDIRECT("C"&amp;ROW()-7)-1)*100, "")</f>
        <v>-0.95238039111108508</v>
      </c>
      <c r="H154" s="4" cm="1">
        <f t="array" aca="1" ref="H154" ca="1">IF(ROW()&gt;7, (D154/INDIRECT("D"&amp;ROW()-7)-1)*100, "")</f>
        <v>-0.9523784079575992</v>
      </c>
      <c r="I154" s="4" cm="1">
        <f t="array" aca="1" ref="I154" ca="1">IF(ROW()&gt;7, (E154/INDIRECT("E"&amp;ROW()-7)-1)*100, "")</f>
        <v>-0.95238627934220998</v>
      </c>
      <c r="J154" s="4" cm="1">
        <f t="array" aca="1" ref="J154" ca="1">IF(ROW()&gt;7, (F154/INDIRECT("F"&amp;ROW()-7)-1)*100, "")</f>
        <v>-0.95237815466644449</v>
      </c>
      <c r="K154">
        <f t="shared" ca="1" si="4"/>
        <v>16806722</v>
      </c>
      <c r="L154" t="str">
        <f t="shared" ca="1" si="5"/>
        <v>Facebook</v>
      </c>
    </row>
    <row r="155" spans="2:12" x14ac:dyDescent="0.35">
      <c r="B155" s="3">
        <v>43618</v>
      </c>
      <c r="C155" s="4">
        <v>15675500</v>
      </c>
      <c r="D155" s="4">
        <v>11756625</v>
      </c>
      <c r="E155" s="4">
        <v>4789736</v>
      </c>
      <c r="F155" s="4">
        <v>11321195</v>
      </c>
      <c r="G155" s="4" cm="1">
        <f t="array" aca="1" ref="G155" ca="1">IF(ROW()&gt;7, (C155/INDIRECT("C"&amp;ROW()-7)-1)*100, "")</f>
        <v>-7.6190490222222902</v>
      </c>
      <c r="H155" s="4" cm="1">
        <f t="array" aca="1" ref="H155" ca="1">IF(ROW()&gt;7, (D155/INDIRECT("D"&amp;ROW()-7)-1)*100, "")</f>
        <v>-7.6190508369948002</v>
      </c>
      <c r="I155" s="4" cm="1">
        <f t="array" aca="1" ref="I155" ca="1">IF(ROW()&gt;7, (E155/INDIRECT("E"&amp;ROW()-7)-1)*100, "")</f>
        <v>-7.6190516601906459</v>
      </c>
      <c r="J155" s="4" cm="1">
        <f t="array" aca="1" ref="J155" ca="1">IF(ROW()&gt;7, (F155/INDIRECT("F"&amp;ROW()-7)-1)*100, "")</f>
        <v>-7.6190415573328618</v>
      </c>
      <c r="K155">
        <f t="shared" ca="1" si="4"/>
        <v>15675500</v>
      </c>
      <c r="L155" t="str">
        <f t="shared" ca="1" si="5"/>
        <v>Facebook</v>
      </c>
    </row>
    <row r="156" spans="2:12" x14ac:dyDescent="0.35">
      <c r="B156" s="3">
        <v>43619</v>
      </c>
      <c r="C156" s="4">
        <v>7740060</v>
      </c>
      <c r="D156" s="4">
        <v>5805045</v>
      </c>
      <c r="E156" s="4">
        <v>2365018</v>
      </c>
      <c r="F156" s="4">
        <v>5590043</v>
      </c>
      <c r="G156" s="4" cm="1">
        <f t="array" aca="1" ref="G156" ca="1">IF(ROW()&gt;7, (C156/INDIRECT("C"&amp;ROW()-7)-1)*100, "")</f>
        <v>2.0618577092037516</v>
      </c>
      <c r="H156" s="4" cm="1">
        <f t="array" aca="1" ref="H156" ca="1">IF(ROW()&gt;7, (D156/INDIRECT("D"&amp;ROW()-7)-1)*100, "")</f>
        <v>2.0618621952255056</v>
      </c>
      <c r="I156" s="4" cm="1">
        <f t="array" aca="1" ref="I156" ca="1">IF(ROW()&gt;7, (E156/INDIRECT("E"&amp;ROW()-7)-1)*100, "")</f>
        <v>2.0618494415770572</v>
      </c>
      <c r="J156" s="4" cm="1">
        <f t="array" aca="1" ref="J156" ca="1">IF(ROW()&gt;7, (F156/INDIRECT("F"&amp;ROW()-7)-1)*100, "")</f>
        <v>2.0618526585082231</v>
      </c>
      <c r="K156">
        <f t="shared" ca="1" si="4"/>
        <v>7740060</v>
      </c>
      <c r="L156" t="str">
        <f t="shared" ca="1" si="5"/>
        <v>Facebook</v>
      </c>
    </row>
    <row r="157" spans="2:12" x14ac:dyDescent="0.35">
      <c r="B157" s="3">
        <v>43620</v>
      </c>
      <c r="C157" s="4">
        <v>8052789</v>
      </c>
      <c r="D157" s="4">
        <v>6039592</v>
      </c>
      <c r="E157" s="4">
        <v>2460574</v>
      </c>
      <c r="F157" s="4">
        <v>5815903</v>
      </c>
      <c r="G157" s="4" cm="1">
        <f t="array" aca="1" ref="G157" ca="1">IF(ROW()&gt;7, (C157/INDIRECT("C"&amp;ROW()-7)-1)*100, "")</f>
        <v>-0.96154555691496668</v>
      </c>
      <c r="H157" s="4" cm="1">
        <f t="array" aca="1" ref="H157" ca="1">IF(ROW()&gt;7, (D157/INDIRECT("D"&amp;ROW()-7)-1)*100, "")</f>
        <v>-0.96154145736410124</v>
      </c>
      <c r="I157" s="4" cm="1">
        <f t="array" aca="1" ref="I157" ca="1">IF(ROW()&gt;7, (E157/INDIRECT("E"&amp;ROW()-7)-1)*100, "")</f>
        <v>-0.9615357523939827</v>
      </c>
      <c r="J157" s="4" cm="1">
        <f t="array" aca="1" ref="J157" ca="1">IF(ROW()&gt;7, (F157/INDIRECT("F"&amp;ROW()-7)-1)*100, "")</f>
        <v>-0.96153715162264897</v>
      </c>
      <c r="K157">
        <f t="shared" ca="1" si="4"/>
        <v>8052789</v>
      </c>
      <c r="L157" t="str">
        <f t="shared" ca="1" si="5"/>
        <v>Facebook</v>
      </c>
    </row>
    <row r="158" spans="2:12" x14ac:dyDescent="0.35">
      <c r="B158" s="3">
        <v>43621</v>
      </c>
      <c r="C158" s="4">
        <v>8052789</v>
      </c>
      <c r="D158" s="4">
        <v>6039592</v>
      </c>
      <c r="E158" s="4">
        <v>2460574</v>
      </c>
      <c r="F158" s="4">
        <v>5815903</v>
      </c>
      <c r="G158" s="4" cm="1">
        <f t="array" aca="1" ref="G158" ca="1">IF(ROW()&gt;7, (C158/INDIRECT("C"&amp;ROW()-7)-1)*100, "")</f>
        <v>8.4210476712358364</v>
      </c>
      <c r="H158" s="4" cm="1">
        <f t="array" aca="1" ref="H158" ca="1">IF(ROW()&gt;7, (D158/INDIRECT("D"&amp;ROW()-7)-1)*100, "")</f>
        <v>8.4210618908869392</v>
      </c>
      <c r="I158" s="4" cm="1">
        <f t="array" aca="1" ref="I158" ca="1">IF(ROW()&gt;7, (E158/INDIRECT("E"&amp;ROW()-7)-1)*100, "")</f>
        <v>8.4210266574192403</v>
      </c>
      <c r="J158" s="4" cm="1">
        <f t="array" aca="1" ref="J158" ca="1">IF(ROW()&gt;7, (F158/INDIRECT("F"&amp;ROW()-7)-1)*100, "")</f>
        <v>8.4210400726447929</v>
      </c>
      <c r="K158">
        <f t="shared" ca="1" si="4"/>
        <v>8052789</v>
      </c>
      <c r="L158" t="str">
        <f t="shared" ca="1" si="5"/>
        <v>Facebook</v>
      </c>
    </row>
    <row r="159" spans="2:12" x14ac:dyDescent="0.35">
      <c r="B159" s="3">
        <v>43622</v>
      </c>
      <c r="C159" s="4">
        <v>8052789</v>
      </c>
      <c r="D159" s="4">
        <v>6039592</v>
      </c>
      <c r="E159" s="4">
        <v>2460574</v>
      </c>
      <c r="F159" s="4">
        <v>5815903</v>
      </c>
      <c r="G159" s="4" cm="1">
        <f t="array" aca="1" ref="G159" ca="1">IF(ROW()&gt;7, (C159/INDIRECT("C"&amp;ROW()-7)-1)*100, "")</f>
        <v>4.0403950356973972</v>
      </c>
      <c r="H159" s="4" cm="1">
        <f t="array" aca="1" ref="H159" ca="1">IF(ROW()&gt;7, (D159/INDIRECT("D"&amp;ROW()-7)-1)*100, "")</f>
        <v>4.0403993422962303</v>
      </c>
      <c r="I159" s="4" cm="1">
        <f t="array" aca="1" ref="I159" ca="1">IF(ROW()&gt;7, (E159/INDIRECT("E"&amp;ROW()-7)-1)*100, "")</f>
        <v>4.0403920815824668</v>
      </c>
      <c r="J159" s="4" cm="1">
        <f t="array" aca="1" ref="J159" ca="1">IF(ROW()&gt;7, (F159/INDIRECT("F"&amp;ROW()-7)-1)*100, "")</f>
        <v>4.0403982581171505</v>
      </c>
      <c r="K159">
        <f t="shared" ca="1" si="4"/>
        <v>8052789</v>
      </c>
      <c r="L159" t="str">
        <f t="shared" ca="1" si="5"/>
        <v>Facebook</v>
      </c>
    </row>
    <row r="160" spans="2:12" x14ac:dyDescent="0.35">
      <c r="B160" s="3">
        <v>43623</v>
      </c>
      <c r="C160" s="4">
        <v>7583695</v>
      </c>
      <c r="D160" s="4">
        <v>5687771</v>
      </c>
      <c r="E160" s="4">
        <v>2317240</v>
      </c>
      <c r="F160" s="4">
        <v>5477113</v>
      </c>
      <c r="G160" s="4" cm="1">
        <f t="array" aca="1" ref="G160" ca="1">IF(ROW()&gt;7, (C160/INDIRECT("C"&amp;ROW()-7)-1)*100, "")</f>
        <v>-5.8252364491358177</v>
      </c>
      <c r="H160" s="4" cm="1">
        <f t="array" aca="1" ref="H160" ca="1">IF(ROW()&gt;7, (D160/INDIRECT("D"&amp;ROW()-7)-1)*100, "")</f>
        <v>-5.825244486713677</v>
      </c>
      <c r="I160" s="4" cm="1">
        <f t="array" aca="1" ref="I160" ca="1">IF(ROW()&gt;7, (E160/INDIRECT("E"&amp;ROW()-7)-1)*100, "")</f>
        <v>-5.8252261464194932</v>
      </c>
      <c r="J160" s="4" cm="1">
        <f t="array" aca="1" ref="J160" ca="1">IF(ROW()&gt;7, (F160/INDIRECT("F"&amp;ROW()-7)-1)*100, "")</f>
        <v>-5.825234705599458</v>
      </c>
      <c r="K160">
        <f t="shared" ca="1" si="4"/>
        <v>7583695</v>
      </c>
      <c r="L160" t="str">
        <f t="shared" ca="1" si="5"/>
        <v>Facebook</v>
      </c>
    </row>
    <row r="161" spans="2:12" x14ac:dyDescent="0.35">
      <c r="B161" s="3">
        <v>43624</v>
      </c>
      <c r="C161" s="4">
        <v>15352294</v>
      </c>
      <c r="D161" s="4">
        <v>11514221</v>
      </c>
      <c r="E161" s="4">
        <v>4690978</v>
      </c>
      <c r="F161" s="4">
        <v>11087768</v>
      </c>
      <c r="G161" s="4" cm="1">
        <f t="array" aca="1" ref="G161" ca="1">IF(ROW()&gt;7, (C161/INDIRECT("C"&amp;ROW()-7)-1)*100, "")</f>
        <v>-8.6538469548077206</v>
      </c>
      <c r="H161" s="4" cm="1">
        <f t="array" aca="1" ref="H161" ca="1">IF(ROW()&gt;7, (D161/INDIRECT("D"&amp;ROW()-7)-1)*100, "")</f>
        <v>-8.6538466115384622</v>
      </c>
      <c r="I161" s="4" cm="1">
        <f t="array" aca="1" ref="I161" ca="1">IF(ROW()&gt;7, (E161/INDIRECT("E"&amp;ROW()-7)-1)*100, "")</f>
        <v>-8.6538560774484967</v>
      </c>
      <c r="J161" s="4" cm="1">
        <f t="array" aca="1" ref="J161" ca="1">IF(ROW()&gt;7, (F161/INDIRECT("F"&amp;ROW()-7)-1)*100, "")</f>
        <v>-8.6538452032543951</v>
      </c>
      <c r="K161">
        <f t="shared" ca="1" si="4"/>
        <v>15352294</v>
      </c>
      <c r="L161" t="str">
        <f t="shared" ca="1" si="5"/>
        <v>Facebook</v>
      </c>
    </row>
    <row r="162" spans="2:12" x14ac:dyDescent="0.35">
      <c r="B162" s="3">
        <v>43625</v>
      </c>
      <c r="C162" s="4">
        <v>16160310</v>
      </c>
      <c r="D162" s="4">
        <v>12120232</v>
      </c>
      <c r="E162" s="4">
        <v>4937872</v>
      </c>
      <c r="F162" s="4">
        <v>11671335</v>
      </c>
      <c r="G162" s="4" cm="1">
        <f t="array" aca="1" ref="G162" ca="1">IF(ROW()&gt;7, (C162/INDIRECT("C"&amp;ROW()-7)-1)*100, "")</f>
        <v>3.0927881088322451</v>
      </c>
      <c r="H162" s="4" cm="1">
        <f t="array" aca="1" ref="H162" ca="1">IF(ROW()&gt;7, (D162/INDIRECT("D"&amp;ROW()-7)-1)*100, "")</f>
        <v>3.0927838559110299</v>
      </c>
      <c r="I162" s="4" cm="1">
        <f t="array" aca="1" ref="I162" ca="1">IF(ROW()&gt;7, (E162/INDIRECT("E"&amp;ROW()-7)-1)*100, "")</f>
        <v>3.0927800613645529</v>
      </c>
      <c r="J162" s="4" cm="1">
        <f t="array" aca="1" ref="J162" ca="1">IF(ROW()&gt;7, (F162/INDIRECT("F"&amp;ROW()-7)-1)*100, "")</f>
        <v>3.0927830498458819</v>
      </c>
      <c r="K162">
        <f t="shared" ca="1" si="4"/>
        <v>16160310</v>
      </c>
      <c r="L162" t="str">
        <f t="shared" ca="1" si="5"/>
        <v>Facebook</v>
      </c>
    </row>
    <row r="163" spans="2:12" x14ac:dyDescent="0.35">
      <c r="B163" s="3">
        <v>43626</v>
      </c>
      <c r="C163" s="4">
        <v>7896424</v>
      </c>
      <c r="D163" s="4">
        <v>5922318</v>
      </c>
      <c r="E163" s="4">
        <v>2412796</v>
      </c>
      <c r="F163" s="4">
        <v>5702973</v>
      </c>
      <c r="G163" s="4" cm="1">
        <f t="array" aca="1" ref="G163" ca="1">IF(ROW()&gt;7, (C163/INDIRECT("C"&amp;ROW()-7)-1)*100, "")</f>
        <v>2.0201910579504601</v>
      </c>
      <c r="H163" s="4" cm="1">
        <f t="array" aca="1" ref="H163" ca="1">IF(ROW()&gt;7, (D163/INDIRECT("D"&amp;ROW()-7)-1)*100, "")</f>
        <v>2.0201910579504601</v>
      </c>
      <c r="I163" s="4" cm="1">
        <f t="array" aca="1" ref="I163" ca="1">IF(ROW()&gt;7, (E163/INDIRECT("E"&amp;ROW()-7)-1)*100, "")</f>
        <v>2.0201960407912223</v>
      </c>
      <c r="J163" s="4" cm="1">
        <f t="array" aca="1" ref="J163" ca="1">IF(ROW()&gt;7, (F163/INDIRECT("F"&amp;ROW()-7)-1)*100, "")</f>
        <v>2.0201991290585752</v>
      </c>
      <c r="K163">
        <f t="shared" ca="1" si="4"/>
        <v>7896424</v>
      </c>
      <c r="L163" t="str">
        <f t="shared" ca="1" si="5"/>
        <v>Facebook</v>
      </c>
    </row>
    <row r="164" spans="2:12" x14ac:dyDescent="0.35">
      <c r="B164" s="3">
        <v>43627</v>
      </c>
      <c r="C164" s="4">
        <v>8052789</v>
      </c>
      <c r="D164" s="4">
        <v>6039592</v>
      </c>
      <c r="E164" s="4">
        <v>2460574</v>
      </c>
      <c r="F164" s="4">
        <v>5815903</v>
      </c>
      <c r="G164" s="4" cm="1">
        <f t="array" aca="1" ref="G164" ca="1">IF(ROW()&gt;7, (C164/INDIRECT("C"&amp;ROW()-7)-1)*100, "")</f>
        <v>0</v>
      </c>
      <c r="H164" s="4" cm="1">
        <f t="array" aca="1" ref="H164" ca="1">IF(ROW()&gt;7, (D164/INDIRECT("D"&amp;ROW()-7)-1)*100, "")</f>
        <v>0</v>
      </c>
      <c r="I164" s="4" cm="1">
        <f t="array" aca="1" ref="I164" ca="1">IF(ROW()&gt;7, (E164/INDIRECT("E"&amp;ROW()-7)-1)*100, "")</f>
        <v>0</v>
      </c>
      <c r="J164" s="4" cm="1">
        <f t="array" aca="1" ref="J164" ca="1">IF(ROW()&gt;7, (F164/INDIRECT("F"&amp;ROW()-7)-1)*100, "")</f>
        <v>0</v>
      </c>
      <c r="K164">
        <f t="shared" ca="1" si="4"/>
        <v>0</v>
      </c>
      <c r="L164">
        <f t="shared" ca="1" si="5"/>
        <v>0</v>
      </c>
    </row>
    <row r="165" spans="2:12" x14ac:dyDescent="0.35">
      <c r="B165" s="3">
        <v>43628</v>
      </c>
      <c r="C165" s="4">
        <v>7896424</v>
      </c>
      <c r="D165" s="4">
        <v>5922318</v>
      </c>
      <c r="E165" s="4">
        <v>2412796</v>
      </c>
      <c r="F165" s="4">
        <v>5702973</v>
      </c>
      <c r="G165" s="4" cm="1">
        <f t="array" aca="1" ref="G165" ca="1">IF(ROW()&gt;7, (C165/INDIRECT("C"&amp;ROW()-7)-1)*100, "")</f>
        <v>-1.9417496223979036</v>
      </c>
      <c r="H165" s="4" cm="1">
        <f t="array" aca="1" ref="H165" ca="1">IF(ROW()&gt;7, (D165/INDIRECT("D"&amp;ROW()-7)-1)*100, "")</f>
        <v>-1.9417536813745029</v>
      </c>
      <c r="I165" s="4" cm="1">
        <f t="array" aca="1" ref="I165" ca="1">IF(ROW()&gt;7, (E165/INDIRECT("E"&amp;ROW()-7)-1)*100, "")</f>
        <v>-1.941742048806494</v>
      </c>
      <c r="J165" s="4" cm="1">
        <f t="array" aca="1" ref="J165" ca="1">IF(ROW()&gt;7, (F165/INDIRECT("F"&amp;ROW()-7)-1)*100, "")</f>
        <v>-1.9417449018664823</v>
      </c>
      <c r="K165">
        <f t="shared" ca="1" si="4"/>
        <v>7896424</v>
      </c>
      <c r="L165" t="str">
        <f t="shared" ca="1" si="5"/>
        <v>Facebook</v>
      </c>
    </row>
    <row r="166" spans="2:12" x14ac:dyDescent="0.35">
      <c r="B166" s="3">
        <v>43629</v>
      </c>
      <c r="C166" s="4">
        <v>7818242</v>
      </c>
      <c r="D166" s="4">
        <v>5863681</v>
      </c>
      <c r="E166" s="4">
        <v>2388907</v>
      </c>
      <c r="F166" s="4">
        <v>5646508</v>
      </c>
      <c r="G166" s="4" cm="1">
        <f t="array" aca="1" ref="G166" ca="1">IF(ROW()&gt;7, (C166/INDIRECT("C"&amp;ROW()-7)-1)*100, "")</f>
        <v>-2.9126182245679089</v>
      </c>
      <c r="H166" s="4" cm="1">
        <f t="array" aca="1" ref="H166" ca="1">IF(ROW()&gt;7, (D166/INDIRECT("D"&amp;ROW()-7)-1)*100, "")</f>
        <v>-2.9126305220617543</v>
      </c>
      <c r="I166" s="4" cm="1">
        <f t="array" aca="1" ref="I166" ca="1">IF(ROW()&gt;7, (E166/INDIRECT("E"&amp;ROW()-7)-1)*100, "")</f>
        <v>-2.9126130732097466</v>
      </c>
      <c r="J166" s="4" cm="1">
        <f t="array" aca="1" ref="J166" ca="1">IF(ROW()&gt;7, (F166/INDIRECT("F"&amp;ROW()-7)-1)*100, "")</f>
        <v>-2.912617352799729</v>
      </c>
      <c r="K166">
        <f t="shared" ca="1" si="4"/>
        <v>7818242</v>
      </c>
      <c r="L166" t="str">
        <f t="shared" ca="1" si="5"/>
        <v>Facebook</v>
      </c>
    </row>
    <row r="167" spans="2:12" x14ac:dyDescent="0.35">
      <c r="B167" s="3">
        <v>43630</v>
      </c>
      <c r="C167" s="4">
        <v>8052789</v>
      </c>
      <c r="D167" s="4">
        <v>6039592</v>
      </c>
      <c r="E167" s="4">
        <v>2460574</v>
      </c>
      <c r="F167" s="4">
        <v>5815903</v>
      </c>
      <c r="G167" s="4" cm="1">
        <f t="array" aca="1" ref="G167" ca="1">IF(ROW()&gt;7, (C167/INDIRECT("C"&amp;ROW()-7)-1)*100, "")</f>
        <v>6.1855599414269768</v>
      </c>
      <c r="H167" s="4" cm="1">
        <f t="array" aca="1" ref="H167" ca="1">IF(ROW()&gt;7, (D167/INDIRECT("D"&amp;ROW()-7)-1)*100, "")</f>
        <v>6.1855690040966804</v>
      </c>
      <c r="I167" s="4" cm="1">
        <f t="array" aca="1" ref="I167" ca="1">IF(ROW()&gt;7, (E167/INDIRECT("E"&amp;ROW()-7)-1)*100, "")</f>
        <v>6.1855483247311493</v>
      </c>
      <c r="J167" s="4" cm="1">
        <f t="array" aca="1" ref="J167" ca="1">IF(ROW()&gt;7, (F167/INDIRECT("F"&amp;ROW()-7)-1)*100, "")</f>
        <v>6.1855579755246914</v>
      </c>
      <c r="K167">
        <f t="shared" ca="1" si="4"/>
        <v>8052789</v>
      </c>
      <c r="L167" t="str">
        <f t="shared" ca="1" si="5"/>
        <v>Facebook</v>
      </c>
    </row>
    <row r="168" spans="2:12" x14ac:dyDescent="0.35">
      <c r="B168" s="3">
        <v>43631</v>
      </c>
      <c r="C168" s="4">
        <v>15998707</v>
      </c>
      <c r="D168" s="4">
        <v>11999030</v>
      </c>
      <c r="E168" s="4">
        <v>4888493</v>
      </c>
      <c r="F168" s="4">
        <v>11554621</v>
      </c>
      <c r="G168" s="4" cm="1">
        <f t="array" aca="1" ref="G168" ca="1">IF(ROW()&gt;7, (C168/INDIRECT("C"&amp;ROW()-7)-1)*100, "")</f>
        <v>4.2105303611303935</v>
      </c>
      <c r="H168" s="4" cm="1">
        <f t="array" aca="1" ref="H168" ca="1">IF(ROW()&gt;7, (D168/INDIRECT("D"&amp;ROW()-7)-1)*100, "")</f>
        <v>4.2105236646057032</v>
      </c>
      <c r="I168" s="4" cm="1">
        <f t="array" aca="1" ref="I168" ca="1">IF(ROW()&gt;7, (E168/INDIRECT("E"&amp;ROW()-7)-1)*100, "")</f>
        <v>4.210529232923288</v>
      </c>
      <c r="J168" s="4" cm="1">
        <f t="array" aca="1" ref="J168" ca="1">IF(ROW()&gt;7, (F168/INDIRECT("F"&amp;ROW()-7)-1)*100, "")</f>
        <v>4.2105228031466657</v>
      </c>
      <c r="K168">
        <f t="shared" ca="1" si="4"/>
        <v>15998707</v>
      </c>
      <c r="L168" t="str">
        <f t="shared" ca="1" si="5"/>
        <v>Facebook</v>
      </c>
    </row>
    <row r="169" spans="2:12" x14ac:dyDescent="0.35">
      <c r="B169" s="3">
        <v>43632</v>
      </c>
      <c r="C169" s="4">
        <v>16483516</v>
      </c>
      <c r="D169" s="4">
        <v>12362637</v>
      </c>
      <c r="E169" s="4">
        <v>5036630</v>
      </c>
      <c r="F169" s="4">
        <v>11904761</v>
      </c>
      <c r="G169" s="4" cm="1">
        <f t="array" aca="1" ref="G169" ca="1">IF(ROW()&gt;7, (C169/INDIRECT("C"&amp;ROW()-7)-1)*100, "")</f>
        <v>1.9999987623999793</v>
      </c>
      <c r="H169" s="4" cm="1">
        <f t="array" aca="1" ref="H169" ca="1">IF(ROW()&gt;7, (D169/INDIRECT("D"&amp;ROW()-7)-1)*100, "")</f>
        <v>2.0000029702401667</v>
      </c>
      <c r="I169" s="4" cm="1">
        <f t="array" aca="1" ref="I169" ca="1">IF(ROW()&gt;7, (E169/INDIRECT("E"&amp;ROW()-7)-1)*100, "")</f>
        <v>2.0000113409177178</v>
      </c>
      <c r="J169" s="4" cm="1">
        <f t="array" aca="1" ref="J169" ca="1">IF(ROW()&gt;7, (F169/INDIRECT("F"&amp;ROW()-7)-1)*100, "")</f>
        <v>1.9999940023998963</v>
      </c>
      <c r="K169">
        <f t="shared" ca="1" si="4"/>
        <v>16483516</v>
      </c>
      <c r="L169" t="str">
        <f t="shared" ca="1" si="5"/>
        <v>Facebook</v>
      </c>
    </row>
    <row r="170" spans="2:12" x14ac:dyDescent="0.35">
      <c r="B170" s="3">
        <v>43633</v>
      </c>
      <c r="C170" s="4">
        <v>8130972</v>
      </c>
      <c r="D170" s="4">
        <v>6098229</v>
      </c>
      <c r="E170" s="4">
        <v>2484463</v>
      </c>
      <c r="F170" s="4">
        <v>5872368</v>
      </c>
      <c r="G170" s="4" cm="1">
        <f t="array" aca="1" ref="G170" ca="1">IF(ROW()&gt;7, (C170/INDIRECT("C"&amp;ROW()-7)-1)*100, "")</f>
        <v>2.9703065590196198</v>
      </c>
      <c r="H170" s="4" cm="1">
        <f t="array" aca="1" ref="H170" ca="1">IF(ROW()&gt;7, (D170/INDIRECT("D"&amp;ROW()-7)-1)*100, "")</f>
        <v>2.9703065590196198</v>
      </c>
      <c r="I170" s="4" cm="1">
        <f t="array" aca="1" ref="I170" ca="1">IF(ROW()&gt;7, (E170/INDIRECT("E"&amp;ROW()-7)-1)*100, "")</f>
        <v>2.9702884122818407</v>
      </c>
      <c r="J170" s="4" cm="1">
        <f t="array" aca="1" ref="J170" ca="1">IF(ROW()&gt;7, (F170/INDIRECT("F"&amp;ROW()-7)-1)*100, "")</f>
        <v>2.9702928630382708</v>
      </c>
      <c r="K170">
        <f t="shared" ca="1" si="4"/>
        <v>8130972</v>
      </c>
      <c r="L170" t="str">
        <f t="shared" ca="1" si="5"/>
        <v>Facebook</v>
      </c>
    </row>
    <row r="171" spans="2:12" x14ac:dyDescent="0.35">
      <c r="B171" s="3">
        <v>43634</v>
      </c>
      <c r="C171" s="4">
        <v>7583695</v>
      </c>
      <c r="D171" s="4">
        <v>5687771</v>
      </c>
      <c r="E171" s="4">
        <v>2317240</v>
      </c>
      <c r="F171" s="4">
        <v>5477113</v>
      </c>
      <c r="G171" s="4" cm="1">
        <f t="array" aca="1" ref="G171" ca="1">IF(ROW()&gt;7, (C171/INDIRECT("C"&amp;ROW()-7)-1)*100, "")</f>
        <v>-5.8252364491358177</v>
      </c>
      <c r="H171" s="4" cm="1">
        <f t="array" aca="1" ref="H171" ca="1">IF(ROW()&gt;7, (D171/INDIRECT("D"&amp;ROW()-7)-1)*100, "")</f>
        <v>-5.825244486713677</v>
      </c>
      <c r="I171" s="4" cm="1">
        <f t="array" aca="1" ref="I171" ca="1">IF(ROW()&gt;7, (E171/INDIRECT("E"&amp;ROW()-7)-1)*100, "")</f>
        <v>-5.8252261464194932</v>
      </c>
      <c r="J171" s="4" cm="1">
        <f t="array" aca="1" ref="J171" ca="1">IF(ROW()&gt;7, (F171/INDIRECT("F"&amp;ROW()-7)-1)*100, "")</f>
        <v>-5.825234705599458</v>
      </c>
      <c r="K171">
        <f t="shared" ca="1" si="4"/>
        <v>7583695</v>
      </c>
      <c r="L171" t="str">
        <f t="shared" ca="1" si="5"/>
        <v>Facebook</v>
      </c>
    </row>
    <row r="172" spans="2:12" x14ac:dyDescent="0.35">
      <c r="B172" s="3">
        <v>43635</v>
      </c>
      <c r="C172" s="4">
        <v>7974607</v>
      </c>
      <c r="D172" s="4">
        <v>5980955</v>
      </c>
      <c r="E172" s="4">
        <v>2436685</v>
      </c>
      <c r="F172" s="4">
        <v>5759438</v>
      </c>
      <c r="G172" s="4" cm="1">
        <f t="array" aca="1" ref="G172" ca="1">IF(ROW()&gt;7, (C172/INDIRECT("C"&amp;ROW()-7)-1)*100, "")</f>
        <v>0.99010640765997415</v>
      </c>
      <c r="H172" s="4" cm="1">
        <f t="array" aca="1" ref="H172" ca="1">IF(ROW()&gt;7, (D172/INDIRECT("D"&amp;ROW()-7)-1)*100, "")</f>
        <v>0.99010218633988067</v>
      </c>
      <c r="I172" s="4" cm="1">
        <f t="array" aca="1" ref="I172" ca="1">IF(ROW()&gt;7, (E172/INDIRECT("E"&amp;ROW()-7)-1)*100, "")</f>
        <v>0.99009613742728764</v>
      </c>
      <c r="J172" s="4" cm="1">
        <f t="array" aca="1" ref="J172" ca="1">IF(ROW()&gt;7, (F172/INDIRECT("F"&amp;ROW()-7)-1)*100, "")</f>
        <v>0.99009762101276433</v>
      </c>
      <c r="K172">
        <f t="shared" ca="1" si="4"/>
        <v>7974607</v>
      </c>
      <c r="L172" t="str">
        <f t="shared" ca="1" si="5"/>
        <v>Facebook</v>
      </c>
    </row>
    <row r="173" spans="2:12" x14ac:dyDescent="0.35">
      <c r="B173" s="3">
        <v>43636</v>
      </c>
      <c r="C173" s="4">
        <v>3674574</v>
      </c>
      <c r="D173" s="4">
        <v>2755930</v>
      </c>
      <c r="E173" s="4">
        <v>1122786</v>
      </c>
      <c r="F173" s="4">
        <v>2653859</v>
      </c>
      <c r="G173" s="4" cm="1">
        <f t="array" aca="1" ref="G173" ca="1">IF(ROW()&gt;7, (C173/INDIRECT("C"&amp;ROW()-7)-1)*100, "")</f>
        <v>-52.999996674444205</v>
      </c>
      <c r="H173" s="4" cm="1">
        <f t="array" aca="1" ref="H173" ca="1">IF(ROW()&gt;7, (D173/INDIRECT("D"&amp;ROW()-7)-1)*100, "")</f>
        <v>-53.000001193789359</v>
      </c>
      <c r="I173" s="4" cm="1">
        <f t="array" aca="1" ref="I173" ca="1">IF(ROW()&gt;7, (E173/INDIRECT("E"&amp;ROW()-7)-1)*100, "")</f>
        <v>-53.000012139442852</v>
      </c>
      <c r="J173" s="4" cm="1">
        <f t="array" aca="1" ref="J173" ca="1">IF(ROW()&gt;7, (F173/INDIRECT("F"&amp;ROW()-7)-1)*100, "")</f>
        <v>-52.999995749585402</v>
      </c>
      <c r="K173">
        <f t="shared" ca="1" si="4"/>
        <v>3674574</v>
      </c>
      <c r="L173" t="str">
        <f t="shared" ca="1" si="5"/>
        <v>Facebook</v>
      </c>
    </row>
    <row r="174" spans="2:12" x14ac:dyDescent="0.35">
      <c r="B174" s="3">
        <v>43637</v>
      </c>
      <c r="C174" s="4">
        <v>7583695</v>
      </c>
      <c r="D174" s="4">
        <v>5687771</v>
      </c>
      <c r="E174" s="4">
        <v>2317240</v>
      </c>
      <c r="F174" s="4">
        <v>5477113</v>
      </c>
      <c r="G174" s="4" cm="1">
        <f t="array" aca="1" ref="G174" ca="1">IF(ROW()&gt;7, (C174/INDIRECT("C"&amp;ROW()-7)-1)*100, "")</f>
        <v>-5.8252364491358177</v>
      </c>
      <c r="H174" s="4" cm="1">
        <f t="array" aca="1" ref="H174" ca="1">IF(ROW()&gt;7, (D174/INDIRECT("D"&amp;ROW()-7)-1)*100, "")</f>
        <v>-5.825244486713677</v>
      </c>
      <c r="I174" s="4" cm="1">
        <f t="array" aca="1" ref="I174" ca="1">IF(ROW()&gt;7, (E174/INDIRECT("E"&amp;ROW()-7)-1)*100, "")</f>
        <v>-5.8252261464194932</v>
      </c>
      <c r="J174" s="4" cm="1">
        <f t="array" aca="1" ref="J174" ca="1">IF(ROW()&gt;7, (F174/INDIRECT("F"&amp;ROW()-7)-1)*100, "")</f>
        <v>-5.825234705599458</v>
      </c>
      <c r="K174">
        <f t="shared" ca="1" si="4"/>
        <v>7583695</v>
      </c>
      <c r="L174" t="str">
        <f t="shared" ca="1" si="5"/>
        <v>Facebook</v>
      </c>
    </row>
    <row r="175" spans="2:12" x14ac:dyDescent="0.35">
      <c r="B175" s="3">
        <v>43638</v>
      </c>
      <c r="C175" s="4">
        <v>16160310</v>
      </c>
      <c r="D175" s="4">
        <v>12120232</v>
      </c>
      <c r="E175" s="4">
        <v>4937872</v>
      </c>
      <c r="F175" s="4">
        <v>11671335</v>
      </c>
      <c r="G175" s="4" cm="1">
        <f t="array" aca="1" ref="G175" ca="1">IF(ROW()&gt;7, (C175/INDIRECT("C"&amp;ROW()-7)-1)*100, "")</f>
        <v>1.0101003787368557</v>
      </c>
      <c r="H175" s="4" cm="1">
        <f t="array" aca="1" ref="H175" ca="1">IF(ROW()&gt;7, (D175/INDIRECT("D"&amp;ROW()-7)-1)*100, "")</f>
        <v>1.010098316280561</v>
      </c>
      <c r="I175" s="4" cm="1">
        <f t="array" aca="1" ref="I175" ca="1">IF(ROW()&gt;7, (E175/INDIRECT("E"&amp;ROW()-7)-1)*100, "")</f>
        <v>1.0101067956934884</v>
      </c>
      <c r="J175" s="4" cm="1">
        <f t="array" aca="1" ref="J175" ca="1">IF(ROW()&gt;7, (F175/INDIRECT("F"&amp;ROW()-7)-1)*100, "")</f>
        <v>1.0101066923787538</v>
      </c>
      <c r="K175">
        <f t="shared" ca="1" si="4"/>
        <v>16160310</v>
      </c>
      <c r="L175" t="str">
        <f t="shared" ca="1" si="5"/>
        <v>Facebook</v>
      </c>
    </row>
    <row r="176" spans="2:12" x14ac:dyDescent="0.35">
      <c r="B176" s="3">
        <v>43639</v>
      </c>
      <c r="C176" s="4">
        <v>15675500</v>
      </c>
      <c r="D176" s="4">
        <v>11756625</v>
      </c>
      <c r="E176" s="4">
        <v>4789736</v>
      </c>
      <c r="F176" s="4">
        <v>11321195</v>
      </c>
      <c r="G176" s="4" cm="1">
        <f t="array" aca="1" ref="G176" ca="1">IF(ROW()&gt;7, (C176/INDIRECT("C"&amp;ROW()-7)-1)*100, "")</f>
        <v>-4.9019638771242713</v>
      </c>
      <c r="H176" s="4" cm="1">
        <f t="array" aca="1" ref="H176" ca="1">IF(ROW()&gt;7, (D176/INDIRECT("D"&amp;ROW()-7)-1)*100, "")</f>
        <v>-4.9019638771242713</v>
      </c>
      <c r="I176" s="4" cm="1">
        <f t="array" aca="1" ref="I176" ca="1">IF(ROW()&gt;7, (E176/INDIRECT("E"&amp;ROW()-7)-1)*100, "")</f>
        <v>-4.9019681811052207</v>
      </c>
      <c r="J176" s="4" cm="1">
        <f t="array" aca="1" ref="J176" ca="1">IF(ROW()&gt;7, (F176/INDIRECT("F"&amp;ROW()-7)-1)*100, "")</f>
        <v>-4.9019547725485673</v>
      </c>
      <c r="K176">
        <f t="shared" ca="1" si="4"/>
        <v>15675500</v>
      </c>
      <c r="L176" t="str">
        <f t="shared" ca="1" si="5"/>
        <v>Facebook</v>
      </c>
    </row>
    <row r="177" spans="2:12" x14ac:dyDescent="0.35">
      <c r="B177" s="3">
        <v>43640</v>
      </c>
      <c r="C177" s="4">
        <v>7661877</v>
      </c>
      <c r="D177" s="4">
        <v>5746408</v>
      </c>
      <c r="E177" s="4">
        <v>2341129</v>
      </c>
      <c r="F177" s="4">
        <v>5533578</v>
      </c>
      <c r="G177" s="4" cm="1">
        <f t="array" aca="1" ref="G177" ca="1">IF(ROW()&gt;7, (C177/INDIRECT("C"&amp;ROW()-7)-1)*100, "")</f>
        <v>-5.7692364455319778</v>
      </c>
      <c r="H177" s="4" cm="1">
        <f t="array" aca="1" ref="H177" ca="1">IF(ROW()&gt;7, (D177/INDIRECT("D"&amp;ROW()-7)-1)*100, "")</f>
        <v>-5.7692323459811012</v>
      </c>
      <c r="I177" s="4" cm="1">
        <f t="array" aca="1" ref="I177" ca="1">IF(ROW()&gt;7, (E177/INDIRECT("E"&amp;ROW()-7)-1)*100, "")</f>
        <v>-5.769214514363874</v>
      </c>
      <c r="J177" s="4" cm="1">
        <f t="array" aca="1" ref="J177" ca="1">IF(ROW()&gt;7, (F177/INDIRECT("F"&amp;ROW()-7)-1)*100, "")</f>
        <v>-5.7692229097359053</v>
      </c>
      <c r="K177">
        <f t="shared" ca="1" si="4"/>
        <v>7661877</v>
      </c>
      <c r="L177" t="str">
        <f t="shared" ca="1" si="5"/>
        <v>Facebook</v>
      </c>
    </row>
    <row r="178" spans="2:12" x14ac:dyDescent="0.35">
      <c r="B178" s="3">
        <v>43641</v>
      </c>
      <c r="C178" s="4">
        <v>8130972</v>
      </c>
      <c r="D178" s="4">
        <v>6098229</v>
      </c>
      <c r="E178" s="4">
        <v>2484463</v>
      </c>
      <c r="F178" s="4">
        <v>5872368</v>
      </c>
      <c r="G178" s="4" cm="1">
        <f t="array" aca="1" ref="G178" ca="1">IF(ROW()&gt;7, (C178/INDIRECT("C"&amp;ROW()-7)-1)*100, "")</f>
        <v>7.2164953891209915</v>
      </c>
      <c r="H178" s="4" cm="1">
        <f t="array" aca="1" ref="H178" ca="1">IF(ROW()&gt;7, (D178/INDIRECT("D"&amp;ROW()-7)-1)*100, "")</f>
        <v>7.2165001017094443</v>
      </c>
      <c r="I178" s="4" cm="1">
        <f t="array" aca="1" ref="I178" ca="1">IF(ROW()&gt;7, (E178/INDIRECT("E"&amp;ROW()-7)-1)*100, "")</f>
        <v>7.2164730455196668</v>
      </c>
      <c r="J178" s="4" cm="1">
        <f t="array" aca="1" ref="J178" ca="1">IF(ROW()&gt;7, (F178/INDIRECT("F"&amp;ROW()-7)-1)*100, "")</f>
        <v>7.2164843047788141</v>
      </c>
      <c r="K178">
        <f t="shared" ca="1" si="4"/>
        <v>8130972</v>
      </c>
      <c r="L178" t="str">
        <f t="shared" ca="1" si="5"/>
        <v>Facebook</v>
      </c>
    </row>
    <row r="179" spans="2:12" x14ac:dyDescent="0.35">
      <c r="B179" s="3">
        <v>43642</v>
      </c>
      <c r="C179" s="4">
        <v>8052789</v>
      </c>
      <c r="D179" s="4">
        <v>6039592</v>
      </c>
      <c r="E179" s="4">
        <v>2460574</v>
      </c>
      <c r="F179" s="4">
        <v>5815903</v>
      </c>
      <c r="G179" s="4" cm="1">
        <f t="array" aca="1" ref="G179" ca="1">IF(ROW()&gt;7, (C179/INDIRECT("C"&amp;ROW()-7)-1)*100, "")</f>
        <v>0.9803868704752583</v>
      </c>
      <c r="H179" s="4" cm="1">
        <f t="array" aca="1" ref="H179" ca="1">IF(ROW()&gt;7, (D179/INDIRECT("D"&amp;ROW()-7)-1)*100, "")</f>
        <v>0.98039527132371962</v>
      </c>
      <c r="I179" s="4" cm="1">
        <f t="array" aca="1" ref="I179" ca="1">IF(ROW()&gt;7, (E179/INDIRECT("E"&amp;ROW()-7)-1)*100, "")</f>
        <v>0.98038934043587211</v>
      </c>
      <c r="J179" s="4" cm="1">
        <f t="array" aca="1" ref="J179" ca="1">IF(ROW()&gt;7, (F179/INDIRECT("F"&amp;ROW()-7)-1)*100, "")</f>
        <v>0.9803907950741042</v>
      </c>
      <c r="K179">
        <f t="shared" ca="1" si="4"/>
        <v>8052789</v>
      </c>
      <c r="L179" t="str">
        <f t="shared" ca="1" si="5"/>
        <v>Facebook</v>
      </c>
    </row>
    <row r="180" spans="2:12" x14ac:dyDescent="0.35">
      <c r="B180" s="3">
        <v>43643</v>
      </c>
      <c r="C180" s="4">
        <v>8052789</v>
      </c>
      <c r="D180" s="4">
        <v>6039592</v>
      </c>
      <c r="E180" s="4">
        <v>2460574</v>
      </c>
      <c r="F180" s="4">
        <v>5815903</v>
      </c>
      <c r="G180" s="4" cm="1">
        <f t="array" aca="1" ref="G180" ca="1">IF(ROW()&gt;7, (C180/INDIRECT("C"&amp;ROW()-7)-1)*100, "")</f>
        <v>119.14891358835065</v>
      </c>
      <c r="H180" s="4" cm="1">
        <f t="array" aca="1" ref="H180" ca="1">IF(ROW()&gt;7, (D180/INDIRECT("D"&amp;ROW()-7)-1)*100, "")</f>
        <v>119.14896241921964</v>
      </c>
      <c r="I180" s="4" cm="1">
        <f t="array" aca="1" ref="I180" ca="1">IF(ROW()&gt;7, (E180/INDIRECT("E"&amp;ROW()-7)-1)*100, "")</f>
        <v>119.14897406985835</v>
      </c>
      <c r="J180" s="4" cm="1">
        <f t="array" aca="1" ref="J180" ca="1">IF(ROW()&gt;7, (F180/INDIRECT("F"&amp;ROW()-7)-1)*100, "")</f>
        <v>119.14890730818782</v>
      </c>
      <c r="K180">
        <f t="shared" ca="1" si="4"/>
        <v>8052789</v>
      </c>
      <c r="L180" t="str">
        <f t="shared" ca="1" si="5"/>
        <v>Facebook</v>
      </c>
    </row>
    <row r="181" spans="2:12" x14ac:dyDescent="0.35">
      <c r="B181" s="3">
        <v>43644</v>
      </c>
      <c r="C181" s="4">
        <v>7661877</v>
      </c>
      <c r="D181" s="4">
        <v>5746408</v>
      </c>
      <c r="E181" s="4">
        <v>2341129</v>
      </c>
      <c r="F181" s="4">
        <v>5533578</v>
      </c>
      <c r="G181" s="4" cm="1">
        <f t="array" aca="1" ref="G181" ca="1">IF(ROW()&gt;7, (C181/INDIRECT("C"&amp;ROW()-7)-1)*100, "")</f>
        <v>1.0309222615097369</v>
      </c>
      <c r="H181" s="4" cm="1">
        <f t="array" aca="1" ref="H181" ca="1">IF(ROW()&gt;7, (D181/INDIRECT("D"&amp;ROW()-7)-1)*100, "")</f>
        <v>1.0309310976127639</v>
      </c>
      <c r="I181" s="4" cm="1">
        <f t="array" aca="1" ref="I181" ca="1">IF(ROW()&gt;7, (E181/INDIRECT("E"&amp;ROW()-7)-1)*100, "")</f>
        <v>1.0309247207885175</v>
      </c>
      <c r="J181" s="4" cm="1">
        <f t="array" aca="1" ref="J181" ca="1">IF(ROW()&gt;7, (F181/INDIRECT("F"&amp;ROW()-7)-1)*100, "")</f>
        <v>1.0309263292541226</v>
      </c>
      <c r="K181">
        <f t="shared" ca="1" si="4"/>
        <v>7661877</v>
      </c>
      <c r="L181" t="str">
        <f t="shared" ca="1" si="5"/>
        <v>Facebook</v>
      </c>
    </row>
    <row r="182" spans="2:12" x14ac:dyDescent="0.35">
      <c r="B182" s="3">
        <v>43645</v>
      </c>
      <c r="C182" s="4">
        <v>16806722</v>
      </c>
      <c r="D182" s="4">
        <v>12605042</v>
      </c>
      <c r="E182" s="4">
        <v>5135387</v>
      </c>
      <c r="F182" s="4">
        <v>12138188</v>
      </c>
      <c r="G182" s="4" cm="1">
        <f t="array" aca="1" ref="G182" ca="1">IF(ROW()&gt;7, (C182/INDIRECT("C"&amp;ROW()-7)-1)*100, "")</f>
        <v>3.9999975247999586</v>
      </c>
      <c r="H182" s="4" cm="1">
        <f t="array" aca="1" ref="H182" ca="1">IF(ROW()&gt;7, (D182/INDIRECT("D"&amp;ROW()-7)-1)*100, "")</f>
        <v>4.0000059404803556</v>
      </c>
      <c r="I182" s="4" cm="1">
        <f t="array" aca="1" ref="I182" ca="1">IF(ROW()&gt;7, (E182/INDIRECT("E"&amp;ROW()-7)-1)*100, "")</f>
        <v>4.0000024301966475</v>
      </c>
      <c r="J182" s="4" cm="1">
        <f t="array" aca="1" ref="J182" ca="1">IF(ROW()&gt;7, (F182/INDIRECT("F"&amp;ROW()-7)-1)*100, "")</f>
        <v>3.9999965727999465</v>
      </c>
      <c r="K182">
        <f t="shared" ca="1" si="4"/>
        <v>16806722</v>
      </c>
      <c r="L182" t="str">
        <f t="shared" ca="1" si="5"/>
        <v>Facebook</v>
      </c>
    </row>
    <row r="183" spans="2:12" x14ac:dyDescent="0.35">
      <c r="B183" s="3">
        <v>43646</v>
      </c>
      <c r="C183" s="4">
        <v>15837104</v>
      </c>
      <c r="D183" s="4">
        <v>11877828</v>
      </c>
      <c r="E183" s="4">
        <v>4839115</v>
      </c>
      <c r="F183" s="4">
        <v>11437908</v>
      </c>
      <c r="G183" s="4" cm="1">
        <f t="array" aca="1" ref="G183" ca="1">IF(ROW()&gt;7, (C183/INDIRECT("C"&amp;ROW()-7)-1)*100, "")</f>
        <v>1.030933622531971</v>
      </c>
      <c r="H183" s="4" cm="1">
        <f t="array" aca="1" ref="H183" ca="1">IF(ROW()&gt;7, (D183/INDIRECT("D"&amp;ROW()-7)-1)*100, "")</f>
        <v>1.030933622531971</v>
      </c>
      <c r="I183" s="4" cm="1">
        <f t="array" aca="1" ref="I183" ca="1">IF(ROW()&gt;7, (E183/INDIRECT("E"&amp;ROW()-7)-1)*100, "")</f>
        <v>1.0309336464473295</v>
      </c>
      <c r="J183" s="4" cm="1">
        <f t="array" aca="1" ref="J183" ca="1">IF(ROW()&gt;7, (F183/INDIRECT("F"&amp;ROW()-7)-1)*100, "")</f>
        <v>1.0309247389520326</v>
      </c>
      <c r="K183">
        <f t="shared" ca="1" si="4"/>
        <v>15837104</v>
      </c>
      <c r="L183" t="str">
        <f t="shared" ca="1" si="5"/>
        <v>Facebook</v>
      </c>
    </row>
    <row r="184" spans="2:12" x14ac:dyDescent="0.35">
      <c r="B184" s="3">
        <v>43647</v>
      </c>
      <c r="C184" s="4">
        <v>7740060</v>
      </c>
      <c r="D184" s="4">
        <v>5805045</v>
      </c>
      <c r="E184" s="4">
        <v>2365018</v>
      </c>
      <c r="F184" s="4">
        <v>5590043</v>
      </c>
      <c r="G184" s="4" cm="1">
        <f t="array" aca="1" ref="G184" ca="1">IF(ROW()&gt;7, (C184/INDIRECT("C"&amp;ROW()-7)-1)*100, "")</f>
        <v>1.0204157545207204</v>
      </c>
      <c r="H184" s="4" cm="1">
        <f t="array" aca="1" ref="H184" ca="1">IF(ROW()&gt;7, (D184/INDIRECT("D"&amp;ROW()-7)-1)*100, "")</f>
        <v>1.0204113595832398</v>
      </c>
      <c r="I184" s="4" cm="1">
        <f t="array" aca="1" ref="I184" ca="1">IF(ROW()&gt;7, (E184/INDIRECT("E"&amp;ROW()-7)-1)*100, "")</f>
        <v>1.0204051122343127</v>
      </c>
      <c r="J184" s="4" cm="1">
        <f t="array" aca="1" ref="J184" ca="1">IF(ROW()&gt;7, (F184/INDIRECT("F"&amp;ROW()-7)-1)*100, "")</f>
        <v>1.0204066880416196</v>
      </c>
      <c r="K184">
        <f t="shared" ca="1" si="4"/>
        <v>7740060</v>
      </c>
      <c r="L184" t="str">
        <f t="shared" ca="1" si="5"/>
        <v>Facebook</v>
      </c>
    </row>
    <row r="185" spans="2:12" x14ac:dyDescent="0.35">
      <c r="B185" s="3">
        <v>43648</v>
      </c>
      <c r="C185" s="4">
        <v>7896424</v>
      </c>
      <c r="D185" s="4">
        <v>5922318</v>
      </c>
      <c r="E185" s="4">
        <v>2412796</v>
      </c>
      <c r="F185" s="4">
        <v>5702973</v>
      </c>
      <c r="G185" s="4" cm="1">
        <f t="array" aca="1" ref="G185" ca="1">IF(ROW()&gt;7, (C185/INDIRECT("C"&amp;ROW()-7)-1)*100, "")</f>
        <v>-2.8846243720922926</v>
      </c>
      <c r="H185" s="4" cm="1">
        <f t="array" aca="1" ref="H185" ca="1">IF(ROW()&gt;7, (D185/INDIRECT("D"&amp;ROW()-7)-1)*100, "")</f>
        <v>-2.8846243720922926</v>
      </c>
      <c r="I185" s="4" cm="1">
        <f t="array" aca="1" ref="I185" ca="1">IF(ROW()&gt;7, (E185/INDIRECT("E"&amp;ROW()-7)-1)*100, "")</f>
        <v>-2.884607257181937</v>
      </c>
      <c r="J185" s="4" cm="1">
        <f t="array" aca="1" ref="J185" ca="1">IF(ROW()&gt;7, (F185/INDIRECT("F"&amp;ROW()-7)-1)*100, "")</f>
        <v>-2.8846114548679469</v>
      </c>
      <c r="K185">
        <f t="shared" ca="1" si="4"/>
        <v>7896424</v>
      </c>
      <c r="L185" t="str">
        <f t="shared" ca="1" si="5"/>
        <v>Facebook</v>
      </c>
    </row>
    <row r="186" spans="2:12" x14ac:dyDescent="0.35">
      <c r="B186" s="3">
        <v>43649</v>
      </c>
      <c r="C186" s="4">
        <v>7974607</v>
      </c>
      <c r="D186" s="4">
        <v>5980955</v>
      </c>
      <c r="E186" s="4">
        <v>2436685</v>
      </c>
      <c r="F186" s="4">
        <v>5759438</v>
      </c>
      <c r="G186" s="4" cm="1">
        <f t="array" aca="1" ref="G186" ca="1">IF(ROW()&gt;7, (C186/INDIRECT("C"&amp;ROW()-7)-1)*100, "")</f>
        <v>-0.97086860217000526</v>
      </c>
      <c r="H186" s="4" cm="1">
        <f t="array" aca="1" ref="H186" ca="1">IF(ROW()&gt;7, (D186/INDIRECT("D"&amp;ROW()-7)-1)*100, "")</f>
        <v>-0.97087684068725144</v>
      </c>
      <c r="I186" s="4" cm="1">
        <f t="array" aca="1" ref="I186" ca="1">IF(ROW()&gt;7, (E186/INDIRECT("E"&amp;ROW()-7)-1)*100, "")</f>
        <v>-0.97087102440325257</v>
      </c>
      <c r="J186" s="4" cm="1">
        <f t="array" aca="1" ref="J186" ca="1">IF(ROW()&gt;7, (F186/INDIRECT("F"&amp;ROW()-7)-1)*100, "")</f>
        <v>-0.9708724509332467</v>
      </c>
      <c r="K186">
        <f t="shared" ca="1" si="4"/>
        <v>7974607</v>
      </c>
      <c r="L186" t="str">
        <f t="shared" ca="1" si="5"/>
        <v>Facebook</v>
      </c>
    </row>
    <row r="187" spans="2:12" x14ac:dyDescent="0.35">
      <c r="B187" s="3">
        <v>43650</v>
      </c>
      <c r="C187" s="4">
        <v>8052789</v>
      </c>
      <c r="D187" s="4">
        <v>6039592</v>
      </c>
      <c r="E187" s="4">
        <v>2460574</v>
      </c>
      <c r="F187" s="4">
        <v>5815903</v>
      </c>
      <c r="G187" s="4" cm="1">
        <f t="array" aca="1" ref="G187" ca="1">IF(ROW()&gt;7, (C187/INDIRECT("C"&amp;ROW()-7)-1)*100, "")</f>
        <v>0</v>
      </c>
      <c r="H187" s="4" cm="1">
        <f t="array" aca="1" ref="H187" ca="1">IF(ROW()&gt;7, (D187/INDIRECT("D"&amp;ROW()-7)-1)*100, "")</f>
        <v>0</v>
      </c>
      <c r="I187" s="4" cm="1">
        <f t="array" aca="1" ref="I187" ca="1">IF(ROW()&gt;7, (E187/INDIRECT("E"&amp;ROW()-7)-1)*100, "")</f>
        <v>0</v>
      </c>
      <c r="J187" s="4" cm="1">
        <f t="array" aca="1" ref="J187" ca="1">IF(ROW()&gt;7, (F187/INDIRECT("F"&amp;ROW()-7)-1)*100, "")</f>
        <v>0</v>
      </c>
      <c r="K187">
        <f t="shared" ca="1" si="4"/>
        <v>0</v>
      </c>
      <c r="L187">
        <f t="shared" ca="1" si="5"/>
        <v>0</v>
      </c>
    </row>
    <row r="188" spans="2:12" x14ac:dyDescent="0.35">
      <c r="B188" s="3">
        <v>43651</v>
      </c>
      <c r="C188" s="4">
        <v>7427330</v>
      </c>
      <c r="D188" s="4">
        <v>5570497</v>
      </c>
      <c r="E188" s="4">
        <v>2269462</v>
      </c>
      <c r="F188" s="4">
        <v>5364183</v>
      </c>
      <c r="G188" s="4" cm="1">
        <f t="array" aca="1" ref="G188" ca="1">IF(ROW()&gt;7, (C188/INDIRECT("C"&amp;ROW()-7)-1)*100, "")</f>
        <v>-3.0612211602979222</v>
      </c>
      <c r="H188" s="4" cm="1">
        <f t="array" aca="1" ref="H188" ca="1">IF(ROW()&gt;7, (D188/INDIRECT("D"&amp;ROW()-7)-1)*100, "")</f>
        <v>-3.0612340787497194</v>
      </c>
      <c r="I188" s="4" cm="1">
        <f t="array" aca="1" ref="I188" ca="1">IF(ROW()&gt;7, (E188/INDIRECT("E"&amp;ROW()-7)-1)*100, "")</f>
        <v>-3.0612153367029271</v>
      </c>
      <c r="J188" s="4" cm="1">
        <f t="array" aca="1" ref="J188" ca="1">IF(ROW()&gt;7, (F188/INDIRECT("F"&amp;ROW()-7)-1)*100, "")</f>
        <v>-3.0612200641248699</v>
      </c>
      <c r="K188">
        <f t="shared" ca="1" si="4"/>
        <v>7427330</v>
      </c>
      <c r="L188" t="str">
        <f t="shared" ca="1" si="5"/>
        <v>Facebook</v>
      </c>
    </row>
    <row r="189" spans="2:12" x14ac:dyDescent="0.35">
      <c r="B189" s="3">
        <v>43652</v>
      </c>
      <c r="C189" s="4">
        <v>16160310</v>
      </c>
      <c r="D189" s="4">
        <v>12120232</v>
      </c>
      <c r="E189" s="4">
        <v>4937872</v>
      </c>
      <c r="F189" s="4">
        <v>11671335</v>
      </c>
      <c r="G189" s="4" cm="1">
        <f t="array" aca="1" ref="G189" ca="1">IF(ROW()&gt;7, (C189/INDIRECT("C"&amp;ROW()-7)-1)*100, "")</f>
        <v>-3.8461515576922123</v>
      </c>
      <c r="H189" s="4" cm="1">
        <f t="array" aca="1" ref="H189" ca="1">IF(ROW()&gt;7, (D189/INDIRECT("D"&amp;ROW()-7)-1)*100, "")</f>
        <v>-3.8461593384615411</v>
      </c>
      <c r="I189" s="4" cm="1">
        <f t="array" aca="1" ref="I189" ca="1">IF(ROW()&gt;7, (E189/INDIRECT("E"&amp;ROW()-7)-1)*100, "")</f>
        <v>-3.8461560930072025</v>
      </c>
      <c r="J189" s="4" cm="1">
        <f t="array" aca="1" ref="J189" ca="1">IF(ROW()&gt;7, (F189/INDIRECT("F"&amp;ROW()-7)-1)*100, "")</f>
        <v>-3.846150677514637</v>
      </c>
      <c r="K189">
        <f t="shared" ca="1" si="4"/>
        <v>16160310</v>
      </c>
      <c r="L189" t="str">
        <f t="shared" ca="1" si="5"/>
        <v>Facebook</v>
      </c>
    </row>
    <row r="190" spans="2:12" x14ac:dyDescent="0.35">
      <c r="B190" s="3">
        <v>43653</v>
      </c>
      <c r="C190" s="4">
        <v>15675500</v>
      </c>
      <c r="D190" s="4">
        <v>11756625</v>
      </c>
      <c r="E190" s="4">
        <v>4789736</v>
      </c>
      <c r="F190" s="4">
        <v>11321195</v>
      </c>
      <c r="G190" s="4" cm="1">
        <f t="array" aca="1" ref="G190" ca="1">IF(ROW()&gt;7, (C190/INDIRECT("C"&amp;ROW()-7)-1)*100, "")</f>
        <v>-1.0204138332361778</v>
      </c>
      <c r="H190" s="4" cm="1">
        <f t="array" aca="1" ref="H190" ca="1">IF(ROW()&gt;7, (D190/INDIRECT("D"&amp;ROW()-7)-1)*100, "")</f>
        <v>-1.0204138332361778</v>
      </c>
      <c r="I190" s="4" cm="1">
        <f t="array" aca="1" ref="I190" ca="1">IF(ROW()&gt;7, (E190/INDIRECT("E"&amp;ROW()-7)-1)*100, "")</f>
        <v>-1.020413856665936</v>
      </c>
      <c r="J190" s="4" cm="1">
        <f t="array" aca="1" ref="J190" ca="1">IF(ROW()&gt;7, (F190/INDIRECT("F"&amp;ROW()-7)-1)*100, "")</f>
        <v>-1.0204051300290229</v>
      </c>
      <c r="K190">
        <f t="shared" ca="1" si="4"/>
        <v>15675500</v>
      </c>
      <c r="L190" t="str">
        <f t="shared" ca="1" si="5"/>
        <v>Facebook</v>
      </c>
    </row>
    <row r="191" spans="2:12" x14ac:dyDescent="0.35">
      <c r="B191" s="3">
        <v>43654</v>
      </c>
      <c r="C191" s="4">
        <v>7661877</v>
      </c>
      <c r="D191" s="4">
        <v>5746408</v>
      </c>
      <c r="E191" s="4">
        <v>2341129</v>
      </c>
      <c r="F191" s="4">
        <v>5533578</v>
      </c>
      <c r="G191" s="4" cm="1">
        <f t="array" aca="1" ref="G191" ca="1">IF(ROW()&gt;7, (C191/INDIRECT("C"&amp;ROW()-7)-1)*100, "")</f>
        <v>-1.0101084487717182</v>
      </c>
      <c r="H191" s="4" cm="1">
        <f t="array" aca="1" ref="H191" ca="1">IF(ROW()&gt;7, (D191/INDIRECT("D"&amp;ROW()-7)-1)*100, "")</f>
        <v>-1.0101041421728851</v>
      </c>
      <c r="I191" s="4" cm="1">
        <f t="array" aca="1" ref="I191" ca="1">IF(ROW()&gt;7, (E191/INDIRECT("E"&amp;ROW()-7)-1)*100, "")</f>
        <v>-1.0100980203956111</v>
      </c>
      <c r="J191" s="4" cm="1">
        <f t="array" aca="1" ref="J191" ca="1">IF(ROW()&gt;7, (F191/INDIRECT("F"&amp;ROW()-7)-1)*100, "")</f>
        <v>-1.0100995645292876</v>
      </c>
      <c r="K191">
        <f t="shared" ca="1" si="4"/>
        <v>7661877</v>
      </c>
      <c r="L191" t="str">
        <f t="shared" ca="1" si="5"/>
        <v>Facebook</v>
      </c>
    </row>
    <row r="192" spans="2:12" x14ac:dyDescent="0.35">
      <c r="B192" s="3">
        <v>43655</v>
      </c>
      <c r="C192" s="4">
        <v>8209154</v>
      </c>
      <c r="D192" s="4">
        <v>6156866</v>
      </c>
      <c r="E192" s="4">
        <v>2508352</v>
      </c>
      <c r="F192" s="4">
        <v>5928833</v>
      </c>
      <c r="G192" s="4" cm="1">
        <f t="array" aca="1" ref="G192" ca="1">IF(ROW()&gt;7, (C192/INDIRECT("C"&amp;ROW()-7)-1)*100, "")</f>
        <v>3.9604003027193135</v>
      </c>
      <c r="H192" s="4" cm="1">
        <f t="array" aca="1" ref="H192" ca="1">IF(ROW()&gt;7, (D192/INDIRECT("D"&amp;ROW()-7)-1)*100, "")</f>
        <v>3.9604087453595005</v>
      </c>
      <c r="I192" s="4" cm="1">
        <f t="array" aca="1" ref="I192" ca="1">IF(ROW()&gt;7, (E192/INDIRECT("E"&amp;ROW()-7)-1)*100, "")</f>
        <v>3.9603845497091283</v>
      </c>
      <c r="J192" s="4" cm="1">
        <f t="array" aca="1" ref="J192" ca="1">IF(ROW()&gt;7, (F192/INDIRECT("F"&amp;ROW()-7)-1)*100, "")</f>
        <v>3.9603904840510351</v>
      </c>
      <c r="K192">
        <f t="shared" ca="1" si="4"/>
        <v>8209154</v>
      </c>
      <c r="L192" t="str">
        <f t="shared" ca="1" si="5"/>
        <v>Facebook</v>
      </c>
    </row>
    <row r="193" spans="2:12" x14ac:dyDescent="0.35">
      <c r="B193" s="3">
        <v>43656</v>
      </c>
      <c r="C193" s="4">
        <v>8209154</v>
      </c>
      <c r="D193" s="4">
        <v>6156866</v>
      </c>
      <c r="E193" s="4">
        <v>2508352</v>
      </c>
      <c r="F193" s="4">
        <v>5928833</v>
      </c>
      <c r="G193" s="4" cm="1">
        <f t="array" aca="1" ref="G193" ca="1">IF(ROW()&gt;7, (C193/INDIRECT("C"&amp;ROW()-7)-1)*100, "")</f>
        <v>2.9411731512286376</v>
      </c>
      <c r="H193" s="4" cm="1">
        <f t="array" aca="1" ref="H193" ca="1">IF(ROW()&gt;7, (D193/INDIRECT("D"&amp;ROW()-7)-1)*100, "")</f>
        <v>2.9411858139711811</v>
      </c>
      <c r="I193" s="4" cm="1">
        <f t="array" aca="1" ref="I193" ca="1">IF(ROW()&gt;7, (E193/INDIRECT("E"&amp;ROW()-7)-1)*100, "")</f>
        <v>2.9411680213076385</v>
      </c>
      <c r="J193" s="4" cm="1">
        <f t="array" aca="1" ref="J193" ca="1">IF(ROW()&gt;7, (F193/INDIRECT("F"&amp;ROW()-7)-1)*100, "")</f>
        <v>2.9411723852223126</v>
      </c>
      <c r="K193">
        <f t="shared" ca="1" si="4"/>
        <v>8209154</v>
      </c>
      <c r="L193" t="str">
        <f t="shared" ca="1" si="5"/>
        <v>Facebook</v>
      </c>
    </row>
    <row r="194" spans="2:12" x14ac:dyDescent="0.35">
      <c r="B194" s="3">
        <v>43657</v>
      </c>
      <c r="C194" s="4">
        <v>7740060</v>
      </c>
      <c r="D194" s="4">
        <v>5805045</v>
      </c>
      <c r="E194" s="4">
        <v>2365018</v>
      </c>
      <c r="F194" s="4">
        <v>5590043</v>
      </c>
      <c r="G194" s="4" cm="1">
        <f t="array" aca="1" ref="G194" ca="1">IF(ROW()&gt;7, (C194/INDIRECT("C"&amp;ROW()-7)-1)*100, "")</f>
        <v>-3.8834868267379141</v>
      </c>
      <c r="H194" s="4" cm="1">
        <f t="array" aca="1" ref="H194" ca="1">IF(ROW()&gt;7, (D194/INDIRECT("D"&amp;ROW()-7)-1)*100, "")</f>
        <v>-3.8834908053391737</v>
      </c>
      <c r="I194" s="4" cm="1">
        <f t="array" aca="1" ref="I194" ca="1">IF(ROW()&gt;7, (E194/INDIRECT("E"&amp;ROW()-7)-1)*100, "")</f>
        <v>-3.8834840976129992</v>
      </c>
      <c r="J194" s="4" cm="1">
        <f t="array" aca="1" ref="J194" ca="1">IF(ROW()&gt;7, (F194/INDIRECT("F"&amp;ROW()-7)-1)*100, "")</f>
        <v>-3.8834898037329757</v>
      </c>
      <c r="K194">
        <f t="shared" ca="1" si="4"/>
        <v>7740060</v>
      </c>
      <c r="L194" t="str">
        <f t="shared" ca="1" si="5"/>
        <v>Facebook</v>
      </c>
    </row>
    <row r="195" spans="2:12" x14ac:dyDescent="0.35">
      <c r="B195" s="3">
        <v>43658</v>
      </c>
      <c r="C195" s="4">
        <v>7505512</v>
      </c>
      <c r="D195" s="4">
        <v>5629134</v>
      </c>
      <c r="E195" s="4">
        <v>2293351</v>
      </c>
      <c r="F195" s="4">
        <v>5420648</v>
      </c>
      <c r="G195" s="4" cm="1">
        <f t="array" aca="1" ref="G195" ca="1">IF(ROW()&gt;7, (C195/INDIRECT("C"&amp;ROW()-7)-1)*100, "")</f>
        <v>1.0526259099838065</v>
      </c>
      <c r="H195" s="4" cm="1">
        <f t="array" aca="1" ref="H195" ca="1">IF(ROW()&gt;7, (D195/INDIRECT("D"&amp;ROW()-7)-1)*100, "")</f>
        <v>1.0526349803258173</v>
      </c>
      <c r="I195" s="4" cm="1">
        <f t="array" aca="1" ref="I195" ca="1">IF(ROW()&gt;7, (E195/INDIRECT("E"&amp;ROW()-7)-1)*100, "")</f>
        <v>1.0526283321774077</v>
      </c>
      <c r="J195" s="4" cm="1">
        <f t="array" aca="1" ref="J195" ca="1">IF(ROW()&gt;7, (F195/INDIRECT("F"&amp;ROW()-7)-1)*100, "")</f>
        <v>1.0526300090806018</v>
      </c>
      <c r="K195">
        <f t="shared" ca="1" si="4"/>
        <v>7505512</v>
      </c>
      <c r="L195" t="str">
        <f t="shared" ca="1" si="5"/>
        <v>Facebook</v>
      </c>
    </row>
    <row r="196" spans="2:12" x14ac:dyDescent="0.35">
      <c r="B196" s="3">
        <v>43659</v>
      </c>
      <c r="C196" s="4">
        <v>16160310</v>
      </c>
      <c r="D196" s="4">
        <v>12120232</v>
      </c>
      <c r="E196" s="4">
        <v>4937872</v>
      </c>
      <c r="F196" s="4">
        <v>11671335</v>
      </c>
      <c r="G196" s="4" cm="1">
        <f t="array" aca="1" ref="G196" ca="1">IF(ROW()&gt;7, (C196/INDIRECT("C"&amp;ROW()-7)-1)*100, "")</f>
        <v>0</v>
      </c>
      <c r="H196" s="4" cm="1">
        <f t="array" aca="1" ref="H196" ca="1">IF(ROW()&gt;7, (D196/INDIRECT("D"&amp;ROW()-7)-1)*100, "")</f>
        <v>0</v>
      </c>
      <c r="I196" s="4" cm="1">
        <f t="array" aca="1" ref="I196" ca="1">IF(ROW()&gt;7, (E196/INDIRECT("E"&amp;ROW()-7)-1)*100, "")</f>
        <v>0</v>
      </c>
      <c r="J196" s="4" cm="1">
        <f t="array" aca="1" ref="J196" ca="1">IF(ROW()&gt;7, (F196/INDIRECT("F"&amp;ROW()-7)-1)*100, "")</f>
        <v>0</v>
      </c>
      <c r="K196">
        <f t="shared" ca="1" si="4"/>
        <v>0</v>
      </c>
      <c r="L196">
        <f t="shared" ca="1" si="5"/>
        <v>0</v>
      </c>
    </row>
    <row r="197" spans="2:12" x14ac:dyDescent="0.35">
      <c r="B197" s="3">
        <v>43660</v>
      </c>
      <c r="C197" s="4">
        <v>15513897</v>
      </c>
      <c r="D197" s="4">
        <v>11635423</v>
      </c>
      <c r="E197" s="4">
        <v>4740357</v>
      </c>
      <c r="F197" s="4">
        <v>11204481</v>
      </c>
      <c r="G197" s="4" cm="1">
        <f t="array" aca="1" ref="G197" ca="1">IF(ROW()&gt;7, (C197/INDIRECT("C"&amp;ROW()-7)-1)*100, "")</f>
        <v>-1.0309272431501371</v>
      </c>
      <c r="H197" s="4" cm="1">
        <f t="array" aca="1" ref="H197" ca="1">IF(ROW()&gt;7, (D197/INDIRECT("D"&amp;ROW()-7)-1)*100, "")</f>
        <v>-1.0309251166895295</v>
      </c>
      <c r="I197" s="4" cm="1">
        <f t="array" aca="1" ref="I197" ca="1">IF(ROW()&gt;7, (E197/INDIRECT("E"&amp;ROW()-7)-1)*100, "")</f>
        <v>-1.0309336464473184</v>
      </c>
      <c r="J197" s="4" cm="1">
        <f t="array" aca="1" ref="J197" ca="1">IF(ROW()&gt;7, (F197/INDIRECT("F"&amp;ROW()-7)-1)*100, "")</f>
        <v>-1.0309335719418278</v>
      </c>
      <c r="K197">
        <f t="shared" ca="1" si="4"/>
        <v>15513897</v>
      </c>
      <c r="L197" t="str">
        <f t="shared" ca="1" si="5"/>
        <v>Facebook</v>
      </c>
    </row>
    <row r="198" spans="2:12" x14ac:dyDescent="0.35">
      <c r="B198" s="3">
        <v>43661</v>
      </c>
      <c r="C198" s="4">
        <v>7740060</v>
      </c>
      <c r="D198" s="4">
        <v>5805045</v>
      </c>
      <c r="E198" s="4">
        <v>2365018</v>
      </c>
      <c r="F198" s="4">
        <v>5590043</v>
      </c>
      <c r="G198" s="4" cm="1">
        <f t="array" aca="1" ref="G198" ca="1">IF(ROW()&gt;7, (C198/INDIRECT("C"&amp;ROW()-7)-1)*100, "")</f>
        <v>1.0204157545207204</v>
      </c>
      <c r="H198" s="4" cm="1">
        <f t="array" aca="1" ref="H198" ca="1">IF(ROW()&gt;7, (D198/INDIRECT("D"&amp;ROW()-7)-1)*100, "")</f>
        <v>1.0204113595832398</v>
      </c>
      <c r="I198" s="4" cm="1">
        <f t="array" aca="1" ref="I198" ca="1">IF(ROW()&gt;7, (E198/INDIRECT("E"&amp;ROW()-7)-1)*100, "")</f>
        <v>1.0204051122343127</v>
      </c>
      <c r="J198" s="4" cm="1">
        <f t="array" aca="1" ref="J198" ca="1">IF(ROW()&gt;7, (F198/INDIRECT("F"&amp;ROW()-7)-1)*100, "")</f>
        <v>1.0204066880416196</v>
      </c>
      <c r="K198">
        <f t="shared" ca="1" si="4"/>
        <v>7740060</v>
      </c>
      <c r="L198" t="str">
        <f t="shared" ca="1" si="5"/>
        <v>Facebook</v>
      </c>
    </row>
    <row r="199" spans="2:12" x14ac:dyDescent="0.35">
      <c r="B199" s="3">
        <v>43662</v>
      </c>
      <c r="C199" s="4">
        <v>7427330</v>
      </c>
      <c r="D199" s="4">
        <v>5570497</v>
      </c>
      <c r="E199" s="4">
        <v>2269462</v>
      </c>
      <c r="F199" s="4">
        <v>5364183</v>
      </c>
      <c r="G199" s="4" cm="1">
        <f t="array" aca="1" ref="G199" ca="1">IF(ROW()&gt;7, (C199/INDIRECT("C"&amp;ROW()-7)-1)*100, "")</f>
        <v>-9.5238072035193859</v>
      </c>
      <c r="H199" s="4" cm="1">
        <f t="array" aca="1" ref="H199" ca="1">IF(ROW()&gt;7, (D199/INDIRECT("D"&amp;ROW()-7)-1)*100, "")</f>
        <v>-9.5238226721192198</v>
      </c>
      <c r="I199" s="4" cm="1">
        <f t="array" aca="1" ref="I199" ca="1">IF(ROW()&gt;7, (E199/INDIRECT("E"&amp;ROW()-7)-1)*100, "")</f>
        <v>-9.5237829459342223</v>
      </c>
      <c r="J199" s="4" cm="1">
        <f t="array" aca="1" ref="J199" ca="1">IF(ROW()&gt;7, (F199/INDIRECT("F"&amp;ROW()-7)-1)*100, "")</f>
        <v>-9.5237966729708852</v>
      </c>
      <c r="K199">
        <f t="shared" ca="1" si="4"/>
        <v>7427330</v>
      </c>
      <c r="L199" t="str">
        <f t="shared" ca="1" si="5"/>
        <v>Facebook</v>
      </c>
    </row>
    <row r="200" spans="2:12" x14ac:dyDescent="0.35">
      <c r="B200" s="3">
        <v>43663</v>
      </c>
      <c r="C200" s="4">
        <v>7740060</v>
      </c>
      <c r="D200" s="4">
        <v>5805045</v>
      </c>
      <c r="E200" s="4">
        <v>2365018</v>
      </c>
      <c r="F200" s="4">
        <v>5590043</v>
      </c>
      <c r="G200" s="4" cm="1">
        <f t="array" aca="1" ref="G200" ca="1">IF(ROW()&gt;7, (C200/INDIRECT("C"&amp;ROW()-7)-1)*100, "")</f>
        <v>-5.7142794495023459</v>
      </c>
      <c r="H200" s="4" cm="1">
        <f t="array" aca="1" ref="H200" ca="1">IF(ROW()&gt;7, (D200/INDIRECT("D"&amp;ROW()-7)-1)*100, "")</f>
        <v>-5.7142871064596807</v>
      </c>
      <c r="I200" s="4" cm="1">
        <f t="array" aca="1" ref="I200" ca="1">IF(ROW()&gt;7, (E200/INDIRECT("E"&amp;ROW()-7)-1)*100, "")</f>
        <v>-5.7142697675605314</v>
      </c>
      <c r="J200" s="4" cm="1">
        <f t="array" aca="1" ref="J200" ca="1">IF(ROW()&gt;7, (F200/INDIRECT("F"&amp;ROW()-7)-1)*100, "")</f>
        <v>-5.7142780037825354</v>
      </c>
      <c r="K200">
        <f t="shared" ca="1" si="4"/>
        <v>7740060</v>
      </c>
      <c r="L200" t="str">
        <f t="shared" ca="1" si="5"/>
        <v>Facebook</v>
      </c>
    </row>
    <row r="201" spans="2:12" x14ac:dyDescent="0.35">
      <c r="B201" s="3">
        <v>43664</v>
      </c>
      <c r="C201" s="4">
        <v>7974607</v>
      </c>
      <c r="D201" s="4">
        <v>5980955</v>
      </c>
      <c r="E201" s="4">
        <v>2436685</v>
      </c>
      <c r="F201" s="4">
        <v>5759438</v>
      </c>
      <c r="G201" s="4" cm="1">
        <f t="array" aca="1" ref="G201" ca="1">IF(ROW()&gt;7, (C201/INDIRECT("C"&amp;ROW()-7)-1)*100, "")</f>
        <v>3.0302995067221783</v>
      </c>
      <c r="H201" s="4" cm="1">
        <f t="array" aca="1" ref="H201" ca="1">IF(ROW()&gt;7, (D201/INDIRECT("D"&amp;ROW()-7)-1)*100, "")</f>
        <v>3.0302952001233452</v>
      </c>
      <c r="I201" s="4" cm="1">
        <f t="array" aca="1" ref="I201" ca="1">IF(ROW()&gt;7, (E201/INDIRECT("E"&amp;ROW()-7)-1)*100, "")</f>
        <v>3.0302940611868445</v>
      </c>
      <c r="J201" s="4" cm="1">
        <f t="array" aca="1" ref="J201" ca="1">IF(ROW()&gt;7, (F201/INDIRECT("F"&amp;ROW()-7)-1)*100, "")</f>
        <v>3.0302986935878629</v>
      </c>
      <c r="K201">
        <f t="shared" ca="1" si="4"/>
        <v>7974607</v>
      </c>
      <c r="L201" t="str">
        <f t="shared" ca="1" si="5"/>
        <v>Facebook</v>
      </c>
    </row>
    <row r="202" spans="2:12" x14ac:dyDescent="0.35">
      <c r="B202" s="3">
        <v>43665</v>
      </c>
      <c r="C202" s="4">
        <v>8130972</v>
      </c>
      <c r="D202" s="4">
        <v>6098229</v>
      </c>
      <c r="E202" s="4">
        <v>2484463</v>
      </c>
      <c r="F202" s="4">
        <v>5872368</v>
      </c>
      <c r="G202" s="4" cm="1">
        <f t="array" aca="1" ref="G202" ca="1">IF(ROW()&gt;7, (C202/INDIRECT("C"&amp;ROW()-7)-1)*100, "")</f>
        <v>8.3333422156942838</v>
      </c>
      <c r="H202" s="4" cm="1">
        <f t="array" aca="1" ref="H202" ca="1">IF(ROW()&gt;7, (D202/INDIRECT("D"&amp;ROW()-7)-1)*100, "")</f>
        <v>8.3333422156942838</v>
      </c>
      <c r="I202" s="4" cm="1">
        <f t="array" aca="1" ref="I202" ca="1">IF(ROW()&gt;7, (E202/INDIRECT("E"&amp;ROW()-7)-1)*100, "")</f>
        <v>8.3333078974827668</v>
      </c>
      <c r="J202" s="4" cm="1">
        <f t="array" aca="1" ref="J202" ca="1">IF(ROW()&gt;7, (F202/INDIRECT("F"&amp;ROW()-7)-1)*100, "")</f>
        <v>8.3333210346807185</v>
      </c>
      <c r="K202">
        <f t="shared" ca="1" si="4"/>
        <v>8130972</v>
      </c>
      <c r="L202" t="str">
        <f t="shared" ca="1" si="5"/>
        <v>Facebook</v>
      </c>
    </row>
    <row r="203" spans="2:12" x14ac:dyDescent="0.35">
      <c r="B203" s="3">
        <v>43666</v>
      </c>
      <c r="C203" s="4">
        <v>15998707</v>
      </c>
      <c r="D203" s="4">
        <v>11999030</v>
      </c>
      <c r="E203" s="4">
        <v>4888493</v>
      </c>
      <c r="F203" s="4">
        <v>11554621</v>
      </c>
      <c r="G203" s="4" cm="1">
        <f t="array" aca="1" ref="G203" ca="1">IF(ROW()&gt;7, (C203/INDIRECT("C"&amp;ROW()-7)-1)*100, "")</f>
        <v>-0.99999938119998966</v>
      </c>
      <c r="H203" s="4" cm="1">
        <f t="array" aca="1" ref="H203" ca="1">IF(ROW()&gt;7, (D203/INDIRECT("D"&amp;ROW()-7)-1)*100, "")</f>
        <v>-0.99999735978650861</v>
      </c>
      <c r="I203" s="4" cm="1">
        <f t="array" aca="1" ref="I203" ca="1">IF(ROW()&gt;7, (E203/INDIRECT("E"&amp;ROW()-7)-1)*100, "")</f>
        <v>-1.0000056704588589</v>
      </c>
      <c r="J203" s="4" cm="1">
        <f t="array" aca="1" ref="J203" ca="1">IF(ROW()&gt;7, (F203/INDIRECT("F"&amp;ROW()-7)-1)*100, "")</f>
        <v>-1.0000055692000909</v>
      </c>
      <c r="K203">
        <f t="shared" ref="K203:K266" ca="1" si="6">IF(SUM(G203:J203)=0,0,MAX(C203:F203))</f>
        <v>15998707</v>
      </c>
      <c r="L203" t="str">
        <f t="shared" ref="L203:L266" ca="1" si="7">IF(SUM(G203:J203)=0, 0, INDEX(C$2:F$2, MATCH(MAX(C203:F203), C203:F203, 0)))</f>
        <v>Facebook</v>
      </c>
    </row>
    <row r="204" spans="2:12" x14ac:dyDescent="0.35">
      <c r="B204" s="3">
        <v>43667</v>
      </c>
      <c r="C204" s="4">
        <v>15352294</v>
      </c>
      <c r="D204" s="4">
        <v>11514221</v>
      </c>
      <c r="E204" s="4">
        <v>4690978</v>
      </c>
      <c r="F204" s="4">
        <v>11087768</v>
      </c>
      <c r="G204" s="4" cm="1">
        <f t="array" aca="1" ref="G204" ca="1">IF(ROW()&gt;7, (C204/INDIRECT("C"&amp;ROW()-7)-1)*100, "")</f>
        <v>-1.0416660623697616</v>
      </c>
      <c r="H204" s="4" cm="1">
        <f t="array" aca="1" ref="H204" ca="1">IF(ROW()&gt;7, (D204/INDIRECT("D"&amp;ROW()-7)-1)*100, "")</f>
        <v>-1.0416638913772203</v>
      </c>
      <c r="I204" s="4" cm="1">
        <f t="array" aca="1" ref="I204" ca="1">IF(ROW()&gt;7, (E204/INDIRECT("E"&amp;ROW()-7)-1)*100, "")</f>
        <v>-1.0416725997641096</v>
      </c>
      <c r="J204" s="4" cm="1">
        <f t="array" aca="1" ref="J204" ca="1">IF(ROW()&gt;7, (F204/INDIRECT("F"&amp;ROW()-7)-1)*100, "")</f>
        <v>-1.0416635986976952</v>
      </c>
      <c r="K204">
        <f t="shared" ca="1" si="6"/>
        <v>15352294</v>
      </c>
      <c r="L204" t="str">
        <f t="shared" ca="1" si="7"/>
        <v>Facebook</v>
      </c>
    </row>
    <row r="205" spans="2:12" x14ac:dyDescent="0.35">
      <c r="B205" s="3">
        <v>43668</v>
      </c>
      <c r="C205" s="4">
        <v>7740060</v>
      </c>
      <c r="D205" s="4">
        <v>5805045</v>
      </c>
      <c r="E205" s="4">
        <v>2365018</v>
      </c>
      <c r="F205" s="4">
        <v>5590043</v>
      </c>
      <c r="G205" s="4" cm="1">
        <f t="array" aca="1" ref="G205" ca="1">IF(ROW()&gt;7, (C205/INDIRECT("C"&amp;ROW()-7)-1)*100, "")</f>
        <v>0</v>
      </c>
      <c r="H205" s="4" cm="1">
        <f t="array" aca="1" ref="H205" ca="1">IF(ROW()&gt;7, (D205/INDIRECT("D"&amp;ROW()-7)-1)*100, "")</f>
        <v>0</v>
      </c>
      <c r="I205" s="4" cm="1">
        <f t="array" aca="1" ref="I205" ca="1">IF(ROW()&gt;7, (E205/INDIRECT("E"&amp;ROW()-7)-1)*100, "")</f>
        <v>0</v>
      </c>
      <c r="J205" s="4" cm="1">
        <f t="array" aca="1" ref="J205" ca="1">IF(ROW()&gt;7, (F205/INDIRECT("F"&amp;ROW()-7)-1)*100, "")</f>
        <v>0</v>
      </c>
      <c r="K205">
        <f t="shared" ca="1" si="6"/>
        <v>0</v>
      </c>
      <c r="L205">
        <f t="shared" ca="1" si="7"/>
        <v>0</v>
      </c>
    </row>
    <row r="206" spans="2:12" x14ac:dyDescent="0.35">
      <c r="B206" s="3">
        <v>43669</v>
      </c>
      <c r="C206" s="4">
        <v>7661877</v>
      </c>
      <c r="D206" s="4">
        <v>5746408</v>
      </c>
      <c r="E206" s="4">
        <v>2341129</v>
      </c>
      <c r="F206" s="4">
        <v>5533578</v>
      </c>
      <c r="G206" s="4" cm="1">
        <f t="array" aca="1" ref="G206" ca="1">IF(ROW()&gt;7, (C206/INDIRECT("C"&amp;ROW()-7)-1)*100, "")</f>
        <v>3.1578911937398813</v>
      </c>
      <c r="H206" s="4" cm="1">
        <f t="array" aca="1" ref="H206" ca="1">IF(ROW()&gt;7, (D206/INDIRECT("D"&amp;ROW()-7)-1)*100, "")</f>
        <v>3.1579049409774296</v>
      </c>
      <c r="I206" s="4" cm="1">
        <f t="array" aca="1" ref="I206" ca="1">IF(ROW()&gt;7, (E206/INDIRECT("E"&amp;ROW()-7)-1)*100, "")</f>
        <v>3.1578849965322231</v>
      </c>
      <c r="J206" s="4" cm="1">
        <f t="array" aca="1" ref="J206" ca="1">IF(ROW()&gt;7, (F206/INDIRECT("F"&amp;ROW()-7)-1)*100, "")</f>
        <v>3.1578900272418053</v>
      </c>
      <c r="K206">
        <f t="shared" ca="1" si="6"/>
        <v>7661877</v>
      </c>
      <c r="L206" t="str">
        <f t="shared" ca="1" si="7"/>
        <v>Facebook</v>
      </c>
    </row>
    <row r="207" spans="2:12" x14ac:dyDescent="0.35">
      <c r="B207" s="3">
        <v>43670</v>
      </c>
      <c r="C207" s="4">
        <v>7896424</v>
      </c>
      <c r="D207" s="4">
        <v>5922318</v>
      </c>
      <c r="E207" s="4">
        <v>2412796</v>
      </c>
      <c r="F207" s="4">
        <v>5702973</v>
      </c>
      <c r="G207" s="4" cm="1">
        <f t="array" aca="1" ref="G207" ca="1">IF(ROW()&gt;7, (C207/INDIRECT("C"&amp;ROW()-7)-1)*100, "")</f>
        <v>2.0201910579504601</v>
      </c>
      <c r="H207" s="4" cm="1">
        <f t="array" aca="1" ref="H207" ca="1">IF(ROW()&gt;7, (D207/INDIRECT("D"&amp;ROW()-7)-1)*100, "")</f>
        <v>2.0201910579504601</v>
      </c>
      <c r="I207" s="4" cm="1">
        <f t="array" aca="1" ref="I207" ca="1">IF(ROW()&gt;7, (E207/INDIRECT("E"&amp;ROW()-7)-1)*100, "")</f>
        <v>2.0201960407912223</v>
      </c>
      <c r="J207" s="4" cm="1">
        <f t="array" aca="1" ref="J207" ca="1">IF(ROW()&gt;7, (F207/INDIRECT("F"&amp;ROW()-7)-1)*100, "")</f>
        <v>2.0201991290585752</v>
      </c>
      <c r="K207">
        <f t="shared" ca="1" si="6"/>
        <v>7896424</v>
      </c>
      <c r="L207" t="str">
        <f t="shared" ca="1" si="7"/>
        <v>Facebook</v>
      </c>
    </row>
    <row r="208" spans="2:12" x14ac:dyDescent="0.35">
      <c r="B208" s="3">
        <v>43671</v>
      </c>
      <c r="C208" s="4">
        <v>7427330</v>
      </c>
      <c r="D208" s="4">
        <v>5570497</v>
      </c>
      <c r="E208" s="4">
        <v>2269462</v>
      </c>
      <c r="F208" s="4">
        <v>5364183</v>
      </c>
      <c r="G208" s="4" cm="1">
        <f t="array" aca="1" ref="G208" ca="1">IF(ROW()&gt;7, (C208/INDIRECT("C"&amp;ROW()-7)-1)*100, "")</f>
        <v>-6.8627457127354408</v>
      </c>
      <c r="H208" s="4" cm="1">
        <f t="array" aca="1" ref="H208" ca="1">IF(ROW()&gt;7, (D208/INDIRECT("D"&amp;ROW()-7)-1)*100, "")</f>
        <v>-6.862750179528188</v>
      </c>
      <c r="I208" s="4" cm="1">
        <f t="array" aca="1" ref="I208" ca="1">IF(ROW()&gt;7, (E208/INDIRECT("E"&amp;ROW()-7)-1)*100, "")</f>
        <v>-6.8627253830511492</v>
      </c>
      <c r="J208" s="4" cm="1">
        <f t="array" aca="1" ref="J208" ca="1">IF(ROW()&gt;7, (F208/INDIRECT("F"&amp;ROW()-7)-1)*100, "")</f>
        <v>-6.8627355655187188</v>
      </c>
      <c r="K208">
        <f t="shared" ca="1" si="6"/>
        <v>7427330</v>
      </c>
      <c r="L208" t="str">
        <f t="shared" ca="1" si="7"/>
        <v>Facebook</v>
      </c>
    </row>
    <row r="209" spans="2:12" x14ac:dyDescent="0.35">
      <c r="B209" s="3">
        <v>43672</v>
      </c>
      <c r="C209" s="4">
        <v>7583695</v>
      </c>
      <c r="D209" s="4">
        <v>5687771</v>
      </c>
      <c r="E209" s="4">
        <v>2317240</v>
      </c>
      <c r="F209" s="4">
        <v>5477113</v>
      </c>
      <c r="G209" s="4" cm="1">
        <f t="array" aca="1" ref="G209" ca="1">IF(ROW()&gt;7, (C209/INDIRECT("C"&amp;ROW()-7)-1)*100, "")</f>
        <v>-6.7307697037943264</v>
      </c>
      <c r="H209" s="4" cm="1">
        <f t="array" aca="1" ref="H209" ca="1">IF(ROW()&gt;7, (D209/INDIRECT("D"&amp;ROW()-7)-1)*100, "")</f>
        <v>-6.7307738033452029</v>
      </c>
      <c r="I209" s="4" cm="1">
        <f t="array" aca="1" ref="I209" ca="1">IF(ROW()&gt;7, (E209/INDIRECT("E"&amp;ROW()-7)-1)*100, "")</f>
        <v>-6.7307502667578456</v>
      </c>
      <c r="J209" s="4" cm="1">
        <f t="array" aca="1" ref="J209" ca="1">IF(ROW()&gt;7, (F209/INDIRECT("F"&amp;ROW()-7)-1)*100, "")</f>
        <v>-6.7307600613585539</v>
      </c>
      <c r="K209">
        <f t="shared" ca="1" si="6"/>
        <v>7583695</v>
      </c>
      <c r="L209" t="str">
        <f t="shared" ca="1" si="7"/>
        <v>Facebook</v>
      </c>
    </row>
    <row r="210" spans="2:12" x14ac:dyDescent="0.35">
      <c r="B210" s="3">
        <v>43673</v>
      </c>
      <c r="C210" s="4">
        <v>16160310</v>
      </c>
      <c r="D210" s="4">
        <v>12120232</v>
      </c>
      <c r="E210" s="4">
        <v>4937872</v>
      </c>
      <c r="F210" s="4">
        <v>11671335</v>
      </c>
      <c r="G210" s="4" cm="1">
        <f t="array" aca="1" ref="G210" ca="1">IF(ROW()&gt;7, (C210/INDIRECT("C"&amp;ROW()-7)-1)*100, "")</f>
        <v>1.0101003787368557</v>
      </c>
      <c r="H210" s="4" cm="1">
        <f t="array" aca="1" ref="H210" ca="1">IF(ROW()&gt;7, (D210/INDIRECT("D"&amp;ROW()-7)-1)*100, "")</f>
        <v>1.010098316280561</v>
      </c>
      <c r="I210" s="4" cm="1">
        <f t="array" aca="1" ref="I210" ca="1">IF(ROW()&gt;7, (E210/INDIRECT("E"&amp;ROW()-7)-1)*100, "")</f>
        <v>1.0101067956934884</v>
      </c>
      <c r="J210" s="4" cm="1">
        <f t="array" aca="1" ref="J210" ca="1">IF(ROW()&gt;7, (F210/INDIRECT("F"&amp;ROW()-7)-1)*100, "")</f>
        <v>1.0101066923787538</v>
      </c>
      <c r="K210">
        <f t="shared" ca="1" si="6"/>
        <v>16160310</v>
      </c>
      <c r="L210" t="str">
        <f t="shared" ca="1" si="7"/>
        <v>Facebook</v>
      </c>
    </row>
    <row r="211" spans="2:12" x14ac:dyDescent="0.35">
      <c r="B211" s="3">
        <v>43674</v>
      </c>
      <c r="C211" s="4">
        <v>15675500</v>
      </c>
      <c r="D211" s="4">
        <v>11756625</v>
      </c>
      <c r="E211" s="4">
        <v>4789736</v>
      </c>
      <c r="F211" s="4">
        <v>11321195</v>
      </c>
      <c r="G211" s="4" cm="1">
        <f t="array" aca="1" ref="G211" ca="1">IF(ROW()&gt;7, (C211/INDIRECT("C"&amp;ROW()-7)-1)*100, "")</f>
        <v>2.1052619237229342</v>
      </c>
      <c r="H211" s="4" cm="1">
        <f t="array" aca="1" ref="H211" ca="1">IF(ROW()&gt;7, (D211/INDIRECT("D"&amp;ROW()-7)-1)*100, "")</f>
        <v>2.1052574898466903</v>
      </c>
      <c r="I211" s="4" cm="1">
        <f t="array" aca="1" ref="I211" ca="1">IF(ROW()&gt;7, (E211/INDIRECT("E"&amp;ROW()-7)-1)*100, "")</f>
        <v>2.1052752752197978</v>
      </c>
      <c r="J211" s="4" cm="1">
        <f t="array" aca="1" ref="J211" ca="1">IF(ROW()&gt;7, (F211/INDIRECT("F"&amp;ROW()-7)-1)*100, "")</f>
        <v>2.105265911047205</v>
      </c>
      <c r="K211">
        <f t="shared" ca="1" si="6"/>
        <v>15675500</v>
      </c>
      <c r="L211" t="str">
        <f t="shared" ca="1" si="7"/>
        <v>Facebook</v>
      </c>
    </row>
    <row r="212" spans="2:12" x14ac:dyDescent="0.35">
      <c r="B212" s="3">
        <v>43675</v>
      </c>
      <c r="C212" s="4">
        <v>7740060</v>
      </c>
      <c r="D212" s="4">
        <v>5805045</v>
      </c>
      <c r="E212" s="4">
        <v>2365018</v>
      </c>
      <c r="F212" s="4">
        <v>5590043</v>
      </c>
      <c r="G212" s="4" cm="1">
        <f t="array" aca="1" ref="G212" ca="1">IF(ROW()&gt;7, (C212/INDIRECT("C"&amp;ROW()-7)-1)*100, "")</f>
        <v>0</v>
      </c>
      <c r="H212" s="4" cm="1">
        <f t="array" aca="1" ref="H212" ca="1">IF(ROW()&gt;7, (D212/INDIRECT("D"&amp;ROW()-7)-1)*100, "")</f>
        <v>0</v>
      </c>
      <c r="I212" s="4" cm="1">
        <f t="array" aca="1" ref="I212" ca="1">IF(ROW()&gt;7, (E212/INDIRECT("E"&amp;ROW()-7)-1)*100, "")</f>
        <v>0</v>
      </c>
      <c r="J212" s="4" cm="1">
        <f t="array" aca="1" ref="J212" ca="1">IF(ROW()&gt;7, (F212/INDIRECT("F"&amp;ROW()-7)-1)*100, "")</f>
        <v>0</v>
      </c>
      <c r="K212">
        <f t="shared" ca="1" si="6"/>
        <v>0</v>
      </c>
      <c r="L212">
        <f t="shared" ca="1" si="7"/>
        <v>0</v>
      </c>
    </row>
    <row r="213" spans="2:12" x14ac:dyDescent="0.35">
      <c r="B213" s="3">
        <v>43676</v>
      </c>
      <c r="C213" s="4">
        <v>7505512</v>
      </c>
      <c r="D213" s="4">
        <v>5629134</v>
      </c>
      <c r="E213" s="4">
        <v>2293351</v>
      </c>
      <c r="F213" s="4">
        <v>5420648</v>
      </c>
      <c r="G213" s="4" cm="1">
        <f t="array" aca="1" ref="G213" ca="1">IF(ROW()&gt;7, (C213/INDIRECT("C"&amp;ROW()-7)-1)*100, "")</f>
        <v>-2.0408184574093213</v>
      </c>
      <c r="H213" s="4" cm="1">
        <f t="array" aca="1" ref="H213" ca="1">IF(ROW()&gt;7, (D213/INDIRECT("D"&amp;ROW()-7)-1)*100, "")</f>
        <v>-2.0408227191664796</v>
      </c>
      <c r="I213" s="4" cm="1">
        <f t="array" aca="1" ref="I213" ca="1">IF(ROW()&gt;7, (E213/INDIRECT("E"&amp;ROW()-7)-1)*100, "")</f>
        <v>-2.0408102244686255</v>
      </c>
      <c r="J213" s="4" cm="1">
        <f t="array" aca="1" ref="J213" ca="1">IF(ROW()&gt;7, (F213/INDIRECT("F"&amp;ROW()-7)-1)*100, "")</f>
        <v>-2.0408133760832503</v>
      </c>
      <c r="K213">
        <f t="shared" ca="1" si="6"/>
        <v>7505512</v>
      </c>
      <c r="L213" t="str">
        <f t="shared" ca="1" si="7"/>
        <v>Facebook</v>
      </c>
    </row>
    <row r="214" spans="2:12" x14ac:dyDescent="0.35">
      <c r="B214" s="3">
        <v>43677</v>
      </c>
      <c r="C214" s="4">
        <v>8052789</v>
      </c>
      <c r="D214" s="4">
        <v>6039592</v>
      </c>
      <c r="E214" s="4">
        <v>2460574</v>
      </c>
      <c r="F214" s="4">
        <v>5815903</v>
      </c>
      <c r="G214" s="4" cm="1">
        <f t="array" aca="1" ref="G214" ca="1">IF(ROW()&gt;7, (C214/INDIRECT("C"&amp;ROW()-7)-1)*100, "")</f>
        <v>1.9802001513596457</v>
      </c>
      <c r="H214" s="4" cm="1">
        <f t="array" aca="1" ref="H214" ca="1">IF(ROW()&gt;7, (D214/INDIRECT("D"&amp;ROW()-7)-1)*100, "")</f>
        <v>1.9802043726797613</v>
      </c>
      <c r="I214" s="4" cm="1">
        <f t="array" aca="1" ref="I214" ca="1">IF(ROW()&gt;7, (E214/INDIRECT("E"&amp;ROW()-7)-1)*100, "")</f>
        <v>1.9801922748545753</v>
      </c>
      <c r="J214" s="4" cm="1">
        <f t="array" aca="1" ref="J214" ca="1">IF(ROW()&gt;7, (F214/INDIRECT("F"&amp;ROW()-7)-1)*100, "")</f>
        <v>1.9801952420255287</v>
      </c>
      <c r="K214">
        <f t="shared" ca="1" si="6"/>
        <v>8052789</v>
      </c>
      <c r="L214" t="str">
        <f t="shared" ca="1" si="7"/>
        <v>Facebook</v>
      </c>
    </row>
    <row r="215" spans="2:12" x14ac:dyDescent="0.35">
      <c r="B215" s="3">
        <v>43678</v>
      </c>
      <c r="C215" s="4">
        <v>7974607</v>
      </c>
      <c r="D215" s="4">
        <v>5980955</v>
      </c>
      <c r="E215" s="4">
        <v>2436685</v>
      </c>
      <c r="F215" s="4">
        <v>5759438</v>
      </c>
      <c r="G215" s="4" cm="1">
        <f t="array" aca="1" ref="G215" ca="1">IF(ROW()&gt;7, (C215/INDIRECT("C"&amp;ROW()-7)-1)*100, "")</f>
        <v>7.3684217612520309</v>
      </c>
      <c r="H215" s="4" cm="1">
        <f t="array" aca="1" ref="H215" ca="1">IF(ROW()&gt;7, (D215/INDIRECT("D"&amp;ROW()-7)-1)*100, "")</f>
        <v>7.3684269105611211</v>
      </c>
      <c r="I215" s="4" cm="1">
        <f t="array" aca="1" ref="I215" ca="1">IF(ROW()&gt;7, (E215/INDIRECT("E"&amp;ROW()-7)-1)*100, "")</f>
        <v>7.3683983252418317</v>
      </c>
      <c r="J215" s="4" cm="1">
        <f t="array" aca="1" ref="J215" ca="1">IF(ROW()&gt;7, (F215/INDIRECT("F"&amp;ROW()-7)-1)*100, "")</f>
        <v>7.3684100635641903</v>
      </c>
      <c r="K215">
        <f t="shared" ca="1" si="6"/>
        <v>7974607</v>
      </c>
      <c r="L215" t="str">
        <f t="shared" ca="1" si="7"/>
        <v>Facebook</v>
      </c>
    </row>
    <row r="216" spans="2:12" x14ac:dyDescent="0.35">
      <c r="B216" s="3">
        <v>43679</v>
      </c>
      <c r="C216" s="4">
        <v>8209154</v>
      </c>
      <c r="D216" s="4">
        <v>6156866</v>
      </c>
      <c r="E216" s="4">
        <v>2508352</v>
      </c>
      <c r="F216" s="4">
        <v>5928833</v>
      </c>
      <c r="G216" s="4" cm="1">
        <f t="array" aca="1" ref="G216" ca="1">IF(ROW()&gt;7, (C216/INDIRECT("C"&amp;ROW()-7)-1)*100, "")</f>
        <v>8.2474176506307284</v>
      </c>
      <c r="H216" s="4" cm="1">
        <f t="array" aca="1" ref="H216" ca="1">IF(ROW()&gt;7, (D216/INDIRECT("D"&amp;ROW()-7)-1)*100, "")</f>
        <v>8.247431199322186</v>
      </c>
      <c r="I216" s="4" cm="1">
        <f t="array" aca="1" ref="I216" ca="1">IF(ROW()&gt;7, (E216/INDIRECT("E"&amp;ROW()-7)-1)*100, "")</f>
        <v>8.2473977663081843</v>
      </c>
      <c r="J216" s="4" cm="1">
        <f t="array" aca="1" ref="J216" ca="1">IF(ROW()&gt;7, (F216/INDIRECT("F"&amp;ROW()-7)-1)*100, "")</f>
        <v>8.2474106340329367</v>
      </c>
      <c r="K216">
        <f t="shared" ca="1" si="6"/>
        <v>8209154</v>
      </c>
      <c r="L216" t="str">
        <f t="shared" ca="1" si="7"/>
        <v>Facebook</v>
      </c>
    </row>
    <row r="217" spans="2:12" x14ac:dyDescent="0.35">
      <c r="B217" s="3">
        <v>43680</v>
      </c>
      <c r="C217" s="4">
        <v>16321913</v>
      </c>
      <c r="D217" s="4">
        <v>12241435</v>
      </c>
      <c r="E217" s="4">
        <v>4987251</v>
      </c>
      <c r="F217" s="4">
        <v>11788048</v>
      </c>
      <c r="G217" s="4" cm="1">
        <f t="array" aca="1" ref="G217" ca="1">IF(ROW()&gt;7, (C217/INDIRECT("C"&amp;ROW()-7)-1)*100, "")</f>
        <v>0.99999938119998966</v>
      </c>
      <c r="H217" s="4" cm="1">
        <f t="array" aca="1" ref="H217" ca="1">IF(ROW()&gt;7, (D217/INDIRECT("D"&amp;ROW()-7)-1)*100, "")</f>
        <v>1.0000056104536581</v>
      </c>
      <c r="I217" s="4" cm="1">
        <f t="array" aca="1" ref="I217" ca="1">IF(ROW()&gt;7, (E217/INDIRECT("E"&amp;ROW()-7)-1)*100, "")</f>
        <v>1.0000056704588589</v>
      </c>
      <c r="J217" s="4" cm="1">
        <f t="array" aca="1" ref="J217" ca="1">IF(ROW()&gt;7, (F217/INDIRECT("F"&amp;ROW()-7)-1)*100, "")</f>
        <v>0.99999700119994817</v>
      </c>
      <c r="K217">
        <f t="shared" ca="1" si="6"/>
        <v>16321913</v>
      </c>
      <c r="L217" t="str">
        <f t="shared" ca="1" si="7"/>
        <v>Facebook</v>
      </c>
    </row>
    <row r="218" spans="2:12" x14ac:dyDescent="0.35">
      <c r="B218" s="3">
        <v>43681</v>
      </c>
      <c r="C218" s="4">
        <v>15837104</v>
      </c>
      <c r="D218" s="4">
        <v>11877828</v>
      </c>
      <c r="E218" s="4">
        <v>4839115</v>
      </c>
      <c r="F218" s="4">
        <v>11437908</v>
      </c>
      <c r="G218" s="4" cm="1">
        <f t="array" aca="1" ref="G218" ca="1">IF(ROW()&gt;7, (C218/INDIRECT("C"&amp;ROW()-7)-1)*100, "")</f>
        <v>1.030933622531971</v>
      </c>
      <c r="H218" s="4" cm="1">
        <f t="array" aca="1" ref="H218" ca="1">IF(ROW()&gt;7, (D218/INDIRECT("D"&amp;ROW()-7)-1)*100, "")</f>
        <v>1.030933622531971</v>
      </c>
      <c r="I218" s="4" cm="1">
        <f t="array" aca="1" ref="I218" ca="1">IF(ROW()&gt;7, (E218/INDIRECT("E"&amp;ROW()-7)-1)*100, "")</f>
        <v>1.0309336464473295</v>
      </c>
      <c r="J218" s="4" cm="1">
        <f t="array" aca="1" ref="J218" ca="1">IF(ROW()&gt;7, (F218/INDIRECT("F"&amp;ROW()-7)-1)*100, "")</f>
        <v>1.0309247389520326</v>
      </c>
      <c r="K218">
        <f t="shared" ca="1" si="6"/>
        <v>15837104</v>
      </c>
      <c r="L218" t="str">
        <f t="shared" ca="1" si="7"/>
        <v>Facebook</v>
      </c>
    </row>
    <row r="219" spans="2:12" x14ac:dyDescent="0.35">
      <c r="B219" s="3">
        <v>43682</v>
      </c>
      <c r="C219" s="4">
        <v>8052789</v>
      </c>
      <c r="D219" s="4">
        <v>6039592</v>
      </c>
      <c r="E219" s="4">
        <v>2460574</v>
      </c>
      <c r="F219" s="4">
        <v>5815903</v>
      </c>
      <c r="G219" s="4" cm="1">
        <f t="array" aca="1" ref="G219" ca="1">IF(ROW()&gt;7, (C219/INDIRECT("C"&amp;ROW()-7)-1)*100, "")</f>
        <v>4.0403950356973972</v>
      </c>
      <c r="H219" s="4" cm="1">
        <f t="array" aca="1" ref="H219" ca="1">IF(ROW()&gt;7, (D219/INDIRECT("D"&amp;ROW()-7)-1)*100, "")</f>
        <v>4.0403993422962303</v>
      </c>
      <c r="I219" s="4" cm="1">
        <f t="array" aca="1" ref="I219" ca="1">IF(ROW()&gt;7, (E219/INDIRECT("E"&amp;ROW()-7)-1)*100, "")</f>
        <v>4.0403920815824668</v>
      </c>
      <c r="J219" s="4" cm="1">
        <f t="array" aca="1" ref="J219" ca="1">IF(ROW()&gt;7, (F219/INDIRECT("F"&amp;ROW()-7)-1)*100, "")</f>
        <v>4.0403982581171505</v>
      </c>
      <c r="K219">
        <f t="shared" ca="1" si="6"/>
        <v>8052789</v>
      </c>
      <c r="L219" t="str">
        <f t="shared" ca="1" si="7"/>
        <v>Facebook</v>
      </c>
    </row>
    <row r="220" spans="2:12" x14ac:dyDescent="0.35">
      <c r="B220" s="3">
        <v>43683</v>
      </c>
      <c r="C220" s="4">
        <v>8130972</v>
      </c>
      <c r="D220" s="4">
        <v>6098229</v>
      </c>
      <c r="E220" s="4">
        <v>2484463</v>
      </c>
      <c r="F220" s="4">
        <v>5872368</v>
      </c>
      <c r="G220" s="4" cm="1">
        <f t="array" aca="1" ref="G220" ca="1">IF(ROW()&gt;7, (C220/INDIRECT("C"&amp;ROW()-7)-1)*100, "")</f>
        <v>8.3333422156942838</v>
      </c>
      <c r="H220" s="4" cm="1">
        <f t="array" aca="1" ref="H220" ca="1">IF(ROW()&gt;7, (D220/INDIRECT("D"&amp;ROW()-7)-1)*100, "")</f>
        <v>8.3333422156942838</v>
      </c>
      <c r="I220" s="4" cm="1">
        <f t="array" aca="1" ref="I220" ca="1">IF(ROW()&gt;7, (E220/INDIRECT("E"&amp;ROW()-7)-1)*100, "")</f>
        <v>8.3333078974827668</v>
      </c>
      <c r="J220" s="4" cm="1">
        <f t="array" aca="1" ref="J220" ca="1">IF(ROW()&gt;7, (F220/INDIRECT("F"&amp;ROW()-7)-1)*100, "")</f>
        <v>8.3333210346807185</v>
      </c>
      <c r="K220">
        <f t="shared" ca="1" si="6"/>
        <v>8130972</v>
      </c>
      <c r="L220" t="str">
        <f t="shared" ca="1" si="7"/>
        <v>Facebook</v>
      </c>
    </row>
    <row r="221" spans="2:12" x14ac:dyDescent="0.35">
      <c r="B221" s="3">
        <v>43684</v>
      </c>
      <c r="C221" s="4">
        <v>8130972</v>
      </c>
      <c r="D221" s="4">
        <v>6098229</v>
      </c>
      <c r="E221" s="4">
        <v>2484463</v>
      </c>
      <c r="F221" s="4">
        <v>5872368</v>
      </c>
      <c r="G221" s="4" cm="1">
        <f t="array" aca="1" ref="G221" ca="1">IF(ROW()&gt;7, (C221/INDIRECT("C"&amp;ROW()-7)-1)*100, "")</f>
        <v>0.97088102022790945</v>
      </c>
      <c r="H221" s="4" cm="1">
        <f t="array" aca="1" ref="H221" ca="1">IF(ROW()&gt;7, (D221/INDIRECT("D"&amp;ROW()-7)-1)*100, "")</f>
        <v>0.97087684068726254</v>
      </c>
      <c r="I221" s="4" cm="1">
        <f t="array" aca="1" ref="I221" ca="1">IF(ROW()&gt;7, (E221/INDIRECT("E"&amp;ROW()-7)-1)*100, "")</f>
        <v>0.97087102440325257</v>
      </c>
      <c r="J221" s="4" cm="1">
        <f t="array" aca="1" ref="J221" ca="1">IF(ROW()&gt;7, (F221/INDIRECT("F"&amp;ROW()-7)-1)*100, "")</f>
        <v>0.9708724509332356</v>
      </c>
      <c r="K221">
        <f t="shared" ca="1" si="6"/>
        <v>8130972</v>
      </c>
      <c r="L221" t="str">
        <f t="shared" ca="1" si="7"/>
        <v>Facebook</v>
      </c>
    </row>
    <row r="222" spans="2:12" x14ac:dyDescent="0.35">
      <c r="B222" s="3">
        <v>43685</v>
      </c>
      <c r="C222" s="4">
        <v>7505512</v>
      </c>
      <c r="D222" s="4">
        <v>5629134</v>
      </c>
      <c r="E222" s="4">
        <v>2293351</v>
      </c>
      <c r="F222" s="4">
        <v>5420648</v>
      </c>
      <c r="G222" s="4" cm="1">
        <f t="array" aca="1" ref="G222" ca="1">IF(ROW()&gt;7, (C222/INDIRECT("C"&amp;ROW()-7)-1)*100, "")</f>
        <v>-5.882358842260194</v>
      </c>
      <c r="H222" s="4" cm="1">
        <f t="array" aca="1" ref="H222" ca="1">IF(ROW()&gt;7, (D222/INDIRECT("D"&amp;ROW()-7)-1)*100, "")</f>
        <v>-5.8823549082044568</v>
      </c>
      <c r="I222" s="4" cm="1">
        <f t="array" aca="1" ref="I222" ca="1">IF(ROW()&gt;7, (E222/INDIRECT("E"&amp;ROW()-7)-1)*100, "")</f>
        <v>-5.8823360426152771</v>
      </c>
      <c r="J222" s="4" cm="1">
        <f t="array" aca="1" ref="J222" ca="1">IF(ROW()&gt;7, (F222/INDIRECT("F"&amp;ROW()-7)-1)*100, "")</f>
        <v>-5.8823447704446146</v>
      </c>
      <c r="K222">
        <f t="shared" ca="1" si="6"/>
        <v>7505512</v>
      </c>
      <c r="L222" t="str">
        <f t="shared" ca="1" si="7"/>
        <v>Facebook</v>
      </c>
    </row>
    <row r="223" spans="2:12" x14ac:dyDescent="0.35">
      <c r="B223" s="3">
        <v>43686</v>
      </c>
      <c r="C223" s="4">
        <v>8130972</v>
      </c>
      <c r="D223" s="4">
        <v>6098229</v>
      </c>
      <c r="E223" s="4">
        <v>2484463</v>
      </c>
      <c r="F223" s="4">
        <v>5872368</v>
      </c>
      <c r="G223" s="4" cm="1">
        <f t="array" aca="1" ref="G223" ca="1">IF(ROW()&gt;7, (C223/INDIRECT("C"&amp;ROW()-7)-1)*100, "")</f>
        <v>-0.95237584774265915</v>
      </c>
      <c r="H223" s="4" cm="1">
        <f t="array" aca="1" ref="H223" ca="1">IF(ROW()&gt;7, (D223/INDIRECT("D"&amp;ROW()-7)-1)*100, "")</f>
        <v>-0.95238389141488744</v>
      </c>
      <c r="I223" s="4" cm="1">
        <f t="array" aca="1" ref="I223" ca="1">IF(ROW()&gt;7, (E223/INDIRECT("E"&amp;ROW()-7)-1)*100, "")</f>
        <v>-0.9523782945934256</v>
      </c>
      <c r="J223" s="4" cm="1">
        <f t="array" aca="1" ref="J223" ca="1">IF(ROW()&gt;7, (F223/INDIRECT("F"&amp;ROW()-7)-1)*100, "")</f>
        <v>-0.95237966729708745</v>
      </c>
      <c r="K223">
        <f t="shared" ca="1" si="6"/>
        <v>8130972</v>
      </c>
      <c r="L223" t="str">
        <f t="shared" ca="1" si="7"/>
        <v>Facebook</v>
      </c>
    </row>
    <row r="224" spans="2:12" x14ac:dyDescent="0.35">
      <c r="B224" s="3">
        <v>43687</v>
      </c>
      <c r="C224" s="4">
        <v>16806722</v>
      </c>
      <c r="D224" s="4">
        <v>12605042</v>
      </c>
      <c r="E224" s="4">
        <v>5135387</v>
      </c>
      <c r="F224" s="4">
        <v>12138188</v>
      </c>
      <c r="G224" s="4" cm="1">
        <f t="array" aca="1" ref="G224" ca="1">IF(ROW()&gt;7, (C224/INDIRECT("C"&amp;ROW()-7)-1)*100, "")</f>
        <v>2.9702952098813462</v>
      </c>
      <c r="H224" s="4" cm="1">
        <f t="array" aca="1" ref="H224" ca="1">IF(ROW()&gt;7, (D224/INDIRECT("D"&amp;ROW()-7)-1)*100, "")</f>
        <v>2.9702971914648879</v>
      </c>
      <c r="I224" s="4" cm="1">
        <f t="array" aca="1" ref="I224" ca="1">IF(ROW()&gt;7, (E224/INDIRECT("E"&amp;ROW()-7)-1)*100, "")</f>
        <v>2.9702936547609138</v>
      </c>
      <c r="J224" s="4" cm="1">
        <f t="array" aca="1" ref="J224" ca="1">IF(ROW()&gt;7, (F224/INDIRECT("F"&amp;ROW()-7)-1)*100, "")</f>
        <v>2.9702966937358966</v>
      </c>
      <c r="K224">
        <f t="shared" ca="1" si="6"/>
        <v>16806722</v>
      </c>
      <c r="L224" t="str">
        <f t="shared" ca="1" si="7"/>
        <v>Facebook</v>
      </c>
    </row>
    <row r="225" spans="2:12" x14ac:dyDescent="0.35">
      <c r="B225" s="3">
        <v>43688</v>
      </c>
      <c r="C225" s="4">
        <v>15837104</v>
      </c>
      <c r="D225" s="4">
        <v>11877828</v>
      </c>
      <c r="E225" s="4">
        <v>4839115</v>
      </c>
      <c r="F225" s="4">
        <v>11437908</v>
      </c>
      <c r="G225" s="4" cm="1">
        <f t="array" aca="1" ref="G225" ca="1">IF(ROW()&gt;7, (C225/INDIRECT("C"&amp;ROW()-7)-1)*100, "")</f>
        <v>0</v>
      </c>
      <c r="H225" s="4" cm="1">
        <f t="array" aca="1" ref="H225" ca="1">IF(ROW()&gt;7, (D225/INDIRECT("D"&amp;ROW()-7)-1)*100, "")</f>
        <v>0</v>
      </c>
      <c r="I225" s="4" cm="1">
        <f t="array" aca="1" ref="I225" ca="1">IF(ROW()&gt;7, (E225/INDIRECT("E"&amp;ROW()-7)-1)*100, "")</f>
        <v>0</v>
      </c>
      <c r="J225" s="4" cm="1">
        <f t="array" aca="1" ref="J225" ca="1">IF(ROW()&gt;7, (F225/INDIRECT("F"&amp;ROW()-7)-1)*100, "")</f>
        <v>0</v>
      </c>
      <c r="K225">
        <f t="shared" ca="1" si="6"/>
        <v>0</v>
      </c>
      <c r="L225">
        <f t="shared" ca="1" si="7"/>
        <v>0</v>
      </c>
    </row>
    <row r="226" spans="2:12" x14ac:dyDescent="0.35">
      <c r="B226" s="3">
        <v>43689</v>
      </c>
      <c r="C226" s="4">
        <v>7427330</v>
      </c>
      <c r="D226" s="4">
        <v>5570497</v>
      </c>
      <c r="E226" s="4">
        <v>2269462</v>
      </c>
      <c r="F226" s="4">
        <v>5364183</v>
      </c>
      <c r="G226" s="4" cm="1">
        <f t="array" aca="1" ref="G226" ca="1">IF(ROW()&gt;7, (C226/INDIRECT("C"&amp;ROW()-7)-1)*100, "")</f>
        <v>-7.7669860715337213</v>
      </c>
      <c r="H226" s="4" cm="1">
        <f t="array" aca="1" ref="H226" ca="1">IF(ROW()&gt;7, (D226/INDIRECT("D"&amp;ROW()-7)-1)*100, "")</f>
        <v>-7.766998168088179</v>
      </c>
      <c r="I226" s="4" cm="1">
        <f t="array" aca="1" ref="I226" ca="1">IF(ROW()&gt;7, (E226/INDIRECT("E"&amp;ROW()-7)-1)*100, "")</f>
        <v>-7.7669681952259868</v>
      </c>
      <c r="J226" s="4" cm="1">
        <f t="array" aca="1" ref="J226" ca="1">IF(ROW()&gt;7, (F226/INDIRECT("F"&amp;ROW()-7)-1)*100, "")</f>
        <v>-7.7669796074659398</v>
      </c>
      <c r="K226">
        <f t="shared" ca="1" si="6"/>
        <v>7427330</v>
      </c>
      <c r="L226" t="str">
        <f t="shared" ca="1" si="7"/>
        <v>Facebook</v>
      </c>
    </row>
    <row r="227" spans="2:12" x14ac:dyDescent="0.35">
      <c r="B227" s="3">
        <v>43690</v>
      </c>
      <c r="C227" s="4">
        <v>7505512</v>
      </c>
      <c r="D227" s="4">
        <v>5629134</v>
      </c>
      <c r="E227" s="4">
        <v>2293351</v>
      </c>
      <c r="F227" s="4">
        <v>5420648</v>
      </c>
      <c r="G227" s="4" cm="1">
        <f t="array" aca="1" ref="G227" ca="1">IF(ROW()&gt;7, (C227/INDIRECT("C"&amp;ROW()-7)-1)*100, "")</f>
        <v>-7.6923152607092931</v>
      </c>
      <c r="H227" s="4" cm="1">
        <f t="array" aca="1" ref="H227" ca="1">IF(ROW()&gt;7, (D227/INDIRECT("D"&amp;ROW()-7)-1)*100, "")</f>
        <v>-7.6923152607092931</v>
      </c>
      <c r="I227" s="4" cm="1">
        <f t="array" aca="1" ref="I227" ca="1">IF(ROW()&gt;7, (E227/INDIRECT("E"&amp;ROW()-7)-1)*100, "")</f>
        <v>-7.6922860191518279</v>
      </c>
      <c r="J227" s="4" cm="1">
        <f t="array" aca="1" ref="J227" ca="1">IF(ROW()&gt;7, (F227/INDIRECT("F"&amp;ROW()-7)-1)*100, "")</f>
        <v>-7.6922972129812024</v>
      </c>
      <c r="K227">
        <f t="shared" ca="1" si="6"/>
        <v>7505512</v>
      </c>
      <c r="L227" t="str">
        <f t="shared" ca="1" si="7"/>
        <v>Facebook</v>
      </c>
    </row>
    <row r="228" spans="2:12" x14ac:dyDescent="0.35">
      <c r="B228" s="3">
        <v>43691</v>
      </c>
      <c r="C228" s="4">
        <v>8130972</v>
      </c>
      <c r="D228" s="4">
        <v>6098229</v>
      </c>
      <c r="E228" s="4">
        <v>2484463</v>
      </c>
      <c r="F228" s="4">
        <v>5872368</v>
      </c>
      <c r="G228" s="4" cm="1">
        <f t="array" aca="1" ref="G228" ca="1">IF(ROW()&gt;7, (C228/INDIRECT("C"&amp;ROW()-7)-1)*100, "")</f>
        <v>0</v>
      </c>
      <c r="H228" s="4" cm="1">
        <f t="array" aca="1" ref="H228" ca="1">IF(ROW()&gt;7, (D228/INDIRECT("D"&amp;ROW()-7)-1)*100, "")</f>
        <v>0</v>
      </c>
      <c r="I228" s="4" cm="1">
        <f t="array" aca="1" ref="I228" ca="1">IF(ROW()&gt;7, (E228/INDIRECT("E"&amp;ROW()-7)-1)*100, "")</f>
        <v>0</v>
      </c>
      <c r="J228" s="4" cm="1">
        <f t="array" aca="1" ref="J228" ca="1">IF(ROW()&gt;7, (F228/INDIRECT("F"&amp;ROW()-7)-1)*100, "")</f>
        <v>0</v>
      </c>
      <c r="K228">
        <f t="shared" ca="1" si="6"/>
        <v>0</v>
      </c>
      <c r="L228">
        <f t="shared" ca="1" si="7"/>
        <v>0</v>
      </c>
    </row>
    <row r="229" spans="2:12" x14ac:dyDescent="0.35">
      <c r="B229" s="3">
        <v>43692</v>
      </c>
      <c r="C229" s="4">
        <v>7896424</v>
      </c>
      <c r="D229" s="4">
        <v>5922318</v>
      </c>
      <c r="E229" s="4">
        <v>2412796</v>
      </c>
      <c r="F229" s="4">
        <v>5702973</v>
      </c>
      <c r="G229" s="4" cm="1">
        <f t="array" aca="1" ref="G229" ca="1">IF(ROW()&gt;7, (C229/INDIRECT("C"&amp;ROW()-7)-1)*100, "")</f>
        <v>5.2083322230382256</v>
      </c>
      <c r="H229" s="4" cm="1">
        <f t="array" aca="1" ref="H229" ca="1">IF(ROW()&gt;7, (D229/INDIRECT("D"&amp;ROW()-7)-1)*100, "")</f>
        <v>5.2083322230382256</v>
      </c>
      <c r="I229" s="4" cm="1">
        <f t="array" aca="1" ref="I229" ca="1">IF(ROW()&gt;7, (E229/INDIRECT("E"&amp;ROW()-7)-1)*100, "")</f>
        <v>5.2083174359267348</v>
      </c>
      <c r="J229" s="4" cm="1">
        <f t="array" aca="1" ref="J229" ca="1">IF(ROW()&gt;7, (F229/INDIRECT("F"&amp;ROW()-7)-1)*100, "")</f>
        <v>5.2083256466754602</v>
      </c>
      <c r="K229">
        <f t="shared" ca="1" si="6"/>
        <v>7896424</v>
      </c>
      <c r="L229" t="str">
        <f t="shared" ca="1" si="7"/>
        <v>Facebook</v>
      </c>
    </row>
    <row r="230" spans="2:12" x14ac:dyDescent="0.35">
      <c r="B230" s="3">
        <v>43693</v>
      </c>
      <c r="C230" s="4">
        <v>7661877</v>
      </c>
      <c r="D230" s="4">
        <v>5746408</v>
      </c>
      <c r="E230" s="4">
        <v>2341129</v>
      </c>
      <c r="F230" s="4">
        <v>5533578</v>
      </c>
      <c r="G230" s="4" cm="1">
        <f t="array" aca="1" ref="G230" ca="1">IF(ROW()&gt;7, (C230/INDIRECT("C"&amp;ROW()-7)-1)*100, "")</f>
        <v>-5.7692364455319778</v>
      </c>
      <c r="H230" s="4" cm="1">
        <f t="array" aca="1" ref="H230" ca="1">IF(ROW()&gt;7, (D230/INDIRECT("D"&amp;ROW()-7)-1)*100, "")</f>
        <v>-5.7692323459811012</v>
      </c>
      <c r="I230" s="4" cm="1">
        <f t="array" aca="1" ref="I230" ca="1">IF(ROW()&gt;7, (E230/INDIRECT("E"&amp;ROW()-7)-1)*100, "")</f>
        <v>-5.769214514363874</v>
      </c>
      <c r="J230" s="4" cm="1">
        <f t="array" aca="1" ref="J230" ca="1">IF(ROW()&gt;7, (F230/INDIRECT("F"&amp;ROW()-7)-1)*100, "")</f>
        <v>-5.7692229097359053</v>
      </c>
      <c r="K230">
        <f t="shared" ca="1" si="6"/>
        <v>7661877</v>
      </c>
      <c r="L230" t="str">
        <f t="shared" ca="1" si="7"/>
        <v>Facebook</v>
      </c>
    </row>
    <row r="231" spans="2:12" x14ac:dyDescent="0.35">
      <c r="B231" s="3">
        <v>43694</v>
      </c>
      <c r="C231" s="4">
        <v>16806722</v>
      </c>
      <c r="D231" s="4">
        <v>12605042</v>
      </c>
      <c r="E231" s="4">
        <v>5135387</v>
      </c>
      <c r="F231" s="4">
        <v>12138188</v>
      </c>
      <c r="G231" s="4" cm="1">
        <f t="array" aca="1" ref="G231" ca="1">IF(ROW()&gt;7, (C231/INDIRECT("C"&amp;ROW()-7)-1)*100, "")</f>
        <v>0</v>
      </c>
      <c r="H231" s="4" cm="1">
        <f t="array" aca="1" ref="H231" ca="1">IF(ROW()&gt;7, (D231/INDIRECT("D"&amp;ROW()-7)-1)*100, "")</f>
        <v>0</v>
      </c>
      <c r="I231" s="4" cm="1">
        <f t="array" aca="1" ref="I231" ca="1">IF(ROW()&gt;7, (E231/INDIRECT("E"&amp;ROW()-7)-1)*100, "")</f>
        <v>0</v>
      </c>
      <c r="J231" s="4" cm="1">
        <f t="array" aca="1" ref="J231" ca="1">IF(ROW()&gt;7, (F231/INDIRECT("F"&amp;ROW()-7)-1)*100, "")</f>
        <v>0</v>
      </c>
      <c r="K231">
        <f t="shared" ca="1" si="6"/>
        <v>0</v>
      </c>
      <c r="L231">
        <f t="shared" ca="1" si="7"/>
        <v>0</v>
      </c>
    </row>
    <row r="232" spans="2:12" x14ac:dyDescent="0.35">
      <c r="B232" s="3">
        <v>43695</v>
      </c>
      <c r="C232" s="4">
        <v>16321913</v>
      </c>
      <c r="D232" s="4">
        <v>12241435</v>
      </c>
      <c r="E232" s="4">
        <v>4987251</v>
      </c>
      <c r="F232" s="4">
        <v>11788048</v>
      </c>
      <c r="G232" s="4" cm="1">
        <f t="array" aca="1" ref="G232" ca="1">IF(ROW()&gt;7, (C232/INDIRECT("C"&amp;ROW()-7)-1)*100, "")</f>
        <v>3.0612225568513063</v>
      </c>
      <c r="H232" s="4" cm="1">
        <f t="array" aca="1" ref="H232" ca="1">IF(ROW()&gt;7, (D232/INDIRECT("D"&amp;ROW()-7)-1)*100, "")</f>
        <v>3.0612246616132266</v>
      </c>
      <c r="I232" s="4" cm="1">
        <f t="array" aca="1" ref="I232" ca="1">IF(ROW()&gt;7, (E232/INDIRECT("E"&amp;ROW()-7)-1)*100, "")</f>
        <v>3.0612209050621786</v>
      </c>
      <c r="J232" s="4" cm="1">
        <f t="array" aca="1" ref="J232" ca="1">IF(ROW()&gt;7, (F232/INDIRECT("F"&amp;ROW()-7)-1)*100, "")</f>
        <v>3.0612241329445844</v>
      </c>
      <c r="K232">
        <f t="shared" ca="1" si="6"/>
        <v>16321913</v>
      </c>
      <c r="L232" t="str">
        <f t="shared" ca="1" si="7"/>
        <v>Facebook</v>
      </c>
    </row>
    <row r="233" spans="2:12" x14ac:dyDescent="0.35">
      <c r="B233" s="3">
        <v>43696</v>
      </c>
      <c r="C233" s="4">
        <v>7583695</v>
      </c>
      <c r="D233" s="4">
        <v>5687771</v>
      </c>
      <c r="E233" s="4">
        <v>2317240</v>
      </c>
      <c r="F233" s="4">
        <v>5477113</v>
      </c>
      <c r="G233" s="4" cm="1">
        <f t="array" aca="1" ref="G233" ca="1">IF(ROW()&gt;7, (C233/INDIRECT("C"&amp;ROW()-7)-1)*100, "")</f>
        <v>2.1052652837560748</v>
      </c>
      <c r="H233" s="4" cm="1">
        <f t="array" aca="1" ref="H233" ca="1">IF(ROW()&gt;7, (D233/INDIRECT("D"&amp;ROW()-7)-1)*100, "")</f>
        <v>2.1052699606516345</v>
      </c>
      <c r="I233" s="4" cm="1">
        <f t="array" aca="1" ref="I233" ca="1">IF(ROW()&gt;7, (E233/INDIRECT("E"&amp;ROW()-7)-1)*100, "")</f>
        <v>2.1052566643548154</v>
      </c>
      <c r="J233" s="4" cm="1">
        <f t="array" aca="1" ref="J233" ca="1">IF(ROW()&gt;7, (F233/INDIRECT("F"&amp;ROW()-7)-1)*100, "")</f>
        <v>2.1052600181612036</v>
      </c>
      <c r="K233">
        <f t="shared" ca="1" si="6"/>
        <v>7583695</v>
      </c>
      <c r="L233" t="str">
        <f t="shared" ca="1" si="7"/>
        <v>Facebook</v>
      </c>
    </row>
    <row r="234" spans="2:12" x14ac:dyDescent="0.35">
      <c r="B234" s="3">
        <v>43697</v>
      </c>
      <c r="C234" s="4">
        <v>7896424</v>
      </c>
      <c r="D234" s="4">
        <v>5922318</v>
      </c>
      <c r="E234" s="4">
        <v>2412796</v>
      </c>
      <c r="F234" s="4">
        <v>5702973</v>
      </c>
      <c r="G234" s="4" cm="1">
        <f t="array" aca="1" ref="G234" ca="1">IF(ROW()&gt;7, (C234/INDIRECT("C"&amp;ROW()-7)-1)*100, "")</f>
        <v>5.2083322230382256</v>
      </c>
      <c r="H234" s="4" cm="1">
        <f t="array" aca="1" ref="H234" ca="1">IF(ROW()&gt;7, (D234/INDIRECT("D"&amp;ROW()-7)-1)*100, "")</f>
        <v>5.2083322230382256</v>
      </c>
      <c r="I234" s="4" cm="1">
        <f t="array" aca="1" ref="I234" ca="1">IF(ROW()&gt;7, (E234/INDIRECT("E"&amp;ROW()-7)-1)*100, "")</f>
        <v>5.2083174359267348</v>
      </c>
      <c r="J234" s="4" cm="1">
        <f t="array" aca="1" ref="J234" ca="1">IF(ROW()&gt;7, (F234/INDIRECT("F"&amp;ROW()-7)-1)*100, "")</f>
        <v>5.2083256466754602</v>
      </c>
      <c r="K234">
        <f t="shared" ca="1" si="6"/>
        <v>7896424</v>
      </c>
      <c r="L234" t="str">
        <f t="shared" ca="1" si="7"/>
        <v>Facebook</v>
      </c>
    </row>
    <row r="235" spans="2:12" x14ac:dyDescent="0.35">
      <c r="B235" s="3">
        <v>43698</v>
      </c>
      <c r="C235" s="4">
        <v>8052789</v>
      </c>
      <c r="D235" s="4">
        <v>6039592</v>
      </c>
      <c r="E235" s="4">
        <v>2460574</v>
      </c>
      <c r="F235" s="4">
        <v>5815903</v>
      </c>
      <c r="G235" s="4" cm="1">
        <f t="array" aca="1" ref="G235" ca="1">IF(ROW()&gt;7, (C235/INDIRECT("C"&amp;ROW()-7)-1)*100, "")</f>
        <v>-0.96154555691496668</v>
      </c>
      <c r="H235" s="4" cm="1">
        <f t="array" aca="1" ref="H235" ca="1">IF(ROW()&gt;7, (D235/INDIRECT("D"&amp;ROW()-7)-1)*100, "")</f>
        <v>-0.96154145736410124</v>
      </c>
      <c r="I235" s="4" cm="1">
        <f t="array" aca="1" ref="I235" ca="1">IF(ROW()&gt;7, (E235/INDIRECT("E"&amp;ROW()-7)-1)*100, "")</f>
        <v>-0.9615357523939827</v>
      </c>
      <c r="J235" s="4" cm="1">
        <f t="array" aca="1" ref="J235" ca="1">IF(ROW()&gt;7, (F235/INDIRECT("F"&amp;ROW()-7)-1)*100, "")</f>
        <v>-0.96153715162264897</v>
      </c>
      <c r="K235">
        <f t="shared" ca="1" si="6"/>
        <v>8052789</v>
      </c>
      <c r="L235" t="str">
        <f t="shared" ca="1" si="7"/>
        <v>Facebook</v>
      </c>
    </row>
    <row r="236" spans="2:12" x14ac:dyDescent="0.35">
      <c r="B236" s="3">
        <v>43699</v>
      </c>
      <c r="C236" s="4">
        <v>7896424</v>
      </c>
      <c r="D236" s="4">
        <v>5922318</v>
      </c>
      <c r="E236" s="4">
        <v>2412796</v>
      </c>
      <c r="F236" s="4">
        <v>5702973</v>
      </c>
      <c r="G236" s="4" cm="1">
        <f t="array" aca="1" ref="G236" ca="1">IF(ROW()&gt;7, (C236/INDIRECT("C"&amp;ROW()-7)-1)*100, "")</f>
        <v>0</v>
      </c>
      <c r="H236" s="4" cm="1">
        <f t="array" aca="1" ref="H236" ca="1">IF(ROW()&gt;7, (D236/INDIRECT("D"&amp;ROW()-7)-1)*100, "")</f>
        <v>0</v>
      </c>
      <c r="I236" s="4" cm="1">
        <f t="array" aca="1" ref="I236" ca="1">IF(ROW()&gt;7, (E236/INDIRECT("E"&amp;ROW()-7)-1)*100, "")</f>
        <v>0</v>
      </c>
      <c r="J236" s="4" cm="1">
        <f t="array" aca="1" ref="J236" ca="1">IF(ROW()&gt;7, (F236/INDIRECT("F"&amp;ROW()-7)-1)*100, "")</f>
        <v>0</v>
      </c>
      <c r="K236">
        <f t="shared" ca="1" si="6"/>
        <v>0</v>
      </c>
      <c r="L236">
        <f t="shared" ca="1" si="7"/>
        <v>0</v>
      </c>
    </row>
    <row r="237" spans="2:12" x14ac:dyDescent="0.35">
      <c r="B237" s="3">
        <v>43700</v>
      </c>
      <c r="C237" s="4">
        <v>7505512</v>
      </c>
      <c r="D237" s="4">
        <v>5629134</v>
      </c>
      <c r="E237" s="4">
        <v>2293351</v>
      </c>
      <c r="F237" s="4">
        <v>5420648</v>
      </c>
      <c r="G237" s="4" cm="1">
        <f t="array" aca="1" ref="G237" ca="1">IF(ROW()&gt;7, (C237/INDIRECT("C"&amp;ROW()-7)-1)*100, "")</f>
        <v>-2.0408184574093213</v>
      </c>
      <c r="H237" s="4" cm="1">
        <f t="array" aca="1" ref="H237" ca="1">IF(ROW()&gt;7, (D237/INDIRECT("D"&amp;ROW()-7)-1)*100, "")</f>
        <v>-2.0408227191664796</v>
      </c>
      <c r="I237" s="4" cm="1">
        <f t="array" aca="1" ref="I237" ca="1">IF(ROW()&gt;7, (E237/INDIRECT("E"&amp;ROW()-7)-1)*100, "")</f>
        <v>-2.0408102244686255</v>
      </c>
      <c r="J237" s="4" cm="1">
        <f t="array" aca="1" ref="J237" ca="1">IF(ROW()&gt;7, (F237/INDIRECT("F"&amp;ROW()-7)-1)*100, "")</f>
        <v>-2.0408133760832503</v>
      </c>
      <c r="K237">
        <f t="shared" ca="1" si="6"/>
        <v>7505512</v>
      </c>
      <c r="L237" t="str">
        <f t="shared" ca="1" si="7"/>
        <v>Facebook</v>
      </c>
    </row>
    <row r="238" spans="2:12" x14ac:dyDescent="0.35">
      <c r="B238" s="3">
        <v>43701</v>
      </c>
      <c r="C238" s="4">
        <v>15513897</v>
      </c>
      <c r="D238" s="4">
        <v>11635423</v>
      </c>
      <c r="E238" s="4">
        <v>4740357</v>
      </c>
      <c r="F238" s="4">
        <v>11204481</v>
      </c>
      <c r="G238" s="4" cm="1">
        <f t="array" aca="1" ref="G238" ca="1">IF(ROW()&gt;7, (C238/INDIRECT("C"&amp;ROW()-7)-1)*100, "")</f>
        <v>-7.6923090653846726</v>
      </c>
      <c r="H238" s="4" cm="1">
        <f t="array" aca="1" ref="H238" ca="1">IF(ROW()&gt;7, (D238/INDIRECT("D"&amp;ROW()-7)-1)*100, "")</f>
        <v>-7.6923107435897471</v>
      </c>
      <c r="I238" s="4" cm="1">
        <f t="array" aca="1" ref="I238" ca="1">IF(ROW()&gt;7, (E238/INDIRECT("E"&amp;ROW()-7)-1)*100, "")</f>
        <v>-7.6923121860144157</v>
      </c>
      <c r="J238" s="4" cm="1">
        <f t="array" aca="1" ref="J238" ca="1">IF(ROW()&gt;7, (F238/INDIRECT("F"&amp;ROW()-7)-1)*100, "")</f>
        <v>-7.6923095934912205</v>
      </c>
      <c r="K238">
        <f t="shared" ca="1" si="6"/>
        <v>15513897</v>
      </c>
      <c r="L238" t="str">
        <f t="shared" ca="1" si="7"/>
        <v>Facebook</v>
      </c>
    </row>
    <row r="239" spans="2:12" x14ac:dyDescent="0.35">
      <c r="B239" s="3">
        <v>43702</v>
      </c>
      <c r="C239" s="4">
        <v>15998707</v>
      </c>
      <c r="D239" s="4">
        <v>11999030</v>
      </c>
      <c r="E239" s="4">
        <v>4888493</v>
      </c>
      <c r="F239" s="4">
        <v>11554621</v>
      </c>
      <c r="G239" s="4" cm="1">
        <f t="array" aca="1" ref="G239" ca="1">IF(ROW()&gt;7, (C239/INDIRECT("C"&amp;ROW()-7)-1)*100, "")</f>
        <v>-1.9801968065875641</v>
      </c>
      <c r="H239" s="4" cm="1">
        <f t="array" aca="1" ref="H239" ca="1">IF(ROW()&gt;7, (D239/INDIRECT("D"&amp;ROW()-7)-1)*100, "")</f>
        <v>-1.9802008506355717</v>
      </c>
      <c r="I239" s="4" cm="1">
        <f t="array" aca="1" ref="I239" ca="1">IF(ROW()&gt;7, (E239/INDIRECT("E"&amp;ROW()-7)-1)*100, "")</f>
        <v>-1.980209137258182</v>
      </c>
      <c r="J239" s="4" cm="1">
        <f t="array" aca="1" ref="J239" ca="1">IF(ROW()&gt;7, (F239/INDIRECT("F"&amp;ROW()-7)-1)*100, "")</f>
        <v>-1.980200623546835</v>
      </c>
      <c r="K239">
        <f t="shared" ca="1" si="6"/>
        <v>15998707</v>
      </c>
      <c r="L239" t="str">
        <f t="shared" ca="1" si="7"/>
        <v>Facebook</v>
      </c>
    </row>
    <row r="240" spans="2:12" x14ac:dyDescent="0.35">
      <c r="B240" s="3">
        <v>43703</v>
      </c>
      <c r="C240" s="4">
        <v>8052789</v>
      </c>
      <c r="D240" s="4">
        <v>6039592</v>
      </c>
      <c r="E240" s="4">
        <v>2460574</v>
      </c>
      <c r="F240" s="4">
        <v>5815903</v>
      </c>
      <c r="G240" s="4" cm="1">
        <f t="array" aca="1" ref="G240" ca="1">IF(ROW()&gt;7, (C240/INDIRECT("C"&amp;ROW()-7)-1)*100, "")</f>
        <v>6.1855599414269768</v>
      </c>
      <c r="H240" s="4" cm="1">
        <f t="array" aca="1" ref="H240" ca="1">IF(ROW()&gt;7, (D240/INDIRECT("D"&amp;ROW()-7)-1)*100, "")</f>
        <v>6.1855690040966804</v>
      </c>
      <c r="I240" s="4" cm="1">
        <f t="array" aca="1" ref="I240" ca="1">IF(ROW()&gt;7, (E240/INDIRECT("E"&amp;ROW()-7)-1)*100, "")</f>
        <v>6.1855483247311493</v>
      </c>
      <c r="J240" s="4" cm="1">
        <f t="array" aca="1" ref="J240" ca="1">IF(ROW()&gt;7, (F240/INDIRECT("F"&amp;ROW()-7)-1)*100, "")</f>
        <v>6.1855579755246914</v>
      </c>
      <c r="K240">
        <f t="shared" ca="1" si="6"/>
        <v>8052789</v>
      </c>
      <c r="L240" t="str">
        <f t="shared" ca="1" si="7"/>
        <v>Facebook</v>
      </c>
    </row>
    <row r="241" spans="2:12" x14ac:dyDescent="0.35">
      <c r="B241" s="3">
        <v>43704</v>
      </c>
      <c r="C241" s="4">
        <v>7505512</v>
      </c>
      <c r="D241" s="4">
        <v>5629134</v>
      </c>
      <c r="E241" s="4">
        <v>2293351</v>
      </c>
      <c r="F241" s="4">
        <v>5420648</v>
      </c>
      <c r="G241" s="4" cm="1">
        <f t="array" aca="1" ref="G241" ca="1">IF(ROW()&gt;7, (C241/INDIRECT("C"&amp;ROW()-7)-1)*100, "")</f>
        <v>-4.9504940464189851</v>
      </c>
      <c r="H241" s="4" cm="1">
        <f t="array" aca="1" ref="H241" ca="1">IF(ROW()&gt;7, (D241/INDIRECT("D"&amp;ROW()-7)-1)*100, "")</f>
        <v>-4.9504940464189851</v>
      </c>
      <c r="I241" s="4" cm="1">
        <f t="array" aca="1" ref="I241" ca="1">IF(ROW()&gt;7, (E241/INDIRECT("E"&amp;ROW()-7)-1)*100, "")</f>
        <v>-4.950480687136416</v>
      </c>
      <c r="J241" s="4" cm="1">
        <f t="array" aca="1" ref="J241" ca="1">IF(ROW()&gt;7, (F241/INDIRECT("F"&amp;ROW()-7)-1)*100, "")</f>
        <v>-4.9504881050637994</v>
      </c>
      <c r="K241">
        <f t="shared" ca="1" si="6"/>
        <v>7505512</v>
      </c>
      <c r="L241" t="str">
        <f t="shared" ca="1" si="7"/>
        <v>Facebook</v>
      </c>
    </row>
    <row r="242" spans="2:12" x14ac:dyDescent="0.35">
      <c r="B242" s="3">
        <v>43705</v>
      </c>
      <c r="C242" s="4">
        <v>7896424</v>
      </c>
      <c r="D242" s="4">
        <v>5922318</v>
      </c>
      <c r="E242" s="4">
        <v>2412796</v>
      </c>
      <c r="F242" s="4">
        <v>5702973</v>
      </c>
      <c r="G242" s="4" cm="1">
        <f t="array" aca="1" ref="G242" ca="1">IF(ROW()&gt;7, (C242/INDIRECT("C"&amp;ROW()-7)-1)*100, "")</f>
        <v>-1.9417496223979036</v>
      </c>
      <c r="H242" s="4" cm="1">
        <f t="array" aca="1" ref="H242" ca="1">IF(ROW()&gt;7, (D242/INDIRECT("D"&amp;ROW()-7)-1)*100, "")</f>
        <v>-1.9417536813745029</v>
      </c>
      <c r="I242" s="4" cm="1">
        <f t="array" aca="1" ref="I242" ca="1">IF(ROW()&gt;7, (E242/INDIRECT("E"&amp;ROW()-7)-1)*100, "")</f>
        <v>-1.941742048806494</v>
      </c>
      <c r="J242" s="4" cm="1">
        <f t="array" aca="1" ref="J242" ca="1">IF(ROW()&gt;7, (F242/INDIRECT("F"&amp;ROW()-7)-1)*100, "")</f>
        <v>-1.9417449018664823</v>
      </c>
      <c r="K242">
        <f t="shared" ca="1" si="6"/>
        <v>7896424</v>
      </c>
      <c r="L242" t="str">
        <f t="shared" ca="1" si="7"/>
        <v>Facebook</v>
      </c>
    </row>
    <row r="243" spans="2:12" x14ac:dyDescent="0.35">
      <c r="B243" s="3">
        <v>43706</v>
      </c>
      <c r="C243" s="4">
        <v>7661877</v>
      </c>
      <c r="D243" s="4">
        <v>5746408</v>
      </c>
      <c r="E243" s="4">
        <v>2341129</v>
      </c>
      <c r="F243" s="4">
        <v>5533578</v>
      </c>
      <c r="G243" s="4" cm="1">
        <f t="array" aca="1" ref="G243" ca="1">IF(ROW()&gt;7, (C243/INDIRECT("C"&amp;ROW()-7)-1)*100, "")</f>
        <v>-2.9702938950593283</v>
      </c>
      <c r="H243" s="4" cm="1">
        <f t="array" aca="1" ref="H243" ca="1">IF(ROW()&gt;7, (D243/INDIRECT("D"&amp;ROW()-7)-1)*100, "")</f>
        <v>-2.9702896737392348</v>
      </c>
      <c r="I243" s="4" cm="1">
        <f t="array" aca="1" ref="I243" ca="1">IF(ROW()&gt;7, (E243/INDIRECT("E"&amp;ROW()-7)-1)*100, "")</f>
        <v>-2.9702884122818518</v>
      </c>
      <c r="J243" s="4" cm="1">
        <f t="array" aca="1" ref="J243" ca="1">IF(ROW()&gt;7, (F243/INDIRECT("F"&amp;ROW()-7)-1)*100, "")</f>
        <v>-2.9702928630382819</v>
      </c>
      <c r="K243">
        <f t="shared" ca="1" si="6"/>
        <v>7661877</v>
      </c>
      <c r="L243" t="str">
        <f t="shared" ca="1" si="7"/>
        <v>Facebook</v>
      </c>
    </row>
    <row r="244" spans="2:12" x14ac:dyDescent="0.35">
      <c r="B244" s="3">
        <v>43707</v>
      </c>
      <c r="C244" s="4">
        <v>7896424</v>
      </c>
      <c r="D244" s="4">
        <v>5922318</v>
      </c>
      <c r="E244" s="4">
        <v>2412796</v>
      </c>
      <c r="F244" s="4">
        <v>5702973</v>
      </c>
      <c r="G244" s="4" cm="1">
        <f t="array" aca="1" ref="G244" ca="1">IF(ROW()&gt;7, (C244/INDIRECT("C"&amp;ROW()-7)-1)*100, "")</f>
        <v>5.2083322230382256</v>
      </c>
      <c r="H244" s="4" cm="1">
        <f t="array" aca="1" ref="H244" ca="1">IF(ROW()&gt;7, (D244/INDIRECT("D"&amp;ROW()-7)-1)*100, "")</f>
        <v>5.2083322230382256</v>
      </c>
      <c r="I244" s="4" cm="1">
        <f t="array" aca="1" ref="I244" ca="1">IF(ROW()&gt;7, (E244/INDIRECT("E"&amp;ROW()-7)-1)*100, "")</f>
        <v>5.2083174359267348</v>
      </c>
      <c r="J244" s="4" cm="1">
        <f t="array" aca="1" ref="J244" ca="1">IF(ROW()&gt;7, (F244/INDIRECT("F"&amp;ROW()-7)-1)*100, "")</f>
        <v>5.2083256466754602</v>
      </c>
      <c r="K244">
        <f t="shared" ca="1" si="6"/>
        <v>7896424</v>
      </c>
      <c r="L244" t="str">
        <f t="shared" ca="1" si="7"/>
        <v>Facebook</v>
      </c>
    </row>
    <row r="245" spans="2:12" x14ac:dyDescent="0.35">
      <c r="B245" s="3">
        <v>43708</v>
      </c>
      <c r="C245" s="4">
        <v>16321913</v>
      </c>
      <c r="D245" s="4">
        <v>12241435</v>
      </c>
      <c r="E245" s="4">
        <v>4987251</v>
      </c>
      <c r="F245" s="4">
        <v>11788048</v>
      </c>
      <c r="G245" s="4" cm="1">
        <f t="array" aca="1" ref="G245" ca="1">IF(ROW()&gt;7, (C245/INDIRECT("C"&amp;ROW()-7)-1)*100, "")</f>
        <v>5.2083367576824857</v>
      </c>
      <c r="H245" s="4" cm="1">
        <f t="array" aca="1" ref="H245" ca="1">IF(ROW()&gt;7, (D245/INDIRECT("D"&amp;ROW()-7)-1)*100, "")</f>
        <v>5.2083366457755798</v>
      </c>
      <c r="I245" s="4" cm="1">
        <f t="array" aca="1" ref="I245" ca="1">IF(ROW()&gt;7, (E245/INDIRECT("E"&amp;ROW()-7)-1)*100, "")</f>
        <v>5.2083419033629674</v>
      </c>
      <c r="J245" s="4" cm="1">
        <f t="array" aca="1" ref="J245" ca="1">IF(ROW()&gt;7, (F245/INDIRECT("F"&amp;ROW()-7)-1)*100, "")</f>
        <v>5.2083358434897642</v>
      </c>
      <c r="K245">
        <f t="shared" ca="1" si="6"/>
        <v>16321913</v>
      </c>
      <c r="L245" t="str">
        <f t="shared" ca="1" si="7"/>
        <v>Facebook</v>
      </c>
    </row>
    <row r="246" spans="2:12" x14ac:dyDescent="0.35">
      <c r="B246" s="3">
        <v>43709</v>
      </c>
      <c r="C246" s="4">
        <v>15352294</v>
      </c>
      <c r="D246" s="4">
        <v>11514221</v>
      </c>
      <c r="E246" s="4">
        <v>4690978</v>
      </c>
      <c r="F246" s="4">
        <v>11087768</v>
      </c>
      <c r="G246" s="4" cm="1">
        <f t="array" aca="1" ref="G246" ca="1">IF(ROW()&gt;7, (C246/INDIRECT("C"&amp;ROW()-7)-1)*100, "")</f>
        <v>-4.0404077654525477</v>
      </c>
      <c r="H246" s="4" cm="1">
        <f t="array" aca="1" ref="H246" ca="1">IF(ROW()&gt;7, (D246/INDIRECT("D"&amp;ROW()-7)-1)*100, "")</f>
        <v>-4.0404015991292619</v>
      </c>
      <c r="I246" s="4" cm="1">
        <f t="array" aca="1" ref="I246" ca="1">IF(ROW()&gt;7, (E246/INDIRECT("E"&amp;ROW()-7)-1)*100, "")</f>
        <v>-4.0404067265719767</v>
      </c>
      <c r="J246" s="4" cm="1">
        <f t="array" aca="1" ref="J246" ca="1">IF(ROW()&gt;7, (F246/INDIRECT("F"&amp;ROW()-7)-1)*100, "")</f>
        <v>-4.0404008058767094</v>
      </c>
      <c r="K246">
        <f t="shared" ca="1" si="6"/>
        <v>15352294</v>
      </c>
      <c r="L246" t="str">
        <f t="shared" ca="1" si="7"/>
        <v>Facebook</v>
      </c>
    </row>
    <row r="247" spans="2:12" x14ac:dyDescent="0.35">
      <c r="B247" s="3">
        <v>43710</v>
      </c>
      <c r="C247" s="4">
        <v>8209154</v>
      </c>
      <c r="D247" s="4">
        <v>6156866</v>
      </c>
      <c r="E247" s="4">
        <v>2508352</v>
      </c>
      <c r="F247" s="4">
        <v>5928833</v>
      </c>
      <c r="G247" s="4" cm="1">
        <f t="array" aca="1" ref="G247" ca="1">IF(ROW()&gt;7, (C247/INDIRECT("C"&amp;ROW()-7)-1)*100, "")</f>
        <v>1.9417496223979036</v>
      </c>
      <c r="H247" s="4" cm="1">
        <f t="array" aca="1" ref="H247" ca="1">IF(ROW()&gt;7, (D247/INDIRECT("D"&amp;ROW()-7)-1)*100, "")</f>
        <v>1.9417536813745029</v>
      </c>
      <c r="I247" s="4" cm="1">
        <f t="array" aca="1" ref="I247" ca="1">IF(ROW()&gt;7, (E247/INDIRECT("E"&amp;ROW()-7)-1)*100, "")</f>
        <v>1.9417420488065051</v>
      </c>
      <c r="J247" s="4" cm="1">
        <f t="array" aca="1" ref="J247" ca="1">IF(ROW()&gt;7, (F247/INDIRECT("F"&amp;ROW()-7)-1)*100, "")</f>
        <v>1.9417449018664934</v>
      </c>
      <c r="K247">
        <f t="shared" ca="1" si="6"/>
        <v>8209154</v>
      </c>
      <c r="L247" t="str">
        <f t="shared" ca="1" si="7"/>
        <v>Facebook</v>
      </c>
    </row>
    <row r="248" spans="2:12" x14ac:dyDescent="0.35">
      <c r="B248" s="3">
        <v>43711</v>
      </c>
      <c r="C248" s="4">
        <v>8130972</v>
      </c>
      <c r="D248" s="4">
        <v>6098229</v>
      </c>
      <c r="E248" s="4">
        <v>2484463</v>
      </c>
      <c r="F248" s="4">
        <v>5872368</v>
      </c>
      <c r="G248" s="4" cm="1">
        <f t="array" aca="1" ref="G248" ca="1">IF(ROW()&gt;7, (C248/INDIRECT("C"&amp;ROW()-7)-1)*100, "")</f>
        <v>8.3333422156942838</v>
      </c>
      <c r="H248" s="4" cm="1">
        <f t="array" aca="1" ref="H248" ca="1">IF(ROW()&gt;7, (D248/INDIRECT("D"&amp;ROW()-7)-1)*100, "")</f>
        <v>8.3333422156942838</v>
      </c>
      <c r="I248" s="4" cm="1">
        <f t="array" aca="1" ref="I248" ca="1">IF(ROW()&gt;7, (E248/INDIRECT("E"&amp;ROW()-7)-1)*100, "")</f>
        <v>8.3333078974827668</v>
      </c>
      <c r="J248" s="4" cm="1">
        <f t="array" aca="1" ref="J248" ca="1">IF(ROW()&gt;7, (F248/INDIRECT("F"&amp;ROW()-7)-1)*100, "")</f>
        <v>8.3333210346807185</v>
      </c>
      <c r="K248">
        <f t="shared" ca="1" si="6"/>
        <v>8130972</v>
      </c>
      <c r="L248" t="str">
        <f t="shared" ca="1" si="7"/>
        <v>Facebook</v>
      </c>
    </row>
    <row r="249" spans="2:12" x14ac:dyDescent="0.35">
      <c r="B249" s="3">
        <v>43712</v>
      </c>
      <c r="C249" s="4">
        <v>8052789</v>
      </c>
      <c r="D249" s="4">
        <v>6039592</v>
      </c>
      <c r="E249" s="4">
        <v>2460574</v>
      </c>
      <c r="F249" s="4">
        <v>5815903</v>
      </c>
      <c r="G249" s="4" cm="1">
        <f t="array" aca="1" ref="G249" ca="1">IF(ROW()&gt;7, (C249/INDIRECT("C"&amp;ROW()-7)-1)*100, "")</f>
        <v>1.9802001513596457</v>
      </c>
      <c r="H249" s="4" cm="1">
        <f t="array" aca="1" ref="H249" ca="1">IF(ROW()&gt;7, (D249/INDIRECT("D"&amp;ROW()-7)-1)*100, "")</f>
        <v>1.9802043726797613</v>
      </c>
      <c r="I249" s="4" cm="1">
        <f t="array" aca="1" ref="I249" ca="1">IF(ROW()&gt;7, (E249/INDIRECT("E"&amp;ROW()-7)-1)*100, "")</f>
        <v>1.9801922748545753</v>
      </c>
      <c r="J249" s="4" cm="1">
        <f t="array" aca="1" ref="J249" ca="1">IF(ROW()&gt;7, (F249/INDIRECT("F"&amp;ROW()-7)-1)*100, "")</f>
        <v>1.9801952420255287</v>
      </c>
      <c r="K249">
        <f t="shared" ca="1" si="6"/>
        <v>8052789</v>
      </c>
      <c r="L249" t="str">
        <f t="shared" ca="1" si="7"/>
        <v>Facebook</v>
      </c>
    </row>
    <row r="250" spans="2:12" x14ac:dyDescent="0.35">
      <c r="B250" s="3">
        <v>43713</v>
      </c>
      <c r="C250" s="4">
        <v>7427330</v>
      </c>
      <c r="D250" s="4">
        <v>5570497</v>
      </c>
      <c r="E250" s="4">
        <v>2269462</v>
      </c>
      <c r="F250" s="4">
        <v>5364183</v>
      </c>
      <c r="G250" s="4" cm="1">
        <f t="array" aca="1" ref="G250" ca="1">IF(ROW()&gt;7, (C250/INDIRECT("C"&amp;ROW()-7)-1)*100, "")</f>
        <v>-3.0612211602979222</v>
      </c>
      <c r="H250" s="4" cm="1">
        <f t="array" aca="1" ref="H250" ca="1">IF(ROW()&gt;7, (D250/INDIRECT("D"&amp;ROW()-7)-1)*100, "")</f>
        <v>-3.0612340787497194</v>
      </c>
      <c r="I250" s="4" cm="1">
        <f t="array" aca="1" ref="I250" ca="1">IF(ROW()&gt;7, (E250/INDIRECT("E"&amp;ROW()-7)-1)*100, "")</f>
        <v>-3.0612153367029271</v>
      </c>
      <c r="J250" s="4" cm="1">
        <f t="array" aca="1" ref="J250" ca="1">IF(ROW()&gt;7, (F250/INDIRECT("F"&amp;ROW()-7)-1)*100, "")</f>
        <v>-3.0612200641248699</v>
      </c>
      <c r="K250">
        <f t="shared" ca="1" si="6"/>
        <v>7427330</v>
      </c>
      <c r="L250" t="str">
        <f t="shared" ca="1" si="7"/>
        <v>Facebook</v>
      </c>
    </row>
    <row r="251" spans="2:12" x14ac:dyDescent="0.35">
      <c r="B251" s="3">
        <v>43714</v>
      </c>
      <c r="C251" s="4">
        <v>7505512</v>
      </c>
      <c r="D251" s="4">
        <v>5629134</v>
      </c>
      <c r="E251" s="4">
        <v>2293351</v>
      </c>
      <c r="F251" s="4">
        <v>5420648</v>
      </c>
      <c r="G251" s="4" cm="1">
        <f t="array" aca="1" ref="G251" ca="1">IF(ROW()&gt;7, (C251/INDIRECT("C"&amp;ROW()-7)-1)*100, "")</f>
        <v>-4.9504940464189851</v>
      </c>
      <c r="H251" s="4" cm="1">
        <f t="array" aca="1" ref="H251" ca="1">IF(ROW()&gt;7, (D251/INDIRECT("D"&amp;ROW()-7)-1)*100, "")</f>
        <v>-4.9504940464189851</v>
      </c>
      <c r="I251" s="4" cm="1">
        <f t="array" aca="1" ref="I251" ca="1">IF(ROW()&gt;7, (E251/INDIRECT("E"&amp;ROW()-7)-1)*100, "")</f>
        <v>-4.950480687136416</v>
      </c>
      <c r="J251" s="4" cm="1">
        <f t="array" aca="1" ref="J251" ca="1">IF(ROW()&gt;7, (F251/INDIRECT("F"&amp;ROW()-7)-1)*100, "")</f>
        <v>-4.9504881050637994</v>
      </c>
      <c r="K251">
        <f t="shared" ca="1" si="6"/>
        <v>7505512</v>
      </c>
      <c r="L251" t="str">
        <f t="shared" ca="1" si="7"/>
        <v>Facebook</v>
      </c>
    </row>
    <row r="252" spans="2:12" x14ac:dyDescent="0.35">
      <c r="B252" s="3">
        <v>43715</v>
      </c>
      <c r="C252" s="4">
        <v>16806722</v>
      </c>
      <c r="D252" s="4">
        <v>12605042</v>
      </c>
      <c r="E252" s="4">
        <v>5135387</v>
      </c>
      <c r="F252" s="4">
        <v>12138188</v>
      </c>
      <c r="G252" s="4" cm="1">
        <f t="array" aca="1" ref="G252" ca="1">IF(ROW()&gt;7, (C252/INDIRECT("C"&amp;ROW()-7)-1)*100, "")</f>
        <v>2.9702952098813462</v>
      </c>
      <c r="H252" s="4" cm="1">
        <f t="array" aca="1" ref="H252" ca="1">IF(ROW()&gt;7, (D252/INDIRECT("D"&amp;ROW()-7)-1)*100, "")</f>
        <v>2.9702971914648879</v>
      </c>
      <c r="I252" s="4" cm="1">
        <f t="array" aca="1" ref="I252" ca="1">IF(ROW()&gt;7, (E252/INDIRECT("E"&amp;ROW()-7)-1)*100, "")</f>
        <v>2.9702936547609138</v>
      </c>
      <c r="J252" s="4" cm="1">
        <f t="array" aca="1" ref="J252" ca="1">IF(ROW()&gt;7, (F252/INDIRECT("F"&amp;ROW()-7)-1)*100, "")</f>
        <v>2.9702966937358966</v>
      </c>
      <c r="K252">
        <f t="shared" ca="1" si="6"/>
        <v>16806722</v>
      </c>
      <c r="L252" t="str">
        <f t="shared" ca="1" si="7"/>
        <v>Facebook</v>
      </c>
    </row>
    <row r="253" spans="2:12" x14ac:dyDescent="0.35">
      <c r="B253" s="3">
        <v>43716</v>
      </c>
      <c r="C253" s="4">
        <v>15513897</v>
      </c>
      <c r="D253" s="4">
        <v>11635423</v>
      </c>
      <c r="E253" s="4">
        <v>4740357</v>
      </c>
      <c r="F253" s="4">
        <v>11204481</v>
      </c>
      <c r="G253" s="4" cm="1">
        <f t="array" aca="1" ref="G253" ca="1">IF(ROW()&gt;7, (C253/INDIRECT("C"&amp;ROW()-7)-1)*100, "")</f>
        <v>1.052630961861456</v>
      </c>
      <c r="H253" s="4" cm="1">
        <f t="array" aca="1" ref="H253" ca="1">IF(ROW()&gt;7, (D253/INDIRECT("D"&amp;ROW()-7)-1)*100, "")</f>
        <v>1.052628744923334</v>
      </c>
      <c r="I253" s="4" cm="1">
        <f t="array" aca="1" ref="I253" ca="1">IF(ROW()&gt;7, (E253/INDIRECT("E"&amp;ROW()-7)-1)*100, "")</f>
        <v>1.0526376376098989</v>
      </c>
      <c r="J253" s="4" cm="1">
        <f t="array" aca="1" ref="J253" ca="1">IF(ROW()&gt;7, (F253/INDIRECT("F"&amp;ROW()-7)-1)*100, "")</f>
        <v>1.0526284460497415</v>
      </c>
      <c r="K253">
        <f t="shared" ca="1" si="6"/>
        <v>15513897</v>
      </c>
      <c r="L253" t="str">
        <f t="shared" ca="1" si="7"/>
        <v>Facebook</v>
      </c>
    </row>
    <row r="254" spans="2:12" x14ac:dyDescent="0.35">
      <c r="B254" s="3">
        <v>43717</v>
      </c>
      <c r="C254" s="4">
        <v>7818242</v>
      </c>
      <c r="D254" s="4">
        <v>5863681</v>
      </c>
      <c r="E254" s="4">
        <v>2388907</v>
      </c>
      <c r="F254" s="4">
        <v>5646508</v>
      </c>
      <c r="G254" s="4" cm="1">
        <f t="array" aca="1" ref="G254" ca="1">IF(ROW()&gt;7, (C254/INDIRECT("C"&amp;ROW()-7)-1)*100, "")</f>
        <v>-4.7619036017596983</v>
      </c>
      <c r="H254" s="4" cm="1">
        <f t="array" aca="1" ref="H254" ca="1">IF(ROW()&gt;7, (D254/INDIRECT("D"&amp;ROW()-7)-1)*100, "")</f>
        <v>-4.7619194570744261</v>
      </c>
      <c r="I254" s="4" cm="1">
        <f t="array" aca="1" ref="I254" ca="1">IF(ROW()&gt;7, (E254/INDIRECT("E"&amp;ROW()-7)-1)*100, "")</f>
        <v>-4.7618914729671165</v>
      </c>
      <c r="J254" s="4" cm="1">
        <f t="array" aca="1" ref="J254" ca="1">IF(ROW()&gt;7, (F254/INDIRECT("F"&amp;ROW()-7)-1)*100, "")</f>
        <v>-4.7618983364854479</v>
      </c>
      <c r="K254">
        <f t="shared" ca="1" si="6"/>
        <v>7818242</v>
      </c>
      <c r="L254" t="str">
        <f t="shared" ca="1" si="7"/>
        <v>Facebook</v>
      </c>
    </row>
    <row r="255" spans="2:12" x14ac:dyDescent="0.35">
      <c r="B255" s="3">
        <v>43718</v>
      </c>
      <c r="C255" s="4">
        <v>8052789</v>
      </c>
      <c r="D255" s="4">
        <v>6039592</v>
      </c>
      <c r="E255" s="4">
        <v>2460574</v>
      </c>
      <c r="F255" s="4">
        <v>5815903</v>
      </c>
      <c r="G255" s="4" cm="1">
        <f t="array" aca="1" ref="G255" ca="1">IF(ROW()&gt;7, (C255/INDIRECT("C"&amp;ROW()-7)-1)*100, "")</f>
        <v>-0.96154555691496668</v>
      </c>
      <c r="H255" s="4" cm="1">
        <f t="array" aca="1" ref="H255" ca="1">IF(ROW()&gt;7, (D255/INDIRECT("D"&amp;ROW()-7)-1)*100, "")</f>
        <v>-0.96154145736410124</v>
      </c>
      <c r="I255" s="4" cm="1">
        <f t="array" aca="1" ref="I255" ca="1">IF(ROW()&gt;7, (E255/INDIRECT("E"&amp;ROW()-7)-1)*100, "")</f>
        <v>-0.9615357523939827</v>
      </c>
      <c r="J255" s="4" cm="1">
        <f t="array" aca="1" ref="J255" ca="1">IF(ROW()&gt;7, (F255/INDIRECT("F"&amp;ROW()-7)-1)*100, "")</f>
        <v>-0.96153715162264897</v>
      </c>
      <c r="K255">
        <f t="shared" ca="1" si="6"/>
        <v>8052789</v>
      </c>
      <c r="L255" t="str">
        <f t="shared" ca="1" si="7"/>
        <v>Facebook</v>
      </c>
    </row>
    <row r="256" spans="2:12" x14ac:dyDescent="0.35">
      <c r="B256" s="3">
        <v>43719</v>
      </c>
      <c r="C256" s="4">
        <v>7583695</v>
      </c>
      <c r="D256" s="4">
        <v>5687771</v>
      </c>
      <c r="E256" s="4">
        <v>2317240</v>
      </c>
      <c r="F256" s="4">
        <v>5477113</v>
      </c>
      <c r="G256" s="4" cm="1">
        <f t="array" aca="1" ref="G256" ca="1">IF(ROW()&gt;7, (C256/INDIRECT("C"&amp;ROW()-7)-1)*100, "")</f>
        <v>-5.8252364491358177</v>
      </c>
      <c r="H256" s="4" cm="1">
        <f t="array" aca="1" ref="H256" ca="1">IF(ROW()&gt;7, (D256/INDIRECT("D"&amp;ROW()-7)-1)*100, "")</f>
        <v>-5.825244486713677</v>
      </c>
      <c r="I256" s="4" cm="1">
        <f t="array" aca="1" ref="I256" ca="1">IF(ROW()&gt;7, (E256/INDIRECT("E"&amp;ROW()-7)-1)*100, "")</f>
        <v>-5.8252261464194932</v>
      </c>
      <c r="J256" s="4" cm="1">
        <f t="array" aca="1" ref="J256" ca="1">IF(ROW()&gt;7, (F256/INDIRECT("F"&amp;ROW()-7)-1)*100, "")</f>
        <v>-5.825234705599458</v>
      </c>
      <c r="K256">
        <f t="shared" ca="1" si="6"/>
        <v>7583695</v>
      </c>
      <c r="L256" t="str">
        <f t="shared" ca="1" si="7"/>
        <v>Facebook</v>
      </c>
    </row>
    <row r="257" spans="2:12" x14ac:dyDescent="0.35">
      <c r="B257" s="3">
        <v>43720</v>
      </c>
      <c r="C257" s="4">
        <v>7505512</v>
      </c>
      <c r="D257" s="4">
        <v>5629134</v>
      </c>
      <c r="E257" s="4">
        <v>2293351</v>
      </c>
      <c r="F257" s="4">
        <v>5420648</v>
      </c>
      <c r="G257" s="4" cm="1">
        <f t="array" aca="1" ref="G257" ca="1">IF(ROW()&gt;7, (C257/INDIRECT("C"&amp;ROW()-7)-1)*100, "")</f>
        <v>1.0526259099838065</v>
      </c>
      <c r="H257" s="4" cm="1">
        <f t="array" aca="1" ref="H257" ca="1">IF(ROW()&gt;7, (D257/INDIRECT("D"&amp;ROW()-7)-1)*100, "")</f>
        <v>1.0526349803258173</v>
      </c>
      <c r="I257" s="4" cm="1">
        <f t="array" aca="1" ref="I257" ca="1">IF(ROW()&gt;7, (E257/INDIRECT("E"&amp;ROW()-7)-1)*100, "")</f>
        <v>1.0526283321774077</v>
      </c>
      <c r="J257" s="4" cm="1">
        <f t="array" aca="1" ref="J257" ca="1">IF(ROW()&gt;7, (F257/INDIRECT("F"&amp;ROW()-7)-1)*100, "")</f>
        <v>1.0526300090806018</v>
      </c>
      <c r="K257">
        <f t="shared" ca="1" si="6"/>
        <v>7505512</v>
      </c>
      <c r="L257" t="str">
        <f t="shared" ca="1" si="7"/>
        <v>Facebook</v>
      </c>
    </row>
    <row r="258" spans="2:12" x14ac:dyDescent="0.35">
      <c r="B258" s="3">
        <v>43721</v>
      </c>
      <c r="C258" s="4">
        <v>8209154</v>
      </c>
      <c r="D258" s="4">
        <v>6156866</v>
      </c>
      <c r="E258" s="4">
        <v>2508352</v>
      </c>
      <c r="F258" s="4">
        <v>5928833</v>
      </c>
      <c r="G258" s="4" cm="1">
        <f t="array" aca="1" ref="G258" ca="1">IF(ROW()&gt;7, (C258/INDIRECT("C"&amp;ROW()-7)-1)*100, "")</f>
        <v>9.3750033308853453</v>
      </c>
      <c r="H258" s="4" cm="1">
        <f t="array" aca="1" ref="H258" ca="1">IF(ROW()&gt;7, (D258/INDIRECT("D"&amp;ROW()-7)-1)*100, "")</f>
        <v>9.3750122132463041</v>
      </c>
      <c r="I258" s="4" cm="1">
        <f t="array" aca="1" ref="I258" ca="1">IF(ROW()&gt;7, (E258/INDIRECT("E"&amp;ROW()-7)-1)*100, "")</f>
        <v>9.3749713846681182</v>
      </c>
      <c r="J258" s="4" cm="1">
        <f t="array" aca="1" ref="J258" ca="1">IF(ROW()&gt;7, (F258/INDIRECT("F"&amp;ROW()-7)-1)*100, "")</f>
        <v>9.3749861640158194</v>
      </c>
      <c r="K258">
        <f t="shared" ca="1" si="6"/>
        <v>8209154</v>
      </c>
      <c r="L258" t="str">
        <f t="shared" ca="1" si="7"/>
        <v>Facebook</v>
      </c>
    </row>
    <row r="259" spans="2:12" x14ac:dyDescent="0.35">
      <c r="B259" s="3">
        <v>43722</v>
      </c>
      <c r="C259" s="4">
        <v>15998707</v>
      </c>
      <c r="D259" s="4">
        <v>11999030</v>
      </c>
      <c r="E259" s="4">
        <v>4888493</v>
      </c>
      <c r="F259" s="4">
        <v>11554621</v>
      </c>
      <c r="G259" s="4" cm="1">
        <f t="array" aca="1" ref="G259" ca="1">IF(ROW()&gt;7, (C259/INDIRECT("C"&amp;ROW()-7)-1)*100, "")</f>
        <v>-4.8076894471152709</v>
      </c>
      <c r="H259" s="4" cm="1">
        <f t="array" aca="1" ref="H259" ca="1">IF(ROW()&gt;7, (D259/INDIRECT("D"&amp;ROW()-7)-1)*100, "")</f>
        <v>-4.8076952064102567</v>
      </c>
      <c r="I259" s="4" cm="1">
        <f t="array" aca="1" ref="I259" ca="1">IF(ROW()&gt;7, (E259/INDIRECT("E"&amp;ROW()-7)-1)*100, "")</f>
        <v>-4.8076999844412942</v>
      </c>
      <c r="J259" s="4" cm="1">
        <f t="array" aca="1" ref="J259" ca="1">IF(ROW()&gt;7, (F259/INDIRECT("F"&amp;ROW()-7)-1)*100, "")</f>
        <v>-4.807694525739759</v>
      </c>
      <c r="K259">
        <f t="shared" ca="1" si="6"/>
        <v>15998707</v>
      </c>
      <c r="L259" t="str">
        <f t="shared" ca="1" si="7"/>
        <v>Facebook</v>
      </c>
    </row>
    <row r="260" spans="2:12" x14ac:dyDescent="0.35">
      <c r="B260" s="3">
        <v>43723</v>
      </c>
      <c r="C260" s="4">
        <v>16645119</v>
      </c>
      <c r="D260" s="4">
        <v>12483839</v>
      </c>
      <c r="E260" s="4">
        <v>5086008</v>
      </c>
      <c r="F260" s="4">
        <v>12021475</v>
      </c>
      <c r="G260" s="4" cm="1">
        <f t="array" aca="1" ref="G260" ca="1">IF(ROW()&gt;7, (C260/INDIRECT("C"&amp;ROW()-7)-1)*100, "")</f>
        <v>7.2916688824220088</v>
      </c>
      <c r="H260" s="4" cm="1">
        <f t="array" aca="1" ref="H260" ca="1">IF(ROW()&gt;7, (D260/INDIRECT("D"&amp;ROW()-7)-1)*100, "")</f>
        <v>7.2916644285300203</v>
      </c>
      <c r="I260" s="4" cm="1">
        <f t="array" aca="1" ref="I260" ca="1">IF(ROW()&gt;7, (E260/INDIRECT("E"&amp;ROW()-7)-1)*100, "")</f>
        <v>7.2916660074336281</v>
      </c>
      <c r="J260" s="4" cm="1">
        <f t="array" aca="1" ref="J260" ca="1">IF(ROW()&gt;7, (F260/INDIRECT("F"&amp;ROW()-7)-1)*100, "")</f>
        <v>7.291671965885782</v>
      </c>
      <c r="K260">
        <f t="shared" ca="1" si="6"/>
        <v>16645119</v>
      </c>
      <c r="L260" t="str">
        <f t="shared" ca="1" si="7"/>
        <v>Facebook</v>
      </c>
    </row>
    <row r="261" spans="2:12" x14ac:dyDescent="0.35">
      <c r="B261" s="3">
        <v>43724</v>
      </c>
      <c r="C261" s="4">
        <v>7427330</v>
      </c>
      <c r="D261" s="4">
        <v>5570497</v>
      </c>
      <c r="E261" s="4">
        <v>2269462</v>
      </c>
      <c r="F261" s="4">
        <v>5364183</v>
      </c>
      <c r="G261" s="4" cm="1">
        <f t="array" aca="1" ref="G261" ca="1">IF(ROW()&gt;7, (C261/INDIRECT("C"&amp;ROW()-7)-1)*100, "")</f>
        <v>-4.9999987209400798</v>
      </c>
      <c r="H261" s="4" cm="1">
        <f t="array" aca="1" ref="H261" ca="1">IF(ROW()&gt;7, (D261/INDIRECT("D"&amp;ROW()-7)-1)*100, "")</f>
        <v>-4.9999991472933107</v>
      </c>
      <c r="I261" s="4" cm="1">
        <f t="array" aca="1" ref="I261" ca="1">IF(ROW()&gt;7, (E261/INDIRECT("E"&amp;ROW()-7)-1)*100, "")</f>
        <v>-4.9999853489482877</v>
      </c>
      <c r="J261" s="4" cm="1">
        <f t="array" aca="1" ref="J261" ca="1">IF(ROW()&gt;7, (F261/INDIRECT("F"&amp;ROW()-7)-1)*100, "")</f>
        <v>-4.9999929159756817</v>
      </c>
      <c r="K261">
        <f t="shared" ca="1" si="6"/>
        <v>7427330</v>
      </c>
      <c r="L261" t="str">
        <f t="shared" ca="1" si="7"/>
        <v>Facebook</v>
      </c>
    </row>
    <row r="262" spans="2:12" x14ac:dyDescent="0.35">
      <c r="B262" s="3">
        <v>43725</v>
      </c>
      <c r="C262" s="4">
        <v>8052789</v>
      </c>
      <c r="D262" s="4">
        <v>6039592</v>
      </c>
      <c r="E262" s="4">
        <v>2460574</v>
      </c>
      <c r="F262" s="4">
        <v>5815903</v>
      </c>
      <c r="G262" s="4" cm="1">
        <f t="array" aca="1" ref="G262" ca="1">IF(ROW()&gt;7, (C262/INDIRECT("C"&amp;ROW()-7)-1)*100, "")</f>
        <v>0</v>
      </c>
      <c r="H262" s="4" cm="1">
        <f t="array" aca="1" ref="H262" ca="1">IF(ROW()&gt;7, (D262/INDIRECT("D"&amp;ROW()-7)-1)*100, "")</f>
        <v>0</v>
      </c>
      <c r="I262" s="4" cm="1">
        <f t="array" aca="1" ref="I262" ca="1">IF(ROW()&gt;7, (E262/INDIRECT("E"&amp;ROW()-7)-1)*100, "")</f>
        <v>0</v>
      </c>
      <c r="J262" s="4" cm="1">
        <f t="array" aca="1" ref="J262" ca="1">IF(ROW()&gt;7, (F262/INDIRECT("F"&amp;ROW()-7)-1)*100, "")</f>
        <v>0</v>
      </c>
      <c r="K262">
        <f t="shared" ca="1" si="6"/>
        <v>0</v>
      </c>
      <c r="L262">
        <f t="shared" ca="1" si="7"/>
        <v>0</v>
      </c>
    </row>
    <row r="263" spans="2:12" x14ac:dyDescent="0.35">
      <c r="B263" s="3">
        <v>43726</v>
      </c>
      <c r="C263" s="4">
        <v>7740060</v>
      </c>
      <c r="D263" s="4">
        <v>5805045</v>
      </c>
      <c r="E263" s="4">
        <v>2365018</v>
      </c>
      <c r="F263" s="4">
        <v>5590043</v>
      </c>
      <c r="G263" s="4" cm="1">
        <f t="array" aca="1" ref="G263" ca="1">IF(ROW()&gt;7, (C263/INDIRECT("C"&amp;ROW()-7)-1)*100, "")</f>
        <v>2.0618577092037516</v>
      </c>
      <c r="H263" s="4" cm="1">
        <f t="array" aca="1" ref="H263" ca="1">IF(ROW()&gt;7, (D263/INDIRECT("D"&amp;ROW()-7)-1)*100, "")</f>
        <v>2.0618621952255056</v>
      </c>
      <c r="I263" s="4" cm="1">
        <f t="array" aca="1" ref="I263" ca="1">IF(ROW()&gt;7, (E263/INDIRECT("E"&amp;ROW()-7)-1)*100, "")</f>
        <v>2.0618494415770572</v>
      </c>
      <c r="J263" s="4" cm="1">
        <f t="array" aca="1" ref="J263" ca="1">IF(ROW()&gt;7, (F263/INDIRECT("F"&amp;ROW()-7)-1)*100, "")</f>
        <v>2.0618526585082231</v>
      </c>
      <c r="K263">
        <f t="shared" ca="1" si="6"/>
        <v>7740060</v>
      </c>
      <c r="L263" t="str">
        <f t="shared" ca="1" si="7"/>
        <v>Facebook</v>
      </c>
    </row>
    <row r="264" spans="2:12" x14ac:dyDescent="0.35">
      <c r="B264" s="3">
        <v>43727</v>
      </c>
      <c r="C264" s="4">
        <v>7661877</v>
      </c>
      <c r="D264" s="4">
        <v>5746408</v>
      </c>
      <c r="E264" s="4">
        <v>2341129</v>
      </c>
      <c r="F264" s="4">
        <v>5533578</v>
      </c>
      <c r="G264" s="4" cm="1">
        <f t="array" aca="1" ref="G264" ca="1">IF(ROW()&gt;7, (C264/INDIRECT("C"&amp;ROW()-7)-1)*100, "")</f>
        <v>2.0833355539235709</v>
      </c>
      <c r="H264" s="4" cm="1">
        <f t="array" aca="1" ref="H264" ca="1">IF(ROW()&gt;7, (D264/INDIRECT("D"&amp;ROW()-7)-1)*100, "")</f>
        <v>2.0833399951040388</v>
      </c>
      <c r="I264" s="4" cm="1">
        <f t="array" aca="1" ref="I264" ca="1">IF(ROW()&gt;7, (E264/INDIRECT("E"&amp;ROW()-7)-1)*100, "")</f>
        <v>2.0833269743706806</v>
      </c>
      <c r="J264" s="4" cm="1">
        <f t="array" aca="1" ref="J264" ca="1">IF(ROW()&gt;7, (F264/INDIRECT("F"&amp;ROW()-7)-1)*100, "")</f>
        <v>2.0833302586701796</v>
      </c>
      <c r="K264">
        <f t="shared" ca="1" si="6"/>
        <v>7661877</v>
      </c>
      <c r="L264" t="str">
        <f t="shared" ca="1" si="7"/>
        <v>Facebook</v>
      </c>
    </row>
    <row r="265" spans="2:12" x14ac:dyDescent="0.35">
      <c r="B265" s="3">
        <v>43728</v>
      </c>
      <c r="C265" s="4">
        <v>7661877</v>
      </c>
      <c r="D265" s="4">
        <v>5746408</v>
      </c>
      <c r="E265" s="4">
        <v>2341129</v>
      </c>
      <c r="F265" s="4">
        <v>5533578</v>
      </c>
      <c r="G265" s="4" cm="1">
        <f t="array" aca="1" ref="G265" ca="1">IF(ROW()&gt;7, (C265/INDIRECT("C"&amp;ROW()-7)-1)*100, "")</f>
        <v>-6.6666674787682183</v>
      </c>
      <c r="H265" s="4" cm="1">
        <f t="array" aca="1" ref="H265" ca="1">IF(ROW()&gt;7, (D265/INDIRECT("D"&amp;ROW()-7)-1)*100, "")</f>
        <v>-6.6666709978745686</v>
      </c>
      <c r="I265" s="4" cm="1">
        <f t="array" aca="1" ref="I265" ca="1">IF(ROW()&gt;7, (E265/INDIRECT("E"&amp;ROW()-7)-1)*100, "")</f>
        <v>-6.666648062153957</v>
      </c>
      <c r="J265" s="4" cm="1">
        <f t="array" aca="1" ref="J265" ca="1">IF(ROW()&gt;7, (F265/INDIRECT("F"&amp;ROW()-7)-1)*100, "")</f>
        <v>-6.6666576710796228</v>
      </c>
      <c r="K265">
        <f t="shared" ca="1" si="6"/>
        <v>7661877</v>
      </c>
      <c r="L265" t="str">
        <f t="shared" ca="1" si="7"/>
        <v>Facebook</v>
      </c>
    </row>
    <row r="266" spans="2:12" x14ac:dyDescent="0.35">
      <c r="B266" s="3">
        <v>43729</v>
      </c>
      <c r="C266" s="4">
        <v>15837104</v>
      </c>
      <c r="D266" s="4">
        <v>11877828</v>
      </c>
      <c r="E266" s="4">
        <v>4839115</v>
      </c>
      <c r="F266" s="4">
        <v>11437908</v>
      </c>
      <c r="G266" s="4" cm="1">
        <f t="array" aca="1" ref="G266" ca="1">IF(ROW()&gt;7, (C266/INDIRECT("C"&amp;ROW()-7)-1)*100, "")</f>
        <v>-1.0101003787368557</v>
      </c>
      <c r="H266" s="4" cm="1">
        <f t="array" aca="1" ref="H266" ca="1">IF(ROW()&gt;7, (D266/INDIRECT("D"&amp;ROW()-7)-1)*100, "")</f>
        <v>-1.010098316280561</v>
      </c>
      <c r="I266" s="4" cm="1">
        <f t="array" aca="1" ref="I266" ca="1">IF(ROW()&gt;7, (E266/INDIRECT("E"&amp;ROW()-7)-1)*100, "")</f>
        <v>-1.0100863394915338</v>
      </c>
      <c r="J266" s="4" cm="1">
        <f t="array" aca="1" ref="J266" ca="1">IF(ROW()&gt;7, (F266/INDIRECT("F"&amp;ROW()-7)-1)*100, "")</f>
        <v>-1.0100980378326518</v>
      </c>
      <c r="K266">
        <f t="shared" ca="1" si="6"/>
        <v>15837104</v>
      </c>
      <c r="L266" t="str">
        <f t="shared" ca="1" si="7"/>
        <v>Facebook</v>
      </c>
    </row>
    <row r="267" spans="2:12" x14ac:dyDescent="0.35">
      <c r="B267" s="3">
        <v>43730</v>
      </c>
      <c r="C267" s="4">
        <v>16483516</v>
      </c>
      <c r="D267" s="4">
        <v>12362637</v>
      </c>
      <c r="E267" s="4">
        <v>5036630</v>
      </c>
      <c r="F267" s="4">
        <v>11904761</v>
      </c>
      <c r="G267" s="4" cm="1">
        <f t="array" aca="1" ref="G267" ca="1">IF(ROW()&gt;7, (C267/INDIRECT("C"&amp;ROW()-7)-1)*100, "")</f>
        <v>-0.97087320312939651</v>
      </c>
      <c r="H267" s="4" cm="1">
        <f t="array" aca="1" ref="H267" ca="1">IF(ROW()&gt;7, (D267/INDIRECT("D"&amp;ROW()-7)-1)*100, "")</f>
        <v>-0.97087121998289394</v>
      </c>
      <c r="I267" s="4" cm="1">
        <f t="array" aca="1" ref="I267" ca="1">IF(ROW()&gt;7, (E267/INDIRECT("E"&amp;ROW()-7)-1)*100, "")</f>
        <v>-0.97085966046455141</v>
      </c>
      <c r="J267" s="4" cm="1">
        <f t="array" aca="1" ref="J267" ca="1">IF(ROW()&gt;7, (F267/INDIRECT("F"&amp;ROW()-7)-1)*100, "")</f>
        <v>-0.9708791974362585</v>
      </c>
      <c r="K267">
        <f t="shared" ref="K267:K330" ca="1" si="8">IF(SUM(G267:J267)=0,0,MAX(C267:F267))</f>
        <v>16483516</v>
      </c>
      <c r="L267" t="str">
        <f t="shared" ref="L267:L330" ca="1" si="9">IF(SUM(G267:J267)=0, 0, INDEX(C$2:F$2, MATCH(MAX(C267:F267), C267:F267, 0)))</f>
        <v>Facebook</v>
      </c>
    </row>
    <row r="268" spans="2:12" x14ac:dyDescent="0.35">
      <c r="B268" s="3">
        <v>43731</v>
      </c>
      <c r="C268" s="4">
        <v>7505512</v>
      </c>
      <c r="D268" s="4">
        <v>5629134</v>
      </c>
      <c r="E268" s="4">
        <v>2293351</v>
      </c>
      <c r="F268" s="4">
        <v>5420648</v>
      </c>
      <c r="G268" s="4" cm="1">
        <f t="array" aca="1" ref="G268" ca="1">IF(ROW()&gt;7, (C268/INDIRECT("C"&amp;ROW()-7)-1)*100, "")</f>
        <v>1.0526259099838065</v>
      </c>
      <c r="H268" s="4" cm="1">
        <f t="array" aca="1" ref="H268" ca="1">IF(ROW()&gt;7, (D268/INDIRECT("D"&amp;ROW()-7)-1)*100, "")</f>
        <v>1.0526349803258173</v>
      </c>
      <c r="I268" s="4" cm="1">
        <f t="array" aca="1" ref="I268" ca="1">IF(ROW()&gt;7, (E268/INDIRECT("E"&amp;ROW()-7)-1)*100, "")</f>
        <v>1.0526283321774077</v>
      </c>
      <c r="J268" s="4" cm="1">
        <f t="array" aca="1" ref="J268" ca="1">IF(ROW()&gt;7, (F268/INDIRECT("F"&amp;ROW()-7)-1)*100, "")</f>
        <v>1.0526300090806018</v>
      </c>
      <c r="K268">
        <f t="shared" ca="1" si="8"/>
        <v>7505512</v>
      </c>
      <c r="L268" t="str">
        <f t="shared" ca="1" si="9"/>
        <v>Facebook</v>
      </c>
    </row>
    <row r="269" spans="2:12" x14ac:dyDescent="0.35">
      <c r="B269" s="3">
        <v>43732</v>
      </c>
      <c r="C269" s="4">
        <v>7896424</v>
      </c>
      <c r="D269" s="4">
        <v>5922318</v>
      </c>
      <c r="E269" s="4">
        <v>2412796</v>
      </c>
      <c r="F269" s="4">
        <v>5702973</v>
      </c>
      <c r="G269" s="4" cm="1">
        <f t="array" aca="1" ref="G269" ca="1">IF(ROW()&gt;7, (C269/INDIRECT("C"&amp;ROW()-7)-1)*100, "")</f>
        <v>-1.9417496223979036</v>
      </c>
      <c r="H269" s="4" cm="1">
        <f t="array" aca="1" ref="H269" ca="1">IF(ROW()&gt;7, (D269/INDIRECT("D"&amp;ROW()-7)-1)*100, "")</f>
        <v>-1.9417536813745029</v>
      </c>
      <c r="I269" s="4" cm="1">
        <f t="array" aca="1" ref="I269" ca="1">IF(ROW()&gt;7, (E269/INDIRECT("E"&amp;ROW()-7)-1)*100, "")</f>
        <v>-1.941742048806494</v>
      </c>
      <c r="J269" s="4" cm="1">
        <f t="array" aca="1" ref="J269" ca="1">IF(ROW()&gt;7, (F269/INDIRECT("F"&amp;ROW()-7)-1)*100, "")</f>
        <v>-1.9417449018664823</v>
      </c>
      <c r="K269">
        <f t="shared" ca="1" si="8"/>
        <v>7896424</v>
      </c>
      <c r="L269" t="str">
        <f t="shared" ca="1" si="9"/>
        <v>Facebook</v>
      </c>
    </row>
    <row r="270" spans="2:12" x14ac:dyDescent="0.35">
      <c r="B270" s="3">
        <v>43733</v>
      </c>
      <c r="C270" s="4">
        <v>7661877</v>
      </c>
      <c r="D270" s="4">
        <v>5746408</v>
      </c>
      <c r="E270" s="4">
        <v>2341129</v>
      </c>
      <c r="F270" s="4">
        <v>5533578</v>
      </c>
      <c r="G270" s="4" cm="1">
        <f t="array" aca="1" ref="G270" ca="1">IF(ROW()&gt;7, (C270/INDIRECT("C"&amp;ROW()-7)-1)*100, "")</f>
        <v>-1.0101084487717182</v>
      </c>
      <c r="H270" s="4" cm="1">
        <f t="array" aca="1" ref="H270" ca="1">IF(ROW()&gt;7, (D270/INDIRECT("D"&amp;ROW()-7)-1)*100, "")</f>
        <v>-1.0101041421728851</v>
      </c>
      <c r="I270" s="4" cm="1">
        <f t="array" aca="1" ref="I270" ca="1">IF(ROW()&gt;7, (E270/INDIRECT("E"&amp;ROW()-7)-1)*100, "")</f>
        <v>-1.0100980203956111</v>
      </c>
      <c r="J270" s="4" cm="1">
        <f t="array" aca="1" ref="J270" ca="1">IF(ROW()&gt;7, (F270/INDIRECT("F"&amp;ROW()-7)-1)*100, "")</f>
        <v>-1.0100995645292876</v>
      </c>
      <c r="K270">
        <f t="shared" ca="1" si="8"/>
        <v>7661877</v>
      </c>
      <c r="L270" t="str">
        <f t="shared" ca="1" si="9"/>
        <v>Facebook</v>
      </c>
    </row>
    <row r="271" spans="2:12" x14ac:dyDescent="0.35">
      <c r="B271" s="3">
        <v>43734</v>
      </c>
      <c r="C271" s="4">
        <v>8052789</v>
      </c>
      <c r="D271" s="4">
        <v>6039592</v>
      </c>
      <c r="E271" s="4">
        <v>2460574</v>
      </c>
      <c r="F271" s="4">
        <v>5815903</v>
      </c>
      <c r="G271" s="4" cm="1">
        <f t="array" aca="1" ref="G271" ca="1">IF(ROW()&gt;7, (C271/INDIRECT("C"&amp;ROW()-7)-1)*100, "")</f>
        <v>5.1020396177072547</v>
      </c>
      <c r="H271" s="4" cm="1">
        <f t="array" aca="1" ref="H271" ca="1">IF(ROW()&gt;7, (D271/INDIRECT("D"&amp;ROW()-7)-1)*100, "")</f>
        <v>5.1020393957407872</v>
      </c>
      <c r="I271" s="4" cm="1">
        <f t="array" aca="1" ref="I271" ca="1">IF(ROW()&gt;7, (E271/INDIRECT("E"&amp;ROW()-7)-1)*100, "")</f>
        <v>5.1020255611715637</v>
      </c>
      <c r="J271" s="4" cm="1">
        <f t="array" aca="1" ref="J271" ca="1">IF(ROW()&gt;7, (F271/INDIRECT("F"&amp;ROW()-7)-1)*100, "")</f>
        <v>5.1020334402081202</v>
      </c>
      <c r="K271">
        <f t="shared" ca="1" si="8"/>
        <v>8052789</v>
      </c>
      <c r="L271" t="str">
        <f t="shared" ca="1" si="9"/>
        <v>Facebook</v>
      </c>
    </row>
    <row r="272" spans="2:12" x14ac:dyDescent="0.35">
      <c r="B272" s="3">
        <v>43735</v>
      </c>
      <c r="C272" s="4">
        <v>7505512</v>
      </c>
      <c r="D272" s="4">
        <v>5629134</v>
      </c>
      <c r="E272" s="4">
        <v>2293351</v>
      </c>
      <c r="F272" s="4">
        <v>5420648</v>
      </c>
      <c r="G272" s="4" cm="1">
        <f t="array" aca="1" ref="G272" ca="1">IF(ROW()&gt;7, (C272/INDIRECT("C"&amp;ROW()-7)-1)*100, "")</f>
        <v>-2.0408184574093213</v>
      </c>
      <c r="H272" s="4" cm="1">
        <f t="array" aca="1" ref="H272" ca="1">IF(ROW()&gt;7, (D272/INDIRECT("D"&amp;ROW()-7)-1)*100, "")</f>
        <v>-2.0408227191664796</v>
      </c>
      <c r="I272" s="4" cm="1">
        <f t="array" aca="1" ref="I272" ca="1">IF(ROW()&gt;7, (E272/INDIRECT("E"&amp;ROW()-7)-1)*100, "")</f>
        <v>-2.0408102244686255</v>
      </c>
      <c r="J272" s="4" cm="1">
        <f t="array" aca="1" ref="J272" ca="1">IF(ROW()&gt;7, (F272/INDIRECT("F"&amp;ROW()-7)-1)*100, "")</f>
        <v>-2.0408133760832503</v>
      </c>
      <c r="K272">
        <f t="shared" ca="1" si="8"/>
        <v>7505512</v>
      </c>
      <c r="L272" t="str">
        <f t="shared" ca="1" si="9"/>
        <v>Facebook</v>
      </c>
    </row>
    <row r="273" spans="2:12" x14ac:dyDescent="0.35">
      <c r="B273" s="3">
        <v>43736</v>
      </c>
      <c r="C273" s="4">
        <v>15837104</v>
      </c>
      <c r="D273" s="4">
        <v>11877828</v>
      </c>
      <c r="E273" s="4">
        <v>4839115</v>
      </c>
      <c r="F273" s="4">
        <v>11437908</v>
      </c>
      <c r="G273" s="4" cm="1">
        <f t="array" aca="1" ref="G273" ca="1">IF(ROW()&gt;7, (C273/INDIRECT("C"&amp;ROW()-7)-1)*100, "")</f>
        <v>0</v>
      </c>
      <c r="H273" s="4" cm="1">
        <f t="array" aca="1" ref="H273" ca="1">IF(ROW()&gt;7, (D273/INDIRECT("D"&amp;ROW()-7)-1)*100, "")</f>
        <v>0</v>
      </c>
      <c r="I273" s="4" cm="1">
        <f t="array" aca="1" ref="I273" ca="1">IF(ROW()&gt;7, (E273/INDIRECT("E"&amp;ROW()-7)-1)*100, "")</f>
        <v>0</v>
      </c>
      <c r="J273" s="4" cm="1">
        <f t="array" aca="1" ref="J273" ca="1">IF(ROW()&gt;7, (F273/INDIRECT("F"&amp;ROW()-7)-1)*100, "")</f>
        <v>0</v>
      </c>
      <c r="K273">
        <f t="shared" ca="1" si="8"/>
        <v>0</v>
      </c>
      <c r="L273">
        <f t="shared" ca="1" si="9"/>
        <v>0</v>
      </c>
    </row>
    <row r="274" spans="2:12" x14ac:dyDescent="0.35">
      <c r="B274" s="3">
        <v>43737</v>
      </c>
      <c r="C274" s="4">
        <v>15352294</v>
      </c>
      <c r="D274" s="4">
        <v>11514221</v>
      </c>
      <c r="E274" s="4">
        <v>4690978</v>
      </c>
      <c r="F274" s="4">
        <v>11087768</v>
      </c>
      <c r="G274" s="4" cm="1">
        <f t="array" aca="1" ref="G274" ca="1">IF(ROW()&gt;7, (C274/INDIRECT("C"&amp;ROW()-7)-1)*100, "")</f>
        <v>-6.8627470013072456</v>
      </c>
      <c r="H274" s="4" cm="1">
        <f t="array" aca="1" ref="H274" ca="1">IF(ROW()&gt;7, (D274/INDIRECT("D"&amp;ROW()-7)-1)*100, "")</f>
        <v>-6.862742956862677</v>
      </c>
      <c r="I274" s="4" cm="1">
        <f t="array" aca="1" ref="I274" ca="1">IF(ROW()&gt;7, (E274/INDIRECT("E"&amp;ROW()-7)-1)*100, "")</f>
        <v>-6.8627633953655565</v>
      </c>
      <c r="J274" s="4" cm="1">
        <f t="array" aca="1" ref="J274" ca="1">IF(ROW()&gt;7, (F274/INDIRECT("F"&amp;ROW()-7)-1)*100, "")</f>
        <v>-6.8627417215683657</v>
      </c>
      <c r="K274">
        <f t="shared" ca="1" si="8"/>
        <v>15352294</v>
      </c>
      <c r="L274" t="str">
        <f t="shared" ca="1" si="9"/>
        <v>Facebook</v>
      </c>
    </row>
    <row r="275" spans="2:12" x14ac:dyDescent="0.35">
      <c r="B275" s="3">
        <v>43738</v>
      </c>
      <c r="C275" s="4">
        <v>7818242</v>
      </c>
      <c r="D275" s="4">
        <v>5863681</v>
      </c>
      <c r="E275" s="4">
        <v>2388907</v>
      </c>
      <c r="F275" s="4">
        <v>5646508</v>
      </c>
      <c r="G275" s="4" cm="1">
        <f t="array" aca="1" ref="G275" ca="1">IF(ROW()&gt;7, (C275/INDIRECT("C"&amp;ROW()-7)-1)*100, "")</f>
        <v>4.1666711078471419</v>
      </c>
      <c r="H275" s="4" cm="1">
        <f t="array" aca="1" ref="H275" ca="1">IF(ROW()&gt;7, (D275/INDIRECT("D"&amp;ROW()-7)-1)*100, "")</f>
        <v>4.166662225486184</v>
      </c>
      <c r="I275" s="4" cm="1">
        <f t="array" aca="1" ref="I275" ca="1">IF(ROW()&gt;7, (E275/INDIRECT("E"&amp;ROW()-7)-1)*100, "")</f>
        <v>4.1666539487413834</v>
      </c>
      <c r="J275" s="4" cm="1">
        <f t="array" aca="1" ref="J275" ca="1">IF(ROW()&gt;7, (F275/INDIRECT("F"&amp;ROW()-7)-1)*100, "")</f>
        <v>4.1666605173403592</v>
      </c>
      <c r="K275">
        <f t="shared" ca="1" si="8"/>
        <v>7818242</v>
      </c>
      <c r="L275" t="str">
        <f t="shared" ca="1" si="9"/>
        <v>Facebook</v>
      </c>
    </row>
    <row r="276" spans="2:12" x14ac:dyDescent="0.35">
      <c r="B276" s="3">
        <v>43739</v>
      </c>
      <c r="C276" s="4">
        <v>7896424</v>
      </c>
      <c r="D276" s="4">
        <v>5922318</v>
      </c>
      <c r="E276" s="4">
        <v>2412796</v>
      </c>
      <c r="F276" s="4">
        <v>5702973</v>
      </c>
      <c r="G276" s="4" cm="1">
        <f t="array" aca="1" ref="G276" ca="1">IF(ROW()&gt;7, (C276/INDIRECT("C"&amp;ROW()-7)-1)*100, "")</f>
        <v>0</v>
      </c>
      <c r="H276" s="4" cm="1">
        <f t="array" aca="1" ref="H276" ca="1">IF(ROW()&gt;7, (D276/INDIRECT("D"&amp;ROW()-7)-1)*100, "")</f>
        <v>0</v>
      </c>
      <c r="I276" s="4" cm="1">
        <f t="array" aca="1" ref="I276" ca="1">IF(ROW()&gt;7, (E276/INDIRECT("E"&amp;ROW()-7)-1)*100, "")</f>
        <v>0</v>
      </c>
      <c r="J276" s="4" cm="1">
        <f t="array" aca="1" ref="J276" ca="1">IF(ROW()&gt;7, (F276/INDIRECT("F"&amp;ROW()-7)-1)*100, "")</f>
        <v>0</v>
      </c>
      <c r="K276">
        <f t="shared" ca="1" si="8"/>
        <v>0</v>
      </c>
      <c r="L276">
        <f t="shared" ca="1" si="9"/>
        <v>0</v>
      </c>
    </row>
    <row r="277" spans="2:12" x14ac:dyDescent="0.35">
      <c r="B277" s="3">
        <v>43740</v>
      </c>
      <c r="C277" s="4">
        <v>7740060</v>
      </c>
      <c r="D277" s="4">
        <v>5805045</v>
      </c>
      <c r="E277" s="4">
        <v>2365018</v>
      </c>
      <c r="F277" s="4">
        <v>5590043</v>
      </c>
      <c r="G277" s="4" cm="1">
        <f t="array" aca="1" ref="G277" ca="1">IF(ROW()&gt;7, (C277/INDIRECT("C"&amp;ROW()-7)-1)*100, "")</f>
        <v>1.0204157545207204</v>
      </c>
      <c r="H277" s="4" cm="1">
        <f t="array" aca="1" ref="H277" ca="1">IF(ROW()&gt;7, (D277/INDIRECT("D"&amp;ROW()-7)-1)*100, "")</f>
        <v>1.0204113595832398</v>
      </c>
      <c r="I277" s="4" cm="1">
        <f t="array" aca="1" ref="I277" ca="1">IF(ROW()&gt;7, (E277/INDIRECT("E"&amp;ROW()-7)-1)*100, "")</f>
        <v>1.0204051122343127</v>
      </c>
      <c r="J277" s="4" cm="1">
        <f t="array" aca="1" ref="J277" ca="1">IF(ROW()&gt;7, (F277/INDIRECT("F"&amp;ROW()-7)-1)*100, "")</f>
        <v>1.0204066880416196</v>
      </c>
      <c r="K277">
        <f t="shared" ca="1" si="8"/>
        <v>7740060</v>
      </c>
      <c r="L277" t="str">
        <f t="shared" ca="1" si="9"/>
        <v>Facebook</v>
      </c>
    </row>
    <row r="278" spans="2:12" x14ac:dyDescent="0.35">
      <c r="B278" s="3">
        <v>43741</v>
      </c>
      <c r="C278" s="4">
        <v>7661877</v>
      </c>
      <c r="D278" s="4">
        <v>5746408</v>
      </c>
      <c r="E278" s="4">
        <v>2341129</v>
      </c>
      <c r="F278" s="4">
        <v>5533578</v>
      </c>
      <c r="G278" s="4" cm="1">
        <f t="array" aca="1" ref="G278" ca="1">IF(ROW()&gt;7, (C278/INDIRECT("C"&amp;ROW()-7)-1)*100, "")</f>
        <v>-4.8543678469658129</v>
      </c>
      <c r="H278" s="4" cm="1">
        <f t="array" aca="1" ref="H278" ca="1">IF(ROW()&gt;7, (D278/INDIRECT("D"&amp;ROW()-7)-1)*100, "")</f>
        <v>-4.8543676460264251</v>
      </c>
      <c r="I278" s="4" cm="1">
        <f t="array" aca="1" ref="I278" ca="1">IF(ROW()&gt;7, (E278/INDIRECT("E"&amp;ROW()-7)-1)*100, "")</f>
        <v>-4.8543551220162406</v>
      </c>
      <c r="J278" s="4" cm="1">
        <f t="array" aca="1" ref="J278" ca="1">IF(ROW()&gt;7, (F278/INDIRECT("F"&amp;ROW()-7)-1)*100, "")</f>
        <v>-4.8543622546662117</v>
      </c>
      <c r="K278">
        <f t="shared" ca="1" si="8"/>
        <v>7661877</v>
      </c>
      <c r="L278" t="str">
        <f t="shared" ca="1" si="9"/>
        <v>Facebook</v>
      </c>
    </row>
    <row r="279" spans="2:12" x14ac:dyDescent="0.35">
      <c r="B279" s="3">
        <v>43742</v>
      </c>
      <c r="C279" s="4">
        <v>7583695</v>
      </c>
      <c r="D279" s="4">
        <v>5687771</v>
      </c>
      <c r="E279" s="4">
        <v>2317240</v>
      </c>
      <c r="F279" s="4">
        <v>5477113</v>
      </c>
      <c r="G279" s="4" cm="1">
        <f t="array" aca="1" ref="G279" ca="1">IF(ROW()&gt;7, (C279/INDIRECT("C"&amp;ROW()-7)-1)*100, "")</f>
        <v>1.0416744387324872</v>
      </c>
      <c r="H279" s="4" cm="1">
        <f t="array" aca="1" ref="H279" ca="1">IF(ROW()&gt;7, (D279/INDIRECT("D"&amp;ROW()-7)-1)*100, "")</f>
        <v>1.0416699975520194</v>
      </c>
      <c r="I279" s="4" cm="1">
        <f t="array" aca="1" ref="I279" ca="1">IF(ROW()&gt;7, (E279/INDIRECT("E"&amp;ROW()-7)-1)*100, "")</f>
        <v>1.0416634871853514</v>
      </c>
      <c r="J279" s="4" cm="1">
        <f t="array" aca="1" ref="J279" ca="1">IF(ROW()&gt;7, (F279/INDIRECT("F"&amp;ROW()-7)-1)*100, "")</f>
        <v>1.0416651293351009</v>
      </c>
      <c r="K279">
        <f t="shared" ca="1" si="8"/>
        <v>7583695</v>
      </c>
      <c r="L279" t="str">
        <f t="shared" ca="1" si="9"/>
        <v>Facebook</v>
      </c>
    </row>
    <row r="280" spans="2:12" x14ac:dyDescent="0.35">
      <c r="B280" s="3">
        <v>43743</v>
      </c>
      <c r="C280" s="4">
        <v>16645119</v>
      </c>
      <c r="D280" s="4">
        <v>12483839</v>
      </c>
      <c r="E280" s="4">
        <v>5086008</v>
      </c>
      <c r="F280" s="4">
        <v>12021475</v>
      </c>
      <c r="G280" s="4" cm="1">
        <f t="array" aca="1" ref="G280" ca="1">IF(ROW()&gt;7, (C280/INDIRECT("C"&amp;ROW()-7)-1)*100, "")</f>
        <v>5.1020375947521623</v>
      </c>
      <c r="H280" s="4" cm="1">
        <f t="array" aca="1" ref="H280" ca="1">IF(ROW()&gt;7, (D280/INDIRECT("D"&amp;ROW()-7)-1)*100, "")</f>
        <v>5.1020354899902642</v>
      </c>
      <c r="I280" s="4" cm="1">
        <f t="array" aca="1" ref="I280" ca="1">IF(ROW()&gt;7, (E280/INDIRECT("E"&amp;ROW()-7)-1)*100, "")</f>
        <v>5.1020279534584212</v>
      </c>
      <c r="J280" s="4" cm="1">
        <f t="array" aca="1" ref="J280" ca="1">IF(ROW()&gt;7, (F280/INDIRECT("F"&amp;ROW()-7)-1)*100, "")</f>
        <v>5.102043135860157</v>
      </c>
      <c r="K280">
        <f t="shared" ca="1" si="8"/>
        <v>16645119</v>
      </c>
      <c r="L280" t="str">
        <f t="shared" ca="1" si="9"/>
        <v>Facebook</v>
      </c>
    </row>
    <row r="281" spans="2:12" x14ac:dyDescent="0.35">
      <c r="B281" s="3">
        <v>43744</v>
      </c>
      <c r="C281" s="4">
        <v>15675500</v>
      </c>
      <c r="D281" s="4">
        <v>11756625</v>
      </c>
      <c r="E281" s="4">
        <v>4789736</v>
      </c>
      <c r="F281" s="4">
        <v>11321195</v>
      </c>
      <c r="G281" s="4" cm="1">
        <f t="array" aca="1" ref="G281" ca="1">IF(ROW()&gt;7, (C281/INDIRECT("C"&amp;ROW()-7)-1)*100, "")</f>
        <v>2.1052619237229342</v>
      </c>
      <c r="H281" s="4" cm="1">
        <f t="array" aca="1" ref="H281" ca="1">IF(ROW()&gt;7, (D281/INDIRECT("D"&amp;ROW()-7)-1)*100, "")</f>
        <v>2.1052574898466903</v>
      </c>
      <c r="I281" s="4" cm="1">
        <f t="array" aca="1" ref="I281" ca="1">IF(ROW()&gt;7, (E281/INDIRECT("E"&amp;ROW()-7)-1)*100, "")</f>
        <v>2.1052752752197978</v>
      </c>
      <c r="J281" s="4" cm="1">
        <f t="array" aca="1" ref="J281" ca="1">IF(ROW()&gt;7, (F281/INDIRECT("F"&amp;ROW()-7)-1)*100, "")</f>
        <v>2.105265911047205</v>
      </c>
      <c r="K281">
        <f t="shared" ca="1" si="8"/>
        <v>15675500</v>
      </c>
      <c r="L281" t="str">
        <f t="shared" ca="1" si="9"/>
        <v>Facebook</v>
      </c>
    </row>
    <row r="282" spans="2:12" x14ac:dyDescent="0.35">
      <c r="B282" s="3">
        <v>43745</v>
      </c>
      <c r="C282" s="4">
        <v>7740060</v>
      </c>
      <c r="D282" s="4">
        <v>5805045</v>
      </c>
      <c r="E282" s="4">
        <v>2365018</v>
      </c>
      <c r="F282" s="4">
        <v>5590043</v>
      </c>
      <c r="G282" s="4" cm="1">
        <f t="array" aca="1" ref="G282" ca="1">IF(ROW()&gt;7, (C282/INDIRECT("C"&amp;ROW()-7)-1)*100, "")</f>
        <v>-0.99999462794833072</v>
      </c>
      <c r="H282" s="4" cm="1">
        <f t="array" aca="1" ref="H282" ca="1">IF(ROW()&gt;7, (D282/INDIRECT("D"&amp;ROW()-7)-1)*100, "")</f>
        <v>-0.99998618615166901</v>
      </c>
      <c r="I282" s="4" cm="1">
        <f t="array" aca="1" ref="I282" ca="1">IF(ROW()&gt;7, (E282/INDIRECT("E"&amp;ROW()-7)-1)*100, "")</f>
        <v>-0.99999706978965985</v>
      </c>
      <c r="J282" s="4" cm="1">
        <f t="array" aca="1" ref="J282" ca="1">IF(ROW()&gt;7, (F282/INDIRECT("F"&amp;ROW()-7)-1)*100, "")</f>
        <v>-0.99999858319513857</v>
      </c>
      <c r="K282">
        <f t="shared" ca="1" si="8"/>
        <v>7740060</v>
      </c>
      <c r="L282" t="str">
        <f t="shared" ca="1" si="9"/>
        <v>Facebook</v>
      </c>
    </row>
    <row r="283" spans="2:12" x14ac:dyDescent="0.35">
      <c r="B283" s="3">
        <v>43746</v>
      </c>
      <c r="C283" s="4">
        <v>8052789</v>
      </c>
      <c r="D283" s="4">
        <v>6039592</v>
      </c>
      <c r="E283" s="4">
        <v>2460574</v>
      </c>
      <c r="F283" s="4">
        <v>5815903</v>
      </c>
      <c r="G283" s="4" cm="1">
        <f t="array" aca="1" ref="G283" ca="1">IF(ROW()&gt;7, (C283/INDIRECT("C"&amp;ROW()-7)-1)*100, "")</f>
        <v>1.9802001513596457</v>
      </c>
      <c r="H283" s="4" cm="1">
        <f t="array" aca="1" ref="H283" ca="1">IF(ROW()&gt;7, (D283/INDIRECT("D"&amp;ROW()-7)-1)*100, "")</f>
        <v>1.9802043726797613</v>
      </c>
      <c r="I283" s="4" cm="1">
        <f t="array" aca="1" ref="I283" ca="1">IF(ROW()&gt;7, (E283/INDIRECT("E"&amp;ROW()-7)-1)*100, "")</f>
        <v>1.9801922748545753</v>
      </c>
      <c r="J283" s="4" cm="1">
        <f t="array" aca="1" ref="J283" ca="1">IF(ROW()&gt;7, (F283/INDIRECT("F"&amp;ROW()-7)-1)*100, "")</f>
        <v>1.9801952420255287</v>
      </c>
      <c r="K283">
        <f t="shared" ca="1" si="8"/>
        <v>8052789</v>
      </c>
      <c r="L283" t="str">
        <f t="shared" ca="1" si="9"/>
        <v>Facebook</v>
      </c>
    </row>
    <row r="284" spans="2:12" x14ac:dyDescent="0.35">
      <c r="B284" s="3">
        <v>43747</v>
      </c>
      <c r="C284" s="4">
        <v>7427330</v>
      </c>
      <c r="D284" s="4">
        <v>5570497</v>
      </c>
      <c r="E284" s="4">
        <v>2269462</v>
      </c>
      <c r="F284" s="4">
        <v>5364183</v>
      </c>
      <c r="G284" s="4" cm="1">
        <f t="array" aca="1" ref="G284" ca="1">IF(ROW()&gt;7, (C284/INDIRECT("C"&amp;ROW()-7)-1)*100, "")</f>
        <v>-4.040407955493885</v>
      </c>
      <c r="H284" s="4" cm="1">
        <f t="array" aca="1" ref="H284" ca="1">IF(ROW()&gt;7, (D284/INDIRECT("D"&amp;ROW()-7)-1)*100, "")</f>
        <v>-4.0404165686915405</v>
      </c>
      <c r="I284" s="4" cm="1">
        <f t="array" aca="1" ref="I284" ca="1">IF(ROW()&gt;7, (E284/INDIRECT("E"&amp;ROW()-7)-1)*100, "")</f>
        <v>-4.0403920815824668</v>
      </c>
      <c r="J284" s="4" cm="1">
        <f t="array" aca="1" ref="J284" ca="1">IF(ROW()&gt;7, (F284/INDIRECT("F"&amp;ROW()-7)-1)*100, "")</f>
        <v>-4.0403982581171505</v>
      </c>
      <c r="K284">
        <f t="shared" ca="1" si="8"/>
        <v>7427330</v>
      </c>
      <c r="L284" t="str">
        <f t="shared" ca="1" si="9"/>
        <v>Facebook</v>
      </c>
    </row>
    <row r="285" spans="2:12" x14ac:dyDescent="0.35">
      <c r="B285" s="3">
        <v>43748</v>
      </c>
      <c r="C285" s="4">
        <v>7661877</v>
      </c>
      <c r="D285" s="4">
        <v>5746408</v>
      </c>
      <c r="E285" s="4">
        <v>2341129</v>
      </c>
      <c r="F285" s="4">
        <v>5533578</v>
      </c>
      <c r="G285" s="4" cm="1">
        <f t="array" aca="1" ref="G285" ca="1">IF(ROW()&gt;7, (C285/INDIRECT("C"&amp;ROW()-7)-1)*100, "")</f>
        <v>0</v>
      </c>
      <c r="H285" s="4" cm="1">
        <f t="array" aca="1" ref="H285" ca="1">IF(ROW()&gt;7, (D285/INDIRECT("D"&amp;ROW()-7)-1)*100, "")</f>
        <v>0</v>
      </c>
      <c r="I285" s="4" cm="1">
        <f t="array" aca="1" ref="I285" ca="1">IF(ROW()&gt;7, (E285/INDIRECT("E"&amp;ROW()-7)-1)*100, "")</f>
        <v>0</v>
      </c>
      <c r="J285" s="4" cm="1">
        <f t="array" aca="1" ref="J285" ca="1">IF(ROW()&gt;7, (F285/INDIRECT("F"&amp;ROW()-7)-1)*100, "")</f>
        <v>0</v>
      </c>
      <c r="K285">
        <f t="shared" ca="1" si="8"/>
        <v>0</v>
      </c>
      <c r="L285">
        <f t="shared" ca="1" si="9"/>
        <v>0</v>
      </c>
    </row>
    <row r="286" spans="2:12" x14ac:dyDescent="0.35">
      <c r="B286" s="3">
        <v>43749</v>
      </c>
      <c r="C286" s="4">
        <v>7661877</v>
      </c>
      <c r="D286" s="4">
        <v>5746408</v>
      </c>
      <c r="E286" s="4">
        <v>2341129</v>
      </c>
      <c r="F286" s="4">
        <v>5533578</v>
      </c>
      <c r="G286" s="4" cm="1">
        <f t="array" aca="1" ref="G286" ca="1">IF(ROW()&gt;7, (C286/INDIRECT("C"&amp;ROW()-7)-1)*100, "")</f>
        <v>1.0309222615097369</v>
      </c>
      <c r="H286" s="4" cm="1">
        <f t="array" aca="1" ref="H286" ca="1">IF(ROW()&gt;7, (D286/INDIRECT("D"&amp;ROW()-7)-1)*100, "")</f>
        <v>1.0309310976127639</v>
      </c>
      <c r="I286" s="4" cm="1">
        <f t="array" aca="1" ref="I286" ca="1">IF(ROW()&gt;7, (E286/INDIRECT("E"&amp;ROW()-7)-1)*100, "")</f>
        <v>1.0309247207885175</v>
      </c>
      <c r="J286" s="4" cm="1">
        <f t="array" aca="1" ref="J286" ca="1">IF(ROW()&gt;7, (F286/INDIRECT("F"&amp;ROW()-7)-1)*100, "")</f>
        <v>1.0309263292541226</v>
      </c>
      <c r="K286">
        <f t="shared" ca="1" si="8"/>
        <v>7661877</v>
      </c>
      <c r="L286" t="str">
        <f t="shared" ca="1" si="9"/>
        <v>Facebook</v>
      </c>
    </row>
    <row r="287" spans="2:12" x14ac:dyDescent="0.35">
      <c r="B287" s="3">
        <v>43750</v>
      </c>
      <c r="C287" s="4">
        <v>16321913</v>
      </c>
      <c r="D287" s="4">
        <v>12241435</v>
      </c>
      <c r="E287" s="4">
        <v>4987251</v>
      </c>
      <c r="F287" s="4">
        <v>11788048</v>
      </c>
      <c r="G287" s="4" cm="1">
        <f t="array" aca="1" ref="G287" ca="1">IF(ROW()&gt;7, (C287/INDIRECT("C"&amp;ROW()-7)-1)*100, "")</f>
        <v>-1.941746406258793</v>
      </c>
      <c r="H287" s="4" cm="1">
        <f t="array" aca="1" ref="H287" ca="1">IF(ROW()&gt;7, (D287/INDIRECT("D"&amp;ROW()-7)-1)*100, "")</f>
        <v>-1.9417424399657879</v>
      </c>
      <c r="I287" s="4" cm="1">
        <f t="array" aca="1" ref="I287" ca="1">IF(ROW()&gt;7, (E287/INDIRECT("E"&amp;ROW()-7)-1)*100, "")</f>
        <v>-1.9417389827149356</v>
      </c>
      <c r="J287" s="4" cm="1">
        <f t="array" aca="1" ref="J287" ca="1">IF(ROW()&gt;7, (F287/INDIRECT("F"&amp;ROW()-7)-1)*100, "")</f>
        <v>-1.9417500764257301</v>
      </c>
      <c r="K287">
        <f t="shared" ca="1" si="8"/>
        <v>16321913</v>
      </c>
      <c r="L287" t="str">
        <f t="shared" ca="1" si="9"/>
        <v>Facebook</v>
      </c>
    </row>
    <row r="288" spans="2:12" x14ac:dyDescent="0.35">
      <c r="B288" s="3">
        <v>43751</v>
      </c>
      <c r="C288" s="4">
        <v>15675500</v>
      </c>
      <c r="D288" s="4">
        <v>11756625</v>
      </c>
      <c r="E288" s="4">
        <v>4789736</v>
      </c>
      <c r="F288" s="4">
        <v>11321195</v>
      </c>
      <c r="G288" s="4" cm="1">
        <f t="array" aca="1" ref="G288" ca="1">IF(ROW()&gt;7, (C288/INDIRECT("C"&amp;ROW()-7)-1)*100, "")</f>
        <v>0</v>
      </c>
      <c r="H288" s="4" cm="1">
        <f t="array" aca="1" ref="H288" ca="1">IF(ROW()&gt;7, (D288/INDIRECT("D"&amp;ROW()-7)-1)*100, "")</f>
        <v>0</v>
      </c>
      <c r="I288" s="4" cm="1">
        <f t="array" aca="1" ref="I288" ca="1">IF(ROW()&gt;7, (E288/INDIRECT("E"&amp;ROW()-7)-1)*100, "")</f>
        <v>0</v>
      </c>
      <c r="J288" s="4" cm="1">
        <f t="array" aca="1" ref="J288" ca="1">IF(ROW()&gt;7, (F288/INDIRECT("F"&amp;ROW()-7)-1)*100, "")</f>
        <v>0</v>
      </c>
      <c r="K288">
        <f t="shared" ca="1" si="8"/>
        <v>0</v>
      </c>
      <c r="L288">
        <f t="shared" ca="1" si="9"/>
        <v>0</v>
      </c>
    </row>
    <row r="289" spans="2:12" x14ac:dyDescent="0.35">
      <c r="B289" s="3">
        <v>43752</v>
      </c>
      <c r="C289" s="4">
        <v>7505512</v>
      </c>
      <c r="D289" s="4">
        <v>5629134</v>
      </c>
      <c r="E289" s="4">
        <v>2293351</v>
      </c>
      <c r="F289" s="4">
        <v>5420648</v>
      </c>
      <c r="G289" s="4" cm="1">
        <f t="array" aca="1" ref="G289" ca="1">IF(ROW()&gt;7, (C289/INDIRECT("C"&amp;ROW()-7)-1)*100, "")</f>
        <v>-3.0303124265186554</v>
      </c>
      <c r="H289" s="4" cm="1">
        <f t="array" aca="1" ref="H289" ca="1">IF(ROW()&gt;7, (D289/INDIRECT("D"&amp;ROW()-7)-1)*100, "")</f>
        <v>-3.0303124265186554</v>
      </c>
      <c r="I289" s="4" cm="1">
        <f t="array" aca="1" ref="I289" ca="1">IF(ROW()&gt;7, (E289/INDIRECT("E"&amp;ROW()-7)-1)*100, "")</f>
        <v>-3.0302940611868445</v>
      </c>
      <c r="J289" s="4" cm="1">
        <f t="array" aca="1" ref="J289" ca="1">IF(ROW()&gt;7, (F289/INDIRECT("F"&amp;ROW()-7)-1)*100, "")</f>
        <v>-3.0302986935878629</v>
      </c>
      <c r="K289">
        <f t="shared" ca="1" si="8"/>
        <v>7505512</v>
      </c>
      <c r="L289" t="str">
        <f t="shared" ca="1" si="9"/>
        <v>Facebook</v>
      </c>
    </row>
    <row r="290" spans="2:12" x14ac:dyDescent="0.35">
      <c r="B290" s="3">
        <v>43753</v>
      </c>
      <c r="C290" s="4">
        <v>7896424</v>
      </c>
      <c r="D290" s="4">
        <v>5922318</v>
      </c>
      <c r="E290" s="4">
        <v>2412796</v>
      </c>
      <c r="F290" s="4">
        <v>5702973</v>
      </c>
      <c r="G290" s="4" cm="1">
        <f t="array" aca="1" ref="G290" ca="1">IF(ROW()&gt;7, (C290/INDIRECT("C"&amp;ROW()-7)-1)*100, "")</f>
        <v>-1.9417496223979036</v>
      </c>
      <c r="H290" s="4" cm="1">
        <f t="array" aca="1" ref="H290" ca="1">IF(ROW()&gt;7, (D290/INDIRECT("D"&amp;ROW()-7)-1)*100, "")</f>
        <v>-1.9417536813745029</v>
      </c>
      <c r="I290" s="4" cm="1">
        <f t="array" aca="1" ref="I290" ca="1">IF(ROW()&gt;7, (E290/INDIRECT("E"&amp;ROW()-7)-1)*100, "")</f>
        <v>-1.941742048806494</v>
      </c>
      <c r="J290" s="4" cm="1">
        <f t="array" aca="1" ref="J290" ca="1">IF(ROW()&gt;7, (F290/INDIRECT("F"&amp;ROW()-7)-1)*100, "")</f>
        <v>-1.9417449018664823</v>
      </c>
      <c r="K290">
        <f t="shared" ca="1" si="8"/>
        <v>7896424</v>
      </c>
      <c r="L290" t="str">
        <f t="shared" ca="1" si="9"/>
        <v>Facebook</v>
      </c>
    </row>
    <row r="291" spans="2:12" x14ac:dyDescent="0.35">
      <c r="B291" s="3">
        <v>43754</v>
      </c>
      <c r="C291" s="4">
        <v>7427330</v>
      </c>
      <c r="D291" s="4">
        <v>5570497</v>
      </c>
      <c r="E291" s="4">
        <v>2269462</v>
      </c>
      <c r="F291" s="4">
        <v>5364183</v>
      </c>
      <c r="G291" s="4" cm="1">
        <f t="array" aca="1" ref="G291" ca="1">IF(ROW()&gt;7, (C291/INDIRECT("C"&amp;ROW()-7)-1)*100, "")</f>
        <v>0</v>
      </c>
      <c r="H291" s="4" cm="1">
        <f t="array" aca="1" ref="H291" ca="1">IF(ROW()&gt;7, (D291/INDIRECT("D"&amp;ROW()-7)-1)*100, "")</f>
        <v>0</v>
      </c>
      <c r="I291" s="4" cm="1">
        <f t="array" aca="1" ref="I291" ca="1">IF(ROW()&gt;7, (E291/INDIRECT("E"&amp;ROW()-7)-1)*100, "")</f>
        <v>0</v>
      </c>
      <c r="J291" s="4" cm="1">
        <f t="array" aca="1" ref="J291" ca="1">IF(ROW()&gt;7, (F291/INDIRECT("F"&amp;ROW()-7)-1)*100, "")</f>
        <v>0</v>
      </c>
      <c r="K291">
        <f t="shared" ca="1" si="8"/>
        <v>0</v>
      </c>
      <c r="L291">
        <f t="shared" ca="1" si="9"/>
        <v>0</v>
      </c>
    </row>
    <row r="292" spans="2:12" x14ac:dyDescent="0.35">
      <c r="B292" s="3">
        <v>43755</v>
      </c>
      <c r="C292" s="4">
        <v>7974607</v>
      </c>
      <c r="D292" s="4">
        <v>5980955</v>
      </c>
      <c r="E292" s="4">
        <v>2436685</v>
      </c>
      <c r="F292" s="4">
        <v>5759438</v>
      </c>
      <c r="G292" s="4" cm="1">
        <f t="array" aca="1" ref="G292" ca="1">IF(ROW()&gt;7, (C292/INDIRECT("C"&amp;ROW()-7)-1)*100, "")</f>
        <v>4.0816369148186427</v>
      </c>
      <c r="H292" s="4" cm="1">
        <f t="array" aca="1" ref="H292" ca="1">IF(ROW()&gt;7, (D292/INDIRECT("D"&amp;ROW()-7)-1)*100, "")</f>
        <v>4.0816280361575474</v>
      </c>
      <c r="I292" s="4" cm="1">
        <f t="array" aca="1" ref="I292" ca="1">IF(ROW()&gt;7, (E292/INDIRECT("E"&amp;ROW()-7)-1)*100, "")</f>
        <v>4.081620448937251</v>
      </c>
      <c r="J292" s="4" cm="1">
        <f t="array" aca="1" ref="J292" ca="1">IF(ROW()&gt;7, (F292/INDIRECT("F"&amp;ROW()-7)-1)*100, "")</f>
        <v>4.0816267521665006</v>
      </c>
      <c r="K292">
        <f t="shared" ca="1" si="8"/>
        <v>7974607</v>
      </c>
      <c r="L292" t="str">
        <f t="shared" ca="1" si="9"/>
        <v>Facebook</v>
      </c>
    </row>
    <row r="293" spans="2:12" x14ac:dyDescent="0.35">
      <c r="B293" s="3">
        <v>43756</v>
      </c>
      <c r="C293" s="4">
        <v>7505512</v>
      </c>
      <c r="D293" s="4">
        <v>5629134</v>
      </c>
      <c r="E293" s="4">
        <v>2293351</v>
      </c>
      <c r="F293" s="4">
        <v>5420648</v>
      </c>
      <c r="G293" s="4" cm="1">
        <f t="array" aca="1" ref="G293" ca="1">IF(ROW()&gt;7, (C293/INDIRECT("C"&amp;ROW()-7)-1)*100, "")</f>
        <v>-2.0408184574093213</v>
      </c>
      <c r="H293" s="4" cm="1">
        <f t="array" aca="1" ref="H293" ca="1">IF(ROW()&gt;7, (D293/INDIRECT("D"&amp;ROW()-7)-1)*100, "")</f>
        <v>-2.0408227191664796</v>
      </c>
      <c r="I293" s="4" cm="1">
        <f t="array" aca="1" ref="I293" ca="1">IF(ROW()&gt;7, (E293/INDIRECT("E"&amp;ROW()-7)-1)*100, "")</f>
        <v>-2.0408102244686255</v>
      </c>
      <c r="J293" s="4" cm="1">
        <f t="array" aca="1" ref="J293" ca="1">IF(ROW()&gt;7, (F293/INDIRECT("F"&amp;ROW()-7)-1)*100, "")</f>
        <v>-2.0408133760832503</v>
      </c>
      <c r="K293">
        <f t="shared" ca="1" si="8"/>
        <v>7505512</v>
      </c>
      <c r="L293" t="str">
        <f t="shared" ca="1" si="9"/>
        <v>Facebook</v>
      </c>
    </row>
    <row r="294" spans="2:12" x14ac:dyDescent="0.35">
      <c r="B294" s="3">
        <v>43757</v>
      </c>
      <c r="C294" s="4">
        <v>16645119</v>
      </c>
      <c r="D294" s="4">
        <v>12483839</v>
      </c>
      <c r="E294" s="4">
        <v>5086008</v>
      </c>
      <c r="F294" s="4">
        <v>12021475</v>
      </c>
      <c r="G294" s="4" cm="1">
        <f t="array" aca="1" ref="G294" ca="1">IF(ROW()&gt;7, (C294/INDIRECT("C"&amp;ROW()-7)-1)*100, "")</f>
        <v>1.9801968065875641</v>
      </c>
      <c r="H294" s="4" cm="1">
        <f t="array" aca="1" ref="H294" ca="1">IF(ROW()&gt;7, (D294/INDIRECT("D"&amp;ROW()-7)-1)*100, "")</f>
        <v>1.9801926816586546</v>
      </c>
      <c r="I294" s="4" cm="1">
        <f t="array" aca="1" ref="I294" ca="1">IF(ROW()&gt;7, (E294/INDIRECT("E"&amp;ROW()-7)-1)*100, "")</f>
        <v>1.9801890861318228</v>
      </c>
      <c r="J294" s="4" cm="1">
        <f t="array" aca="1" ref="J294" ca="1">IF(ROW()&gt;7, (F294/INDIRECT("F"&amp;ROW()-7)-1)*100, "")</f>
        <v>1.9802006235468239</v>
      </c>
      <c r="K294">
        <f t="shared" ca="1" si="8"/>
        <v>16645119</v>
      </c>
      <c r="L294" t="str">
        <f t="shared" ca="1" si="9"/>
        <v>Facebook</v>
      </c>
    </row>
    <row r="295" spans="2:12" x14ac:dyDescent="0.35">
      <c r="B295" s="3">
        <v>43758</v>
      </c>
      <c r="C295" s="4">
        <v>15513897</v>
      </c>
      <c r="D295" s="4">
        <v>11635423</v>
      </c>
      <c r="E295" s="4">
        <v>4740357</v>
      </c>
      <c r="F295" s="4">
        <v>11204481</v>
      </c>
      <c r="G295" s="4" cm="1">
        <f t="array" aca="1" ref="G295" ca="1">IF(ROW()&gt;7, (C295/INDIRECT("C"&amp;ROW()-7)-1)*100, "")</f>
        <v>-1.0309272431501371</v>
      </c>
      <c r="H295" s="4" cm="1">
        <f t="array" aca="1" ref="H295" ca="1">IF(ROW()&gt;7, (D295/INDIRECT("D"&amp;ROW()-7)-1)*100, "")</f>
        <v>-1.0309251166895295</v>
      </c>
      <c r="I295" s="4" cm="1">
        <f t="array" aca="1" ref="I295" ca="1">IF(ROW()&gt;7, (E295/INDIRECT("E"&amp;ROW()-7)-1)*100, "")</f>
        <v>-1.0309336464473184</v>
      </c>
      <c r="J295" s="4" cm="1">
        <f t="array" aca="1" ref="J295" ca="1">IF(ROW()&gt;7, (F295/INDIRECT("F"&amp;ROW()-7)-1)*100, "")</f>
        <v>-1.0309335719418278</v>
      </c>
      <c r="K295">
        <f t="shared" ca="1" si="8"/>
        <v>15513897</v>
      </c>
      <c r="L295" t="str">
        <f t="shared" ca="1" si="9"/>
        <v>Facebook</v>
      </c>
    </row>
    <row r="296" spans="2:12" x14ac:dyDescent="0.35">
      <c r="B296" s="3">
        <v>43759</v>
      </c>
      <c r="C296" s="4">
        <v>8209154</v>
      </c>
      <c r="D296" s="4">
        <v>6156866</v>
      </c>
      <c r="E296" s="4">
        <v>2508352</v>
      </c>
      <c r="F296" s="4">
        <v>5928833</v>
      </c>
      <c r="G296" s="4" cm="1">
        <f t="array" aca="1" ref="G296" ca="1">IF(ROW()&gt;7, (C296/INDIRECT("C"&amp;ROW()-7)-1)*100, "")</f>
        <v>9.3750033308853453</v>
      </c>
      <c r="H296" s="4" cm="1">
        <f t="array" aca="1" ref="H296" ca="1">IF(ROW()&gt;7, (D296/INDIRECT("D"&amp;ROW()-7)-1)*100, "")</f>
        <v>9.3750122132463041</v>
      </c>
      <c r="I296" s="4" cm="1">
        <f t="array" aca="1" ref="I296" ca="1">IF(ROW()&gt;7, (E296/INDIRECT("E"&amp;ROW()-7)-1)*100, "")</f>
        <v>9.3749713846681182</v>
      </c>
      <c r="J296" s="4" cm="1">
        <f t="array" aca="1" ref="J296" ca="1">IF(ROW()&gt;7, (F296/INDIRECT("F"&amp;ROW()-7)-1)*100, "")</f>
        <v>9.3749861640158194</v>
      </c>
      <c r="K296">
        <f t="shared" ca="1" si="8"/>
        <v>8209154</v>
      </c>
      <c r="L296" t="str">
        <f t="shared" ca="1" si="9"/>
        <v>Facebook</v>
      </c>
    </row>
    <row r="297" spans="2:12" x14ac:dyDescent="0.35">
      <c r="B297" s="3">
        <v>43760</v>
      </c>
      <c r="C297" s="4">
        <v>7818242</v>
      </c>
      <c r="D297" s="4">
        <v>5863681</v>
      </c>
      <c r="E297" s="4">
        <v>2388907</v>
      </c>
      <c r="F297" s="4">
        <v>5646508</v>
      </c>
      <c r="G297" s="4" cm="1">
        <f t="array" aca="1" ref="G297" ca="1">IF(ROW()&gt;7, (C297/INDIRECT("C"&amp;ROW()-7)-1)*100, "")</f>
        <v>-0.99009374369968262</v>
      </c>
      <c r="H297" s="4" cm="1">
        <f t="array" aca="1" ref="H297" ca="1">IF(ROW()&gt;7, (D297/INDIRECT("D"&amp;ROW()-7)-1)*100, "")</f>
        <v>-0.99010218633988067</v>
      </c>
      <c r="I297" s="4" cm="1">
        <f t="array" aca="1" ref="I297" ca="1">IF(ROW()&gt;7, (E297/INDIRECT("E"&amp;ROW()-7)-1)*100, "")</f>
        <v>-0.99009613742728764</v>
      </c>
      <c r="J297" s="4" cm="1">
        <f t="array" aca="1" ref="J297" ca="1">IF(ROW()&gt;7, (F297/INDIRECT("F"&amp;ROW()-7)-1)*100, "")</f>
        <v>-0.99009762101276433</v>
      </c>
      <c r="K297">
        <f t="shared" ca="1" si="8"/>
        <v>7818242</v>
      </c>
      <c r="L297" t="str">
        <f t="shared" ca="1" si="9"/>
        <v>Facebook</v>
      </c>
    </row>
    <row r="298" spans="2:12" x14ac:dyDescent="0.35">
      <c r="B298" s="3">
        <v>43761</v>
      </c>
      <c r="C298" s="4">
        <v>7818242</v>
      </c>
      <c r="D298" s="4">
        <v>5863681</v>
      </c>
      <c r="E298" s="4">
        <v>2388907</v>
      </c>
      <c r="F298" s="4">
        <v>5646508</v>
      </c>
      <c r="G298" s="4" cm="1">
        <f t="array" aca="1" ref="G298" ca="1">IF(ROW()&gt;7, (C298/INDIRECT("C"&amp;ROW()-7)-1)*100, "")</f>
        <v>5.2631564774959561</v>
      </c>
      <c r="H298" s="4" cm="1">
        <f t="array" aca="1" ref="H298" ca="1">IF(ROW()&gt;7, (D298/INDIRECT("D"&amp;ROW()-7)-1)*100, "")</f>
        <v>5.2631569499094866</v>
      </c>
      <c r="I298" s="4" cm="1">
        <f t="array" aca="1" ref="I298" ca="1">IF(ROW()&gt;7, (E298/INDIRECT("E"&amp;ROW()-7)-1)*100, "")</f>
        <v>5.2631416608870385</v>
      </c>
      <c r="J298" s="4" cm="1">
        <f t="array" aca="1" ref="J298" ca="1">IF(ROW()&gt;7, (F298/INDIRECT("F"&amp;ROW()-7)-1)*100, "")</f>
        <v>5.2631500454030089</v>
      </c>
      <c r="K298">
        <f t="shared" ca="1" si="8"/>
        <v>7818242</v>
      </c>
      <c r="L298" t="str">
        <f t="shared" ca="1" si="9"/>
        <v>Facebook</v>
      </c>
    </row>
    <row r="299" spans="2:12" x14ac:dyDescent="0.35">
      <c r="B299" s="3">
        <v>43762</v>
      </c>
      <c r="C299" s="4">
        <v>7583695</v>
      </c>
      <c r="D299" s="4">
        <v>5687771</v>
      </c>
      <c r="E299" s="4">
        <v>2317240</v>
      </c>
      <c r="F299" s="4">
        <v>5477113</v>
      </c>
      <c r="G299" s="4" cm="1">
        <f t="array" aca="1" ref="G299" ca="1">IF(ROW()&gt;7, (C299/INDIRECT("C"&amp;ROW()-7)-1)*100, "")</f>
        <v>-4.9019594319820392</v>
      </c>
      <c r="H299" s="4" cm="1">
        <f t="array" aca="1" ref="H299" ca="1">IF(ROW()&gt;7, (D299/INDIRECT("D"&amp;ROW()-7)-1)*100, "")</f>
        <v>-4.9019596368807372</v>
      </c>
      <c r="I299" s="4" cm="1">
        <f t="array" aca="1" ref="I299" ca="1">IF(ROW()&gt;7, (E299/INDIRECT("E"&amp;ROW()-7)-1)*100, "")</f>
        <v>-4.9019467021793943</v>
      </c>
      <c r="J299" s="4" cm="1">
        <f t="array" aca="1" ref="J299" ca="1">IF(ROW()&gt;7, (F299/INDIRECT("F"&amp;ROW()-7)-1)*100, "")</f>
        <v>-4.9019539753705104</v>
      </c>
      <c r="K299">
        <f t="shared" ca="1" si="8"/>
        <v>7583695</v>
      </c>
      <c r="L299" t="str">
        <f t="shared" ca="1" si="9"/>
        <v>Facebook</v>
      </c>
    </row>
    <row r="300" spans="2:12" x14ac:dyDescent="0.35">
      <c r="B300" s="3">
        <v>43763</v>
      </c>
      <c r="C300" s="4">
        <v>7740060</v>
      </c>
      <c r="D300" s="4">
        <v>5805045</v>
      </c>
      <c r="E300" s="4">
        <v>2365018</v>
      </c>
      <c r="F300" s="4">
        <v>5590043</v>
      </c>
      <c r="G300" s="4" cm="1">
        <f t="array" aca="1" ref="G300" ca="1">IF(ROW()&gt;7, (C300/INDIRECT("C"&amp;ROW()-7)-1)*100, "")</f>
        <v>3.1250099926560582</v>
      </c>
      <c r="H300" s="4" cm="1">
        <f t="array" aca="1" ref="H300" ca="1">IF(ROW()&gt;7, (D300/INDIRECT("D"&amp;ROW()-7)-1)*100, "")</f>
        <v>3.1250099926560582</v>
      </c>
      <c r="I300" s="4" cm="1">
        <f t="array" aca="1" ref="I300" ca="1">IF(ROW()&gt;7, (E300/INDIRECT("E"&amp;ROW()-7)-1)*100, "")</f>
        <v>3.124990461556032</v>
      </c>
      <c r="J300" s="4" cm="1">
        <f t="array" aca="1" ref="J300" ca="1">IF(ROW()&gt;7, (F300/INDIRECT("F"&amp;ROW()-7)-1)*100, "")</f>
        <v>3.1249953880052805</v>
      </c>
      <c r="K300">
        <f t="shared" ca="1" si="8"/>
        <v>7740060</v>
      </c>
      <c r="L300" t="str">
        <f t="shared" ca="1" si="9"/>
        <v>Facebook</v>
      </c>
    </row>
    <row r="301" spans="2:12" x14ac:dyDescent="0.35">
      <c r="B301" s="3">
        <v>43764</v>
      </c>
      <c r="C301" s="4">
        <v>15837104</v>
      </c>
      <c r="D301" s="4">
        <v>11877828</v>
      </c>
      <c r="E301" s="4">
        <v>4839115</v>
      </c>
      <c r="F301" s="4">
        <v>11437908</v>
      </c>
      <c r="G301" s="4" cm="1">
        <f t="array" aca="1" ref="G301" ca="1">IF(ROW()&gt;7, (C301/INDIRECT("C"&amp;ROW()-7)-1)*100, "")</f>
        <v>-4.8543660156469937</v>
      </c>
      <c r="H301" s="4" cm="1">
        <f t="array" aca="1" ref="H301" ca="1">IF(ROW()&gt;7, (D301/INDIRECT("D"&amp;ROW()-7)-1)*100, "")</f>
        <v>-4.8543641102708923</v>
      </c>
      <c r="I301" s="4" cm="1">
        <f t="array" aca="1" ref="I301" ca="1">IF(ROW()&gt;7, (E301/INDIRECT("E"&amp;ROW()-7)-1)*100, "")</f>
        <v>-4.8543572876802443</v>
      </c>
      <c r="J301" s="4" cm="1">
        <f t="array" aca="1" ref="J301" ca="1">IF(ROW()&gt;7, (F301/INDIRECT("F"&amp;ROW()-7)-1)*100, "")</f>
        <v>-4.8543710318409321</v>
      </c>
      <c r="K301">
        <f t="shared" ca="1" si="8"/>
        <v>15837104</v>
      </c>
      <c r="L301" t="str">
        <f t="shared" ca="1" si="9"/>
        <v>Facebook</v>
      </c>
    </row>
    <row r="302" spans="2:12" x14ac:dyDescent="0.35">
      <c r="B302" s="3">
        <v>43765</v>
      </c>
      <c r="C302" s="4">
        <v>15513897</v>
      </c>
      <c r="D302" s="4">
        <v>11635423</v>
      </c>
      <c r="E302" s="4">
        <v>4740357</v>
      </c>
      <c r="F302" s="4">
        <v>11204481</v>
      </c>
      <c r="G302" s="4" cm="1">
        <f t="array" aca="1" ref="G302" ca="1">IF(ROW()&gt;7, (C302/INDIRECT("C"&amp;ROW()-7)-1)*100, "")</f>
        <v>0</v>
      </c>
      <c r="H302" s="4" cm="1">
        <f t="array" aca="1" ref="H302" ca="1">IF(ROW()&gt;7, (D302/INDIRECT("D"&amp;ROW()-7)-1)*100, "")</f>
        <v>0</v>
      </c>
      <c r="I302" s="4" cm="1">
        <f t="array" aca="1" ref="I302" ca="1">IF(ROW()&gt;7, (E302/INDIRECT("E"&amp;ROW()-7)-1)*100, "")</f>
        <v>0</v>
      </c>
      <c r="J302" s="4" cm="1">
        <f t="array" aca="1" ref="J302" ca="1">IF(ROW()&gt;7, (F302/INDIRECT("F"&amp;ROW()-7)-1)*100, "")</f>
        <v>0</v>
      </c>
      <c r="K302">
        <f t="shared" ca="1" si="8"/>
        <v>0</v>
      </c>
      <c r="L302">
        <f t="shared" ca="1" si="9"/>
        <v>0</v>
      </c>
    </row>
    <row r="303" spans="2:12" x14ac:dyDescent="0.35">
      <c r="B303" s="3">
        <v>43766</v>
      </c>
      <c r="C303" s="4">
        <v>7583695</v>
      </c>
      <c r="D303" s="4">
        <v>5687771</v>
      </c>
      <c r="E303" s="4">
        <v>2317240</v>
      </c>
      <c r="F303" s="4">
        <v>5477113</v>
      </c>
      <c r="G303" s="4" cm="1">
        <f t="array" aca="1" ref="G303" ca="1">IF(ROW()&gt;7, (C303/INDIRECT("C"&amp;ROW()-7)-1)*100, "")</f>
        <v>-7.6190433265108659</v>
      </c>
      <c r="H303" s="4" cm="1">
        <f t="array" aca="1" ref="H303" ca="1">IF(ROW()&gt;7, (D303/INDIRECT("D"&amp;ROW()-7)-1)*100, "")</f>
        <v>-7.6190548892894565</v>
      </c>
      <c r="I303" s="4" cm="1">
        <f t="array" aca="1" ref="I303" ca="1">IF(ROW()&gt;7, (E303/INDIRECT("E"&amp;ROW()-7)-1)*100, "")</f>
        <v>-7.6190263567473826</v>
      </c>
      <c r="J303" s="4" cm="1">
        <f t="array" aca="1" ref="J303" ca="1">IF(ROW()&gt;7, (F303/INDIRECT("F"&amp;ROW()-7)-1)*100, "")</f>
        <v>-7.6190373383767103</v>
      </c>
      <c r="K303">
        <f t="shared" ca="1" si="8"/>
        <v>7583695</v>
      </c>
      <c r="L303" t="str">
        <f t="shared" ca="1" si="9"/>
        <v>Facebook</v>
      </c>
    </row>
    <row r="304" spans="2:12" x14ac:dyDescent="0.35">
      <c r="B304" s="3">
        <v>43767</v>
      </c>
      <c r="C304" s="4">
        <v>7974607</v>
      </c>
      <c r="D304" s="4">
        <v>5980955</v>
      </c>
      <c r="E304" s="4">
        <v>2436685</v>
      </c>
      <c r="F304" s="4">
        <v>5759438</v>
      </c>
      <c r="G304" s="4" cm="1">
        <f t="array" aca="1" ref="G304" ca="1">IF(ROW()&gt;7, (C304/INDIRECT("C"&amp;ROW()-7)-1)*100, "")</f>
        <v>2.0000020464958856</v>
      </c>
      <c r="H304" s="4" cm="1">
        <f t="array" aca="1" ref="H304" ca="1">IF(ROW()&gt;7, (D304/INDIRECT("D"&amp;ROW()-7)-1)*100, "")</f>
        <v>2.0000064805708151</v>
      </c>
      <c r="I304" s="4" cm="1">
        <f t="array" aca="1" ref="I304" ca="1">IF(ROW()&gt;7, (E304/INDIRECT("E"&amp;ROW()-7)-1)*100, "")</f>
        <v>1.9999941395793197</v>
      </c>
      <c r="J304" s="4" cm="1">
        <f t="array" aca="1" ref="J304" ca="1">IF(ROW()&gt;7, (F304/INDIRECT("F"&amp;ROW()-7)-1)*100, "")</f>
        <v>1.9999971663902771</v>
      </c>
      <c r="K304">
        <f t="shared" ca="1" si="8"/>
        <v>7974607</v>
      </c>
      <c r="L304" t="str">
        <f t="shared" ca="1" si="9"/>
        <v>Facebook</v>
      </c>
    </row>
    <row r="305" spans="2:12" x14ac:dyDescent="0.35">
      <c r="B305" s="3">
        <v>43768</v>
      </c>
      <c r="C305" s="4">
        <v>7740060</v>
      </c>
      <c r="D305" s="4">
        <v>5805045</v>
      </c>
      <c r="E305" s="4">
        <v>2365018</v>
      </c>
      <c r="F305" s="4">
        <v>5590043</v>
      </c>
      <c r="G305" s="4" cm="1">
        <f t="array" aca="1" ref="G305" ca="1">IF(ROW()&gt;7, (C305/INDIRECT("C"&amp;ROW()-7)-1)*100, "")</f>
        <v>-0.99999462794833072</v>
      </c>
      <c r="H305" s="4" cm="1">
        <f t="array" aca="1" ref="H305" ca="1">IF(ROW()&gt;7, (D305/INDIRECT("D"&amp;ROW()-7)-1)*100, "")</f>
        <v>-0.99998618615166901</v>
      </c>
      <c r="I305" s="4" cm="1">
        <f t="array" aca="1" ref="I305" ca="1">IF(ROW()&gt;7, (E305/INDIRECT("E"&amp;ROW()-7)-1)*100, "")</f>
        <v>-0.99999706978965985</v>
      </c>
      <c r="J305" s="4" cm="1">
        <f t="array" aca="1" ref="J305" ca="1">IF(ROW()&gt;7, (F305/INDIRECT("F"&amp;ROW()-7)-1)*100, "")</f>
        <v>-0.99999858319513857</v>
      </c>
      <c r="K305">
        <f t="shared" ca="1" si="8"/>
        <v>7740060</v>
      </c>
      <c r="L305" t="str">
        <f t="shared" ca="1" si="9"/>
        <v>Facebook</v>
      </c>
    </row>
    <row r="306" spans="2:12" x14ac:dyDescent="0.35">
      <c r="B306" s="3">
        <v>43769</v>
      </c>
      <c r="C306" s="4">
        <v>7427330</v>
      </c>
      <c r="D306" s="4">
        <v>5570497</v>
      </c>
      <c r="E306" s="4">
        <v>2269462</v>
      </c>
      <c r="F306" s="4">
        <v>5364183</v>
      </c>
      <c r="G306" s="4" cm="1">
        <f t="array" aca="1" ref="G306" ca="1">IF(ROW()&gt;7, (C306/INDIRECT("C"&amp;ROW()-7)-1)*100, "")</f>
        <v>-2.0618577092037627</v>
      </c>
      <c r="H306" s="4" cm="1">
        <f t="array" aca="1" ref="H306" ca="1">IF(ROW()&gt;7, (D306/INDIRECT("D"&amp;ROW()-7)-1)*100, "")</f>
        <v>-2.0618621952255056</v>
      </c>
      <c r="I306" s="4" cm="1">
        <f t="array" aca="1" ref="I306" ca="1">IF(ROW()&gt;7, (E306/INDIRECT("E"&amp;ROW()-7)-1)*100, "")</f>
        <v>-2.0618494415770461</v>
      </c>
      <c r="J306" s="4" cm="1">
        <f t="array" aca="1" ref="J306" ca="1">IF(ROW()&gt;7, (F306/INDIRECT("F"&amp;ROW()-7)-1)*100, "")</f>
        <v>-2.0618526585082342</v>
      </c>
      <c r="K306">
        <f t="shared" ca="1" si="8"/>
        <v>7427330</v>
      </c>
      <c r="L306" t="str">
        <f t="shared" ca="1" si="9"/>
        <v>Facebook</v>
      </c>
    </row>
    <row r="307" spans="2:12" x14ac:dyDescent="0.35">
      <c r="B307" s="3">
        <v>43770</v>
      </c>
      <c r="C307" s="4">
        <v>7583695</v>
      </c>
      <c r="D307" s="4">
        <v>5687771</v>
      </c>
      <c r="E307" s="4">
        <v>2317240</v>
      </c>
      <c r="F307" s="4">
        <v>5477113</v>
      </c>
      <c r="G307" s="4" cm="1">
        <f t="array" aca="1" ref="G307" ca="1">IF(ROW()&gt;7, (C307/INDIRECT("C"&amp;ROW()-7)-1)*100, "")</f>
        <v>-2.0202039777469372</v>
      </c>
      <c r="H307" s="4" cm="1">
        <f t="array" aca="1" ref="H307" ca="1">IF(ROW()&gt;7, (D307/INDIRECT("D"&amp;ROW()-7)-1)*100, "")</f>
        <v>-2.0202082843457703</v>
      </c>
      <c r="I307" s="4" cm="1">
        <f t="array" aca="1" ref="I307" ca="1">IF(ROW()&gt;7, (E307/INDIRECT("E"&amp;ROW()-7)-1)*100, "")</f>
        <v>-2.0201960407912334</v>
      </c>
      <c r="J307" s="4" cm="1">
        <f t="array" aca="1" ref="J307" ca="1">IF(ROW()&gt;7, (F307/INDIRECT("F"&amp;ROW()-7)-1)*100, "")</f>
        <v>-2.0201991290585752</v>
      </c>
      <c r="K307">
        <f t="shared" ca="1" si="8"/>
        <v>7583695</v>
      </c>
      <c r="L307" t="str">
        <f t="shared" ca="1" si="9"/>
        <v>Facebook</v>
      </c>
    </row>
    <row r="308" spans="2:12" x14ac:dyDescent="0.35">
      <c r="B308" s="3">
        <v>43771</v>
      </c>
      <c r="C308" s="4">
        <v>15352294</v>
      </c>
      <c r="D308" s="4">
        <v>11514221</v>
      </c>
      <c r="E308" s="4">
        <v>4690978</v>
      </c>
      <c r="F308" s="4">
        <v>11087768</v>
      </c>
      <c r="G308" s="4" cm="1">
        <f t="array" aca="1" ref="G308" ca="1">IF(ROW()&gt;7, (C308/INDIRECT("C"&amp;ROW()-7)-1)*100, "")</f>
        <v>-3.061228871137045</v>
      </c>
      <c r="H308" s="4" cm="1">
        <f t="array" aca="1" ref="H308" ca="1">IF(ROW()&gt;7, (D308/INDIRECT("D"&amp;ROW()-7)-1)*100, "")</f>
        <v>-3.0612246616132155</v>
      </c>
      <c r="I308" s="4" cm="1">
        <f t="array" aca="1" ref="I308" ca="1">IF(ROW()&gt;7, (E308/INDIRECT("E"&amp;ROW()-7)-1)*100, "")</f>
        <v>-3.061241569997819</v>
      </c>
      <c r="J308" s="4" cm="1">
        <f t="array" aca="1" ref="J308" ca="1">IF(ROW()&gt;7, (F308/INDIRECT("F"&amp;ROW()-7)-1)*100, "")</f>
        <v>-3.0612241329445955</v>
      </c>
      <c r="K308">
        <f t="shared" ca="1" si="8"/>
        <v>15352294</v>
      </c>
      <c r="L308" t="str">
        <f t="shared" ca="1" si="9"/>
        <v>Facebook</v>
      </c>
    </row>
    <row r="309" spans="2:12" x14ac:dyDescent="0.35">
      <c r="B309" s="3">
        <v>43772</v>
      </c>
      <c r="C309" s="4">
        <v>16483516</v>
      </c>
      <c r="D309" s="4">
        <v>12362637</v>
      </c>
      <c r="E309" s="4">
        <v>5036630</v>
      </c>
      <c r="F309" s="4">
        <v>11904761</v>
      </c>
      <c r="G309" s="4" cm="1">
        <f t="array" aca="1" ref="G309" ca="1">IF(ROW()&gt;7, (C309/INDIRECT("C"&amp;ROW()-7)-1)*100, "")</f>
        <v>6.2500028200522362</v>
      </c>
      <c r="H309" s="4" cm="1">
        <f t="array" aca="1" ref="H309" ca="1">IF(ROW()&gt;7, (D309/INDIRECT("D"&amp;ROW()-7)-1)*100, "")</f>
        <v>6.2500005371527889</v>
      </c>
      <c r="I309" s="4" cm="1">
        <f t="array" aca="1" ref="I309" ca="1">IF(ROW()&gt;7, (E309/INDIRECT("E"&amp;ROW()-7)-1)*100, "")</f>
        <v>6.2500145031270771</v>
      </c>
      <c r="J309" s="4" cm="1">
        <f t="array" aca="1" ref="J309" ca="1">IF(ROW()&gt;7, (F309/INDIRECT("F"&amp;ROW()-7)-1)*100, "")</f>
        <v>6.2499994421874705</v>
      </c>
      <c r="K309">
        <f t="shared" ca="1" si="8"/>
        <v>16483516</v>
      </c>
      <c r="L309" t="str">
        <f t="shared" ca="1" si="9"/>
        <v>Facebook</v>
      </c>
    </row>
    <row r="310" spans="2:12" x14ac:dyDescent="0.35">
      <c r="B310" s="3">
        <v>43773</v>
      </c>
      <c r="C310" s="4">
        <v>7661877</v>
      </c>
      <c r="D310" s="4">
        <v>5746408</v>
      </c>
      <c r="E310" s="4">
        <v>2341129</v>
      </c>
      <c r="F310" s="4">
        <v>5533578</v>
      </c>
      <c r="G310" s="4" cm="1">
        <f t="array" aca="1" ref="G310" ca="1">IF(ROW()&gt;7, (C310/INDIRECT("C"&amp;ROW()-7)-1)*100, "")</f>
        <v>1.0309222615097369</v>
      </c>
      <c r="H310" s="4" cm="1">
        <f t="array" aca="1" ref="H310" ca="1">IF(ROW()&gt;7, (D310/INDIRECT("D"&amp;ROW()-7)-1)*100, "")</f>
        <v>1.0309310976127639</v>
      </c>
      <c r="I310" s="4" cm="1">
        <f t="array" aca="1" ref="I310" ca="1">IF(ROW()&gt;7, (E310/INDIRECT("E"&amp;ROW()-7)-1)*100, "")</f>
        <v>1.0309247207885175</v>
      </c>
      <c r="J310" s="4" cm="1">
        <f t="array" aca="1" ref="J310" ca="1">IF(ROW()&gt;7, (F310/INDIRECT("F"&amp;ROW()-7)-1)*100, "")</f>
        <v>1.0309263292541226</v>
      </c>
      <c r="K310">
        <f t="shared" ca="1" si="8"/>
        <v>7661877</v>
      </c>
      <c r="L310" t="str">
        <f t="shared" ca="1" si="9"/>
        <v>Facebook</v>
      </c>
    </row>
    <row r="311" spans="2:12" x14ac:dyDescent="0.35">
      <c r="B311" s="3">
        <v>43774</v>
      </c>
      <c r="C311" s="4">
        <v>7505512</v>
      </c>
      <c r="D311" s="4">
        <v>5629134</v>
      </c>
      <c r="E311" s="4">
        <v>2293351</v>
      </c>
      <c r="F311" s="4">
        <v>5420648</v>
      </c>
      <c r="G311" s="4" cm="1">
        <f t="array" aca="1" ref="G311" ca="1">IF(ROW()&gt;7, (C311/INDIRECT("C"&amp;ROW()-7)-1)*100, "")</f>
        <v>-5.882358842260194</v>
      </c>
      <c r="H311" s="4" cm="1">
        <f t="array" aca="1" ref="H311" ca="1">IF(ROW()&gt;7, (D311/INDIRECT("D"&amp;ROW()-7)-1)*100, "")</f>
        <v>-5.8823549082044568</v>
      </c>
      <c r="I311" s="4" cm="1">
        <f t="array" aca="1" ref="I311" ca="1">IF(ROW()&gt;7, (E311/INDIRECT("E"&amp;ROW()-7)-1)*100, "")</f>
        <v>-5.8823360426152771</v>
      </c>
      <c r="J311" s="4" cm="1">
        <f t="array" aca="1" ref="J311" ca="1">IF(ROW()&gt;7, (F311/INDIRECT("F"&amp;ROW()-7)-1)*100, "")</f>
        <v>-5.8823447704446146</v>
      </c>
      <c r="K311">
        <f t="shared" ca="1" si="8"/>
        <v>7505512</v>
      </c>
      <c r="L311" t="str">
        <f t="shared" ca="1" si="9"/>
        <v>Facebook</v>
      </c>
    </row>
    <row r="312" spans="2:12" x14ac:dyDescent="0.35">
      <c r="B312" s="3">
        <v>43775</v>
      </c>
      <c r="C312" s="4">
        <v>7740060</v>
      </c>
      <c r="D312" s="4">
        <v>5805045</v>
      </c>
      <c r="E312" s="4">
        <v>2365018</v>
      </c>
      <c r="F312" s="4">
        <v>5590043</v>
      </c>
      <c r="G312" s="4" cm="1">
        <f t="array" aca="1" ref="G312" ca="1">IF(ROW()&gt;7, (C312/INDIRECT("C"&amp;ROW()-7)-1)*100, "")</f>
        <v>0</v>
      </c>
      <c r="H312" s="4" cm="1">
        <f t="array" aca="1" ref="H312" ca="1">IF(ROW()&gt;7, (D312/INDIRECT("D"&amp;ROW()-7)-1)*100, "")</f>
        <v>0</v>
      </c>
      <c r="I312" s="4" cm="1">
        <f t="array" aca="1" ref="I312" ca="1">IF(ROW()&gt;7, (E312/INDIRECT("E"&amp;ROW()-7)-1)*100, "")</f>
        <v>0</v>
      </c>
      <c r="J312" s="4" cm="1">
        <f t="array" aca="1" ref="J312" ca="1">IF(ROW()&gt;7, (F312/INDIRECT("F"&amp;ROW()-7)-1)*100, "")</f>
        <v>0</v>
      </c>
      <c r="K312">
        <f t="shared" ca="1" si="8"/>
        <v>0</v>
      </c>
      <c r="L312">
        <f t="shared" ca="1" si="9"/>
        <v>0</v>
      </c>
    </row>
    <row r="313" spans="2:12" x14ac:dyDescent="0.35">
      <c r="B313" s="3">
        <v>43776</v>
      </c>
      <c r="C313" s="4">
        <v>7505512</v>
      </c>
      <c r="D313" s="4">
        <v>5629134</v>
      </c>
      <c r="E313" s="4">
        <v>2293351</v>
      </c>
      <c r="F313" s="4">
        <v>5420648</v>
      </c>
      <c r="G313" s="4" cm="1">
        <f t="array" aca="1" ref="G313" ca="1">IF(ROW()&gt;7, (C313/INDIRECT("C"&amp;ROW()-7)-1)*100, "")</f>
        <v>1.0526259099838065</v>
      </c>
      <c r="H313" s="4" cm="1">
        <f t="array" aca="1" ref="H313" ca="1">IF(ROW()&gt;7, (D313/INDIRECT("D"&amp;ROW()-7)-1)*100, "")</f>
        <v>1.0526349803258173</v>
      </c>
      <c r="I313" s="4" cm="1">
        <f t="array" aca="1" ref="I313" ca="1">IF(ROW()&gt;7, (E313/INDIRECT("E"&amp;ROW()-7)-1)*100, "")</f>
        <v>1.0526283321774077</v>
      </c>
      <c r="J313" s="4" cm="1">
        <f t="array" aca="1" ref="J313" ca="1">IF(ROW()&gt;7, (F313/INDIRECT("F"&amp;ROW()-7)-1)*100, "")</f>
        <v>1.0526300090806018</v>
      </c>
      <c r="K313">
        <f t="shared" ca="1" si="8"/>
        <v>7505512</v>
      </c>
      <c r="L313" t="str">
        <f t="shared" ca="1" si="9"/>
        <v>Facebook</v>
      </c>
    </row>
    <row r="314" spans="2:12" x14ac:dyDescent="0.35">
      <c r="B314" s="3">
        <v>43777</v>
      </c>
      <c r="C314" s="4">
        <v>7583695</v>
      </c>
      <c r="D314" s="4">
        <v>5687771</v>
      </c>
      <c r="E314" s="4">
        <v>2317240</v>
      </c>
      <c r="F314" s="4">
        <v>5477113</v>
      </c>
      <c r="G314" s="4" cm="1">
        <f t="array" aca="1" ref="G314" ca="1">IF(ROW()&gt;7, (C314/INDIRECT("C"&amp;ROW()-7)-1)*100, "")</f>
        <v>0</v>
      </c>
      <c r="H314" s="4" cm="1">
        <f t="array" aca="1" ref="H314" ca="1">IF(ROW()&gt;7, (D314/INDIRECT("D"&amp;ROW()-7)-1)*100, "")</f>
        <v>0</v>
      </c>
      <c r="I314" s="4" cm="1">
        <f t="array" aca="1" ref="I314" ca="1">IF(ROW()&gt;7, (E314/INDIRECT("E"&amp;ROW()-7)-1)*100, "")</f>
        <v>0</v>
      </c>
      <c r="J314" s="4" cm="1">
        <f t="array" aca="1" ref="J314" ca="1">IF(ROW()&gt;7, (F314/INDIRECT("F"&amp;ROW()-7)-1)*100, "")</f>
        <v>0</v>
      </c>
      <c r="K314">
        <f t="shared" ca="1" si="8"/>
        <v>0</v>
      </c>
      <c r="L314">
        <f t="shared" ca="1" si="9"/>
        <v>0</v>
      </c>
    </row>
    <row r="315" spans="2:12" x14ac:dyDescent="0.35">
      <c r="B315" s="3">
        <v>43778</v>
      </c>
      <c r="C315" s="4">
        <v>16483516</v>
      </c>
      <c r="D315" s="4">
        <v>12362637</v>
      </c>
      <c r="E315" s="4">
        <v>5036630</v>
      </c>
      <c r="F315" s="4">
        <v>11904761</v>
      </c>
      <c r="G315" s="4" cm="1">
        <f t="array" aca="1" ref="G315" ca="1">IF(ROW()&gt;7, (C315/INDIRECT("C"&amp;ROW()-7)-1)*100, "")</f>
        <v>7.3684232467147837</v>
      </c>
      <c r="H315" s="4" cm="1">
        <f t="array" aca="1" ref="H315" ca="1">IF(ROW()&gt;7, (D315/INDIRECT("D"&amp;ROW()-7)-1)*100, "")</f>
        <v>7.3684185842880723</v>
      </c>
      <c r="I315" s="4" cm="1">
        <f t="array" aca="1" ref="I315" ca="1">IF(ROW()&gt;7, (E315/INDIRECT("E"&amp;ROW()-7)-1)*100, "")</f>
        <v>7.3684421457529847</v>
      </c>
      <c r="J315" s="4" cm="1">
        <f t="array" aca="1" ref="J315" ca="1">IF(ROW()&gt;7, (F315/INDIRECT("F"&amp;ROW()-7)-1)*100, "")</f>
        <v>7.3684171602436122</v>
      </c>
      <c r="K315">
        <f t="shared" ca="1" si="8"/>
        <v>16483516</v>
      </c>
      <c r="L315" t="str">
        <f t="shared" ca="1" si="9"/>
        <v>Facebook</v>
      </c>
    </row>
    <row r="316" spans="2:12" x14ac:dyDescent="0.35">
      <c r="B316" s="3">
        <v>43779</v>
      </c>
      <c r="C316" s="4">
        <v>16968325</v>
      </c>
      <c r="D316" s="4">
        <v>12726244</v>
      </c>
      <c r="E316" s="4">
        <v>5184766</v>
      </c>
      <c r="F316" s="4">
        <v>12254901</v>
      </c>
      <c r="G316" s="4" cm="1">
        <f t="array" aca="1" ref="G316" ca="1">IF(ROW()&gt;7, (C316/INDIRECT("C"&amp;ROW()-7)-1)*100, "")</f>
        <v>2.9411746862744614</v>
      </c>
      <c r="H316" s="4" cm="1">
        <f t="array" aca="1" ref="H316" ca="1">IF(ROW()&gt;7, (D316/INDIRECT("D"&amp;ROW()-7)-1)*100, "")</f>
        <v>2.94117670849674</v>
      </c>
      <c r="I316" s="4" cm="1">
        <f t="array" aca="1" ref="I316" ca="1">IF(ROW()&gt;7, (E316/INDIRECT("E"&amp;ROW()-7)-1)*100, "")</f>
        <v>2.9411729668448849</v>
      </c>
      <c r="J316" s="4" cm="1">
        <f t="array" aca="1" ref="J316" ca="1">IF(ROW()&gt;7, (F316/INDIRECT("F"&amp;ROW()-7)-1)*100, "")</f>
        <v>2.9411762235293848</v>
      </c>
      <c r="K316">
        <f t="shared" ca="1" si="8"/>
        <v>16968325</v>
      </c>
      <c r="L316" t="str">
        <f t="shared" ca="1" si="9"/>
        <v>Facebook</v>
      </c>
    </row>
    <row r="317" spans="2:12" x14ac:dyDescent="0.35">
      <c r="B317" s="3">
        <v>43780</v>
      </c>
      <c r="C317" s="4">
        <v>7740060</v>
      </c>
      <c r="D317" s="4">
        <v>5805045</v>
      </c>
      <c r="E317" s="4">
        <v>2365018</v>
      </c>
      <c r="F317" s="4">
        <v>5590043</v>
      </c>
      <c r="G317" s="4" cm="1">
        <f t="array" aca="1" ref="G317" ca="1">IF(ROW()&gt;7, (C317/INDIRECT("C"&amp;ROW()-7)-1)*100, "")</f>
        <v>1.0204157545207204</v>
      </c>
      <c r="H317" s="4" cm="1">
        <f t="array" aca="1" ref="H317" ca="1">IF(ROW()&gt;7, (D317/INDIRECT("D"&amp;ROW()-7)-1)*100, "")</f>
        <v>1.0204113595832398</v>
      </c>
      <c r="I317" s="4" cm="1">
        <f t="array" aca="1" ref="I317" ca="1">IF(ROW()&gt;7, (E317/INDIRECT("E"&amp;ROW()-7)-1)*100, "")</f>
        <v>1.0204051122343127</v>
      </c>
      <c r="J317" s="4" cm="1">
        <f t="array" aca="1" ref="J317" ca="1">IF(ROW()&gt;7, (F317/INDIRECT("F"&amp;ROW()-7)-1)*100, "")</f>
        <v>1.0204066880416196</v>
      </c>
      <c r="K317">
        <f t="shared" ca="1" si="8"/>
        <v>7740060</v>
      </c>
      <c r="L317" t="str">
        <f t="shared" ca="1" si="9"/>
        <v>Facebook</v>
      </c>
    </row>
    <row r="318" spans="2:12" x14ac:dyDescent="0.35">
      <c r="B318" s="3">
        <v>43781</v>
      </c>
      <c r="C318" s="4">
        <v>7427330</v>
      </c>
      <c r="D318" s="4">
        <v>5570497</v>
      </c>
      <c r="E318" s="4">
        <v>2269462</v>
      </c>
      <c r="F318" s="4">
        <v>5364183</v>
      </c>
      <c r="G318" s="4" cm="1">
        <f t="array" aca="1" ref="G318" ca="1">IF(ROW()&gt;7, (C318/INDIRECT("C"&amp;ROW()-7)-1)*100, "")</f>
        <v>-1.0416611151910726</v>
      </c>
      <c r="H318" s="4" cm="1">
        <f t="array" aca="1" ref="H318" ca="1">IF(ROW()&gt;7, (D318/INDIRECT("D"&amp;ROW()-7)-1)*100, "")</f>
        <v>-1.0416699975520194</v>
      </c>
      <c r="I318" s="4" cm="1">
        <f t="array" aca="1" ref="I318" ca="1">IF(ROW()&gt;7, (E318/INDIRECT("E"&amp;ROW()-7)-1)*100, "")</f>
        <v>-1.0416634871853403</v>
      </c>
      <c r="J318" s="4" cm="1">
        <f t="array" aca="1" ref="J318" ca="1">IF(ROW()&gt;7, (F318/INDIRECT("F"&amp;ROW()-7)-1)*100, "")</f>
        <v>-1.0416651293350898</v>
      </c>
      <c r="K318">
        <f t="shared" ca="1" si="8"/>
        <v>7427330</v>
      </c>
      <c r="L318" t="str">
        <f t="shared" ca="1" si="9"/>
        <v>Facebook</v>
      </c>
    </row>
    <row r="319" spans="2:12" x14ac:dyDescent="0.35">
      <c r="B319" s="3">
        <v>43782</v>
      </c>
      <c r="C319" s="4">
        <v>7740060</v>
      </c>
      <c r="D319" s="4">
        <v>5805045</v>
      </c>
      <c r="E319" s="4">
        <v>2365018</v>
      </c>
      <c r="F319" s="4">
        <v>5590043</v>
      </c>
      <c r="G319" s="4" cm="1">
        <f t="array" aca="1" ref="G319" ca="1">IF(ROW()&gt;7, (C319/INDIRECT("C"&amp;ROW()-7)-1)*100, "")</f>
        <v>0</v>
      </c>
      <c r="H319" s="4" cm="1">
        <f t="array" aca="1" ref="H319" ca="1">IF(ROW()&gt;7, (D319/INDIRECT("D"&amp;ROW()-7)-1)*100, "")</f>
        <v>0</v>
      </c>
      <c r="I319" s="4" cm="1">
        <f t="array" aca="1" ref="I319" ca="1">IF(ROW()&gt;7, (E319/INDIRECT("E"&amp;ROW()-7)-1)*100, "")</f>
        <v>0</v>
      </c>
      <c r="J319" s="4" cm="1">
        <f t="array" aca="1" ref="J319" ca="1">IF(ROW()&gt;7, (F319/INDIRECT("F"&amp;ROW()-7)-1)*100, "")</f>
        <v>0</v>
      </c>
      <c r="K319">
        <f t="shared" ca="1" si="8"/>
        <v>0</v>
      </c>
      <c r="L319">
        <f t="shared" ca="1" si="9"/>
        <v>0</v>
      </c>
    </row>
    <row r="320" spans="2:12" x14ac:dyDescent="0.35">
      <c r="B320" s="3">
        <v>43783</v>
      </c>
      <c r="C320" s="4">
        <v>7505512</v>
      </c>
      <c r="D320" s="4">
        <v>5629134</v>
      </c>
      <c r="E320" s="4">
        <v>2293351</v>
      </c>
      <c r="F320" s="4">
        <v>5420648</v>
      </c>
      <c r="G320" s="4" cm="1">
        <f t="array" aca="1" ref="G320" ca="1">IF(ROW()&gt;7, (C320/INDIRECT("C"&amp;ROW()-7)-1)*100, "")</f>
        <v>0</v>
      </c>
      <c r="H320" s="4" cm="1">
        <f t="array" aca="1" ref="H320" ca="1">IF(ROW()&gt;7, (D320/INDIRECT("D"&amp;ROW()-7)-1)*100, "")</f>
        <v>0</v>
      </c>
      <c r="I320" s="4" cm="1">
        <f t="array" aca="1" ref="I320" ca="1">IF(ROW()&gt;7, (E320/INDIRECT("E"&amp;ROW()-7)-1)*100, "")</f>
        <v>0</v>
      </c>
      <c r="J320" s="4" cm="1">
        <f t="array" aca="1" ref="J320" ca="1">IF(ROW()&gt;7, (F320/INDIRECT("F"&amp;ROW()-7)-1)*100, "")</f>
        <v>0</v>
      </c>
      <c r="K320">
        <f t="shared" ca="1" si="8"/>
        <v>0</v>
      </c>
      <c r="L320">
        <f t="shared" ca="1" si="9"/>
        <v>0</v>
      </c>
    </row>
    <row r="321" spans="2:12" x14ac:dyDescent="0.35">
      <c r="B321" s="3">
        <v>43784</v>
      </c>
      <c r="C321" s="4">
        <v>7818242</v>
      </c>
      <c r="D321" s="4">
        <v>5863681</v>
      </c>
      <c r="E321" s="4">
        <v>2388907</v>
      </c>
      <c r="F321" s="4">
        <v>5646508</v>
      </c>
      <c r="G321" s="4" cm="1">
        <f t="array" aca="1" ref="G321" ca="1">IF(ROW()&gt;7, (C321/INDIRECT("C"&amp;ROW()-7)-1)*100, "")</f>
        <v>3.0927799707134884</v>
      </c>
      <c r="H321" s="4" cm="1">
        <f t="array" aca="1" ref="H321" ca="1">IF(ROW()&gt;7, (D321/INDIRECT("D"&amp;ROW()-7)-1)*100, "")</f>
        <v>3.0927757112584109</v>
      </c>
      <c r="I321" s="4" cm="1">
        <f t="array" aca="1" ref="I321" ca="1">IF(ROW()&gt;7, (E321/INDIRECT("E"&amp;ROW()-7)-1)*100, "")</f>
        <v>3.0927741623655747</v>
      </c>
      <c r="J321" s="4" cm="1">
        <f t="array" aca="1" ref="J321" ca="1">IF(ROW()&gt;7, (F321/INDIRECT("F"&amp;ROW()-7)-1)*100, "")</f>
        <v>3.0927789877623457</v>
      </c>
      <c r="K321">
        <f t="shared" ca="1" si="8"/>
        <v>7818242</v>
      </c>
      <c r="L321" t="str">
        <f t="shared" ca="1" si="9"/>
        <v>Facebook</v>
      </c>
    </row>
    <row r="322" spans="2:12" x14ac:dyDescent="0.35">
      <c r="B322" s="3">
        <v>43785</v>
      </c>
      <c r="C322" s="4">
        <v>16968325</v>
      </c>
      <c r="D322" s="4">
        <v>12726244</v>
      </c>
      <c r="E322" s="4">
        <v>5184766</v>
      </c>
      <c r="F322" s="4">
        <v>12254901</v>
      </c>
      <c r="G322" s="4" cm="1">
        <f t="array" aca="1" ref="G322" ca="1">IF(ROW()&gt;7, (C322/INDIRECT("C"&amp;ROW()-7)-1)*100, "")</f>
        <v>2.9411746862744614</v>
      </c>
      <c r="H322" s="4" cm="1">
        <f t="array" aca="1" ref="H322" ca="1">IF(ROW()&gt;7, (D322/INDIRECT("D"&amp;ROW()-7)-1)*100, "")</f>
        <v>2.94117670849674</v>
      </c>
      <c r="I322" s="4" cm="1">
        <f t="array" aca="1" ref="I322" ca="1">IF(ROW()&gt;7, (E322/INDIRECT("E"&amp;ROW()-7)-1)*100, "")</f>
        <v>2.9411729668448849</v>
      </c>
      <c r="J322" s="4" cm="1">
        <f t="array" aca="1" ref="J322" ca="1">IF(ROW()&gt;7, (F322/INDIRECT("F"&amp;ROW()-7)-1)*100, "")</f>
        <v>2.9411762235293848</v>
      </c>
      <c r="K322">
        <f t="shared" ca="1" si="8"/>
        <v>16968325</v>
      </c>
      <c r="L322" t="str">
        <f t="shared" ca="1" si="9"/>
        <v>Facebook</v>
      </c>
    </row>
    <row r="323" spans="2:12" x14ac:dyDescent="0.35">
      <c r="B323" s="3">
        <v>43786</v>
      </c>
      <c r="C323" s="4">
        <v>15837104</v>
      </c>
      <c r="D323" s="4">
        <v>11877828</v>
      </c>
      <c r="E323" s="4">
        <v>4839115</v>
      </c>
      <c r="F323" s="4">
        <v>11437908</v>
      </c>
      <c r="G323" s="4" cm="1">
        <f t="array" aca="1" ref="G323" ca="1">IF(ROW()&gt;7, (C323/INDIRECT("C"&amp;ROW()-7)-1)*100, "")</f>
        <v>-6.666662737777596</v>
      </c>
      <c r="H323" s="4" cm="1">
        <f t="array" aca="1" ref="H323" ca="1">IF(ROW()&gt;7, (D323/INDIRECT("D"&amp;ROW()-7)-1)*100, "")</f>
        <v>-6.6666645712592061</v>
      </c>
      <c r="I323" s="4" cm="1">
        <f t="array" aca="1" ref="I323" ca="1">IF(ROW()&gt;7, (E323/INDIRECT("E"&amp;ROW()-7)-1)*100, "")</f>
        <v>-6.6666653808484355</v>
      </c>
      <c r="J323" s="4" cm="1">
        <f t="array" aca="1" ref="J323" ca="1">IF(ROW()&gt;7, (F323/INDIRECT("F"&amp;ROW()-7)-1)*100, "")</f>
        <v>-6.6666634026664067</v>
      </c>
      <c r="K323">
        <f t="shared" ca="1" si="8"/>
        <v>15837104</v>
      </c>
      <c r="L323" t="str">
        <f t="shared" ca="1" si="9"/>
        <v>Facebook</v>
      </c>
    </row>
    <row r="324" spans="2:12" x14ac:dyDescent="0.35">
      <c r="B324" s="3">
        <v>43787</v>
      </c>
      <c r="C324" s="4">
        <v>8209154</v>
      </c>
      <c r="D324" s="4">
        <v>6156866</v>
      </c>
      <c r="E324" s="4">
        <v>2508352</v>
      </c>
      <c r="F324" s="4">
        <v>5928833</v>
      </c>
      <c r="G324" s="4" cm="1">
        <f t="array" aca="1" ref="G324" ca="1">IF(ROW()&gt;7, (C324/INDIRECT("C"&amp;ROW()-7)-1)*100, "")</f>
        <v>6.0605990134443344</v>
      </c>
      <c r="H324" s="4" cm="1">
        <f t="array" aca="1" ref="H324" ca="1">IF(ROW()&gt;7, (D324/INDIRECT("D"&amp;ROW()-7)-1)*100, "")</f>
        <v>6.0606076266420006</v>
      </c>
      <c r="I324" s="4" cm="1">
        <f t="array" aca="1" ref="I324" ca="1">IF(ROW()&gt;7, (E324/INDIRECT("E"&amp;ROW()-7)-1)*100, "")</f>
        <v>6.060588122373689</v>
      </c>
      <c r="J324" s="4" cm="1">
        <f t="array" aca="1" ref="J324" ca="1">IF(ROW()&gt;7, (F324/INDIRECT("F"&amp;ROW()-7)-1)*100, "")</f>
        <v>6.0605973871757257</v>
      </c>
      <c r="K324">
        <f t="shared" ca="1" si="8"/>
        <v>8209154</v>
      </c>
      <c r="L324" t="str">
        <f t="shared" ca="1" si="9"/>
        <v>Facebook</v>
      </c>
    </row>
    <row r="325" spans="2:12" x14ac:dyDescent="0.35">
      <c r="B325" s="3">
        <v>43788</v>
      </c>
      <c r="C325" s="4">
        <v>7661877</v>
      </c>
      <c r="D325" s="4">
        <v>5746408</v>
      </c>
      <c r="E325" s="4">
        <v>2341129</v>
      </c>
      <c r="F325" s="4">
        <v>5533578</v>
      </c>
      <c r="G325" s="4" cm="1">
        <f t="array" aca="1" ref="G325" ca="1">IF(ROW()&gt;7, (C325/INDIRECT("C"&amp;ROW()-7)-1)*100, "")</f>
        <v>3.1578911937398813</v>
      </c>
      <c r="H325" s="4" cm="1">
        <f t="array" aca="1" ref="H325" ca="1">IF(ROW()&gt;7, (D325/INDIRECT("D"&amp;ROW()-7)-1)*100, "")</f>
        <v>3.1579049409774296</v>
      </c>
      <c r="I325" s="4" cm="1">
        <f t="array" aca="1" ref="I325" ca="1">IF(ROW()&gt;7, (E325/INDIRECT("E"&amp;ROW()-7)-1)*100, "")</f>
        <v>3.1578849965322231</v>
      </c>
      <c r="J325" s="4" cm="1">
        <f t="array" aca="1" ref="J325" ca="1">IF(ROW()&gt;7, (F325/INDIRECT("F"&amp;ROW()-7)-1)*100, "")</f>
        <v>3.1578900272418053</v>
      </c>
      <c r="K325">
        <f t="shared" ca="1" si="8"/>
        <v>7661877</v>
      </c>
      <c r="L325" t="str">
        <f t="shared" ca="1" si="9"/>
        <v>Facebook</v>
      </c>
    </row>
    <row r="326" spans="2:12" x14ac:dyDescent="0.35">
      <c r="B326" s="3">
        <v>43789</v>
      </c>
      <c r="C326" s="4">
        <v>8052789</v>
      </c>
      <c r="D326" s="4">
        <v>6039592</v>
      </c>
      <c r="E326" s="4">
        <v>2460574</v>
      </c>
      <c r="F326" s="4">
        <v>5815903</v>
      </c>
      <c r="G326" s="4" cm="1">
        <f t="array" aca="1" ref="G326" ca="1">IF(ROW()&gt;7, (C326/INDIRECT("C"&amp;ROW()-7)-1)*100, "")</f>
        <v>4.0403950356973972</v>
      </c>
      <c r="H326" s="4" cm="1">
        <f t="array" aca="1" ref="H326" ca="1">IF(ROW()&gt;7, (D326/INDIRECT("D"&amp;ROW()-7)-1)*100, "")</f>
        <v>4.0403993422962303</v>
      </c>
      <c r="I326" s="4" cm="1">
        <f t="array" aca="1" ref="I326" ca="1">IF(ROW()&gt;7, (E326/INDIRECT("E"&amp;ROW()-7)-1)*100, "")</f>
        <v>4.0403920815824668</v>
      </c>
      <c r="J326" s="4" cm="1">
        <f t="array" aca="1" ref="J326" ca="1">IF(ROW()&gt;7, (F326/INDIRECT("F"&amp;ROW()-7)-1)*100, "")</f>
        <v>4.0403982581171505</v>
      </c>
      <c r="K326">
        <f t="shared" ca="1" si="8"/>
        <v>8052789</v>
      </c>
      <c r="L326" t="str">
        <f t="shared" ca="1" si="9"/>
        <v>Facebook</v>
      </c>
    </row>
    <row r="327" spans="2:12" x14ac:dyDescent="0.35">
      <c r="B327" s="3">
        <v>43790</v>
      </c>
      <c r="C327" s="4">
        <v>7661877</v>
      </c>
      <c r="D327" s="4">
        <v>5746408</v>
      </c>
      <c r="E327" s="4">
        <v>2341129</v>
      </c>
      <c r="F327" s="4">
        <v>5533578</v>
      </c>
      <c r="G327" s="4" cm="1">
        <f t="array" aca="1" ref="G327" ca="1">IF(ROW()&gt;7, (C327/INDIRECT("C"&amp;ROW()-7)-1)*100, "")</f>
        <v>2.0833355539235709</v>
      </c>
      <c r="H327" s="4" cm="1">
        <f t="array" aca="1" ref="H327" ca="1">IF(ROW()&gt;7, (D327/INDIRECT("D"&amp;ROW()-7)-1)*100, "")</f>
        <v>2.0833399951040388</v>
      </c>
      <c r="I327" s="4" cm="1">
        <f t="array" aca="1" ref="I327" ca="1">IF(ROW()&gt;7, (E327/INDIRECT("E"&amp;ROW()-7)-1)*100, "")</f>
        <v>2.0833269743706806</v>
      </c>
      <c r="J327" s="4" cm="1">
        <f t="array" aca="1" ref="J327" ca="1">IF(ROW()&gt;7, (F327/INDIRECT("F"&amp;ROW()-7)-1)*100, "")</f>
        <v>2.0833302586701796</v>
      </c>
      <c r="K327">
        <f t="shared" ca="1" si="8"/>
        <v>7661877</v>
      </c>
      <c r="L327" t="str">
        <f t="shared" ca="1" si="9"/>
        <v>Facebook</v>
      </c>
    </row>
    <row r="328" spans="2:12" x14ac:dyDescent="0.35">
      <c r="B328" s="3">
        <v>43791</v>
      </c>
      <c r="C328" s="4">
        <v>8209154</v>
      </c>
      <c r="D328" s="4">
        <v>6156866</v>
      </c>
      <c r="E328" s="4">
        <v>2508352</v>
      </c>
      <c r="F328" s="4">
        <v>5928833</v>
      </c>
      <c r="G328" s="4" cm="1">
        <f t="array" aca="1" ref="G328" ca="1">IF(ROW()&gt;7, (C328/INDIRECT("C"&amp;ROW()-7)-1)*100, "")</f>
        <v>4.9999987209400798</v>
      </c>
      <c r="H328" s="4" cm="1">
        <f t="array" aca="1" ref="H328" ca="1">IF(ROW()&gt;7, (D328/INDIRECT("D"&amp;ROW()-7)-1)*100, "")</f>
        <v>5.0000162014270488</v>
      </c>
      <c r="I328" s="4" cm="1">
        <f t="array" aca="1" ref="I328" ca="1">IF(ROW()&gt;7, (E328/INDIRECT("E"&amp;ROW()-7)-1)*100, "")</f>
        <v>4.9999853489482771</v>
      </c>
      <c r="J328" s="4" cm="1">
        <f t="array" aca="1" ref="J328" ca="1">IF(ROW()&gt;7, (F328/INDIRECT("F"&amp;ROW()-7)-1)*100, "")</f>
        <v>4.9999929159756817</v>
      </c>
      <c r="K328">
        <f t="shared" ca="1" si="8"/>
        <v>8209154</v>
      </c>
      <c r="L328" t="str">
        <f t="shared" ca="1" si="9"/>
        <v>Facebook</v>
      </c>
    </row>
    <row r="329" spans="2:12" x14ac:dyDescent="0.35">
      <c r="B329" s="3">
        <v>43792</v>
      </c>
      <c r="C329" s="4">
        <v>16483516</v>
      </c>
      <c r="D329" s="4">
        <v>12362637</v>
      </c>
      <c r="E329" s="4">
        <v>5036630</v>
      </c>
      <c r="F329" s="4">
        <v>11904761</v>
      </c>
      <c r="G329" s="4" cm="1">
        <f t="array" aca="1" ref="G329" ca="1">IF(ROW()&gt;7, (C329/INDIRECT("C"&amp;ROW()-7)-1)*100, "")</f>
        <v>-2.8571411733332552</v>
      </c>
      <c r="H329" s="4" cm="1">
        <f t="array" aca="1" ref="H329" ca="1">IF(ROW()&gt;7, (D329/INDIRECT("D"&amp;ROW()-7)-1)*100, "")</f>
        <v>-2.8571430816508037</v>
      </c>
      <c r="I329" s="4" cm="1">
        <f t="array" aca="1" ref="I329" ca="1">IF(ROW()&gt;7, (E329/INDIRECT("E"&amp;ROW()-7)-1)*100, "")</f>
        <v>-2.8571395507531072</v>
      </c>
      <c r="J329" s="4" cm="1">
        <f t="array" aca="1" ref="J329" ca="1">IF(ROW()&gt;7, (F329/INDIRECT("F"&amp;ROW()-7)-1)*100, "")</f>
        <v>-2.8571426239999864</v>
      </c>
      <c r="K329">
        <f t="shared" ca="1" si="8"/>
        <v>16483516</v>
      </c>
      <c r="L329" t="str">
        <f t="shared" ca="1" si="9"/>
        <v>Facebook</v>
      </c>
    </row>
    <row r="330" spans="2:12" x14ac:dyDescent="0.35">
      <c r="B330" s="3">
        <v>43793</v>
      </c>
      <c r="C330" s="4">
        <v>16645119</v>
      </c>
      <c r="D330" s="4">
        <v>12483839</v>
      </c>
      <c r="E330" s="4">
        <v>5086008</v>
      </c>
      <c r="F330" s="4">
        <v>12021475</v>
      </c>
      <c r="G330" s="4" cm="1">
        <f t="array" aca="1" ref="G330" ca="1">IF(ROW()&gt;7, (C330/INDIRECT("C"&amp;ROW()-7)-1)*100, "")</f>
        <v>5.1020375947521623</v>
      </c>
      <c r="H330" s="4" cm="1">
        <f t="array" aca="1" ref="H330" ca="1">IF(ROW()&gt;7, (D330/INDIRECT("D"&amp;ROW()-7)-1)*100, "")</f>
        <v>5.1020354899902642</v>
      </c>
      <c r="I330" s="4" cm="1">
        <f t="array" aca="1" ref="I330" ca="1">IF(ROW()&gt;7, (E330/INDIRECT("E"&amp;ROW()-7)-1)*100, "")</f>
        <v>5.1020279534584212</v>
      </c>
      <c r="J330" s="4" cm="1">
        <f t="array" aca="1" ref="J330" ca="1">IF(ROW()&gt;7, (F330/INDIRECT("F"&amp;ROW()-7)-1)*100, "")</f>
        <v>5.102043135860157</v>
      </c>
      <c r="K330">
        <f t="shared" ca="1" si="8"/>
        <v>16645119</v>
      </c>
      <c r="L330" t="str">
        <f t="shared" ca="1" si="9"/>
        <v>Facebook</v>
      </c>
    </row>
    <row r="331" spans="2:12" x14ac:dyDescent="0.35">
      <c r="B331" s="3">
        <v>43794</v>
      </c>
      <c r="C331" s="4">
        <v>7974607</v>
      </c>
      <c r="D331" s="4">
        <v>5980955</v>
      </c>
      <c r="E331" s="4">
        <v>2436685</v>
      </c>
      <c r="F331" s="4">
        <v>5759438</v>
      </c>
      <c r="G331" s="4" cm="1">
        <f t="array" aca="1" ref="G331" ca="1">IF(ROW()&gt;7, (C331/INDIRECT("C"&amp;ROW()-7)-1)*100, "")</f>
        <v>-2.8571397247511787</v>
      </c>
      <c r="H331" s="4" cm="1">
        <f t="array" aca="1" ref="H331" ca="1">IF(ROW()&gt;7, (D331/INDIRECT("D"&amp;ROW()-7)-1)*100, "")</f>
        <v>-2.8571516742446512</v>
      </c>
      <c r="I331" s="4" cm="1">
        <f t="array" aca="1" ref="I331" ca="1">IF(ROW()&gt;7, (E331/INDIRECT("E"&amp;ROW()-7)-1)*100, "")</f>
        <v>-2.8571348837802657</v>
      </c>
      <c r="J331" s="4" cm="1">
        <f t="array" aca="1" ref="J331" ca="1">IF(ROW()&gt;7, (F331/INDIRECT("F"&amp;ROW()-7)-1)*100, "")</f>
        <v>-2.8571390018912624</v>
      </c>
      <c r="K331">
        <f t="shared" ref="K331:K368" ca="1" si="10">IF(SUM(G331:J331)=0,0,MAX(C331:F331))</f>
        <v>7974607</v>
      </c>
      <c r="L331" t="str">
        <f t="shared" ref="L331:L368" ca="1" si="11">IF(SUM(G331:J331)=0, 0, INDEX(C$2:F$2, MATCH(MAX(C331:F331), C331:F331, 0)))</f>
        <v>Facebook</v>
      </c>
    </row>
    <row r="332" spans="2:12" x14ac:dyDescent="0.35">
      <c r="B332" s="3">
        <v>43795</v>
      </c>
      <c r="C332" s="4">
        <v>7583695</v>
      </c>
      <c r="D332" s="4">
        <v>5687771</v>
      </c>
      <c r="E332" s="4">
        <v>2317240</v>
      </c>
      <c r="F332" s="4">
        <v>5477113</v>
      </c>
      <c r="G332" s="4" cm="1">
        <f t="array" aca="1" ref="G332" ca="1">IF(ROW()&gt;7, (C332/INDIRECT("C"&amp;ROW()-7)-1)*100, "")</f>
        <v>-1.0204027028886009</v>
      </c>
      <c r="H332" s="4" cm="1">
        <f t="array" aca="1" ref="H332" ca="1">IF(ROW()&gt;7, (D332/INDIRECT("D"&amp;ROW()-7)-1)*100, "")</f>
        <v>-1.0204113595832398</v>
      </c>
      <c r="I332" s="4" cm="1">
        <f t="array" aca="1" ref="I332" ca="1">IF(ROW()&gt;7, (E332/INDIRECT("E"&amp;ROW()-7)-1)*100, "")</f>
        <v>-1.0204051122343127</v>
      </c>
      <c r="J332" s="4" cm="1">
        <f t="array" aca="1" ref="J332" ca="1">IF(ROW()&gt;7, (F332/INDIRECT("F"&amp;ROW()-7)-1)*100, "")</f>
        <v>-1.0204066880416196</v>
      </c>
      <c r="K332">
        <f t="shared" ca="1" si="10"/>
        <v>7583695</v>
      </c>
      <c r="L332" t="str">
        <f t="shared" ca="1" si="11"/>
        <v>Facebook</v>
      </c>
    </row>
    <row r="333" spans="2:12" x14ac:dyDescent="0.35">
      <c r="B333" s="3">
        <v>43796</v>
      </c>
      <c r="C333" s="4">
        <v>8209154</v>
      </c>
      <c r="D333" s="4">
        <v>6156866</v>
      </c>
      <c r="E333" s="4">
        <v>2508352</v>
      </c>
      <c r="F333" s="4">
        <v>5928833</v>
      </c>
      <c r="G333" s="4" cm="1">
        <f t="array" aca="1" ref="G333" ca="1">IF(ROW()&gt;7, (C333/INDIRECT("C"&amp;ROW()-7)-1)*100, "")</f>
        <v>1.9417496223979036</v>
      </c>
      <c r="H333" s="4" cm="1">
        <f t="array" aca="1" ref="H333" ca="1">IF(ROW()&gt;7, (D333/INDIRECT("D"&amp;ROW()-7)-1)*100, "")</f>
        <v>1.9417536813745029</v>
      </c>
      <c r="I333" s="4" cm="1">
        <f t="array" aca="1" ref="I333" ca="1">IF(ROW()&gt;7, (E333/INDIRECT("E"&amp;ROW()-7)-1)*100, "")</f>
        <v>1.9417420488065051</v>
      </c>
      <c r="J333" s="4" cm="1">
        <f t="array" aca="1" ref="J333" ca="1">IF(ROW()&gt;7, (F333/INDIRECT("F"&amp;ROW()-7)-1)*100, "")</f>
        <v>1.9417449018664934</v>
      </c>
      <c r="K333">
        <f t="shared" ca="1" si="10"/>
        <v>8209154</v>
      </c>
      <c r="L333" t="str">
        <f t="shared" ca="1" si="11"/>
        <v>Facebook</v>
      </c>
    </row>
    <row r="334" spans="2:12" x14ac:dyDescent="0.35">
      <c r="B334" s="3">
        <v>43797</v>
      </c>
      <c r="C334" s="4">
        <v>8209154</v>
      </c>
      <c r="D334" s="4">
        <v>6156866</v>
      </c>
      <c r="E334" s="4">
        <v>2508352</v>
      </c>
      <c r="F334" s="4">
        <v>5928833</v>
      </c>
      <c r="G334" s="4" cm="1">
        <f t="array" aca="1" ref="G334" ca="1">IF(ROW()&gt;7, (C334/INDIRECT("C"&amp;ROW()-7)-1)*100, "")</f>
        <v>7.1428580751165871</v>
      </c>
      <c r="H334" s="4" cm="1">
        <f t="array" aca="1" ref="H334" ca="1">IF(ROW()&gt;7, (D334/INDIRECT("D"&amp;ROW()-7)-1)*100, "")</f>
        <v>7.1428621149072669</v>
      </c>
      <c r="I334" s="4" cm="1">
        <f t="array" aca="1" ref="I334" ca="1">IF(ROW()&gt;7, (E334/INDIRECT("E"&amp;ROW()-7)-1)*100, "")</f>
        <v>7.142835785640167</v>
      </c>
      <c r="J334" s="4" cm="1">
        <f t="array" aca="1" ref="J334" ca="1">IF(ROW()&gt;7, (F334/INDIRECT("F"&amp;ROW()-7)-1)*100, "")</f>
        <v>7.1428468162913816</v>
      </c>
      <c r="K334">
        <f t="shared" ca="1" si="10"/>
        <v>8209154</v>
      </c>
      <c r="L334" t="str">
        <f t="shared" ca="1" si="11"/>
        <v>Facebook</v>
      </c>
    </row>
    <row r="335" spans="2:12" x14ac:dyDescent="0.35">
      <c r="B335" s="3">
        <v>43798</v>
      </c>
      <c r="C335" s="4">
        <v>7818242</v>
      </c>
      <c r="D335" s="4">
        <v>5863681</v>
      </c>
      <c r="E335" s="4">
        <v>2388907</v>
      </c>
      <c r="F335" s="4">
        <v>5646508</v>
      </c>
      <c r="G335" s="4" cm="1">
        <f t="array" aca="1" ref="G335" ca="1">IF(ROW()&gt;7, (C335/INDIRECT("C"&amp;ROW()-7)-1)*100, "")</f>
        <v>-4.7619036017596983</v>
      </c>
      <c r="H335" s="4" cm="1">
        <f t="array" aca="1" ref="H335" ca="1">IF(ROW()&gt;7, (D335/INDIRECT("D"&amp;ROW()-7)-1)*100, "")</f>
        <v>-4.7619194570744261</v>
      </c>
      <c r="I335" s="4" cm="1">
        <f t="array" aca="1" ref="I335" ca="1">IF(ROW()&gt;7, (E335/INDIRECT("E"&amp;ROW()-7)-1)*100, "")</f>
        <v>-4.7618914729671165</v>
      </c>
      <c r="J335" s="4" cm="1">
        <f t="array" aca="1" ref="J335" ca="1">IF(ROW()&gt;7, (F335/INDIRECT("F"&amp;ROW()-7)-1)*100, "")</f>
        <v>-4.7618983364854479</v>
      </c>
      <c r="K335">
        <f t="shared" ca="1" si="10"/>
        <v>7818242</v>
      </c>
      <c r="L335" t="str">
        <f t="shared" ca="1" si="11"/>
        <v>Facebook</v>
      </c>
    </row>
    <row r="336" spans="2:12" x14ac:dyDescent="0.35">
      <c r="B336" s="3">
        <v>43799</v>
      </c>
      <c r="C336" s="4">
        <v>16968325</v>
      </c>
      <c r="D336" s="4">
        <v>12726244</v>
      </c>
      <c r="E336" s="4">
        <v>5184766</v>
      </c>
      <c r="F336" s="4">
        <v>12254901</v>
      </c>
      <c r="G336" s="4" cm="1">
        <f t="array" aca="1" ref="G336" ca="1">IF(ROW()&gt;7, (C336/INDIRECT("C"&amp;ROW()-7)-1)*100, "")</f>
        <v>2.9411746862744614</v>
      </c>
      <c r="H336" s="4" cm="1">
        <f t="array" aca="1" ref="H336" ca="1">IF(ROW()&gt;7, (D336/INDIRECT("D"&amp;ROW()-7)-1)*100, "")</f>
        <v>2.94117670849674</v>
      </c>
      <c r="I336" s="4" cm="1">
        <f t="array" aca="1" ref="I336" ca="1">IF(ROW()&gt;7, (E336/INDIRECT("E"&amp;ROW()-7)-1)*100, "")</f>
        <v>2.9411729668448849</v>
      </c>
      <c r="J336" s="4" cm="1">
        <f t="array" aca="1" ref="J336" ca="1">IF(ROW()&gt;7, (F336/INDIRECT("F"&amp;ROW()-7)-1)*100, "")</f>
        <v>2.9411762235293848</v>
      </c>
      <c r="K336">
        <f t="shared" ca="1" si="10"/>
        <v>16968325</v>
      </c>
      <c r="L336" t="str">
        <f t="shared" ca="1" si="11"/>
        <v>Facebook</v>
      </c>
    </row>
    <row r="337" spans="2:12" x14ac:dyDescent="0.35">
      <c r="B337" s="3">
        <v>43800</v>
      </c>
      <c r="C337" s="4">
        <v>16806722</v>
      </c>
      <c r="D337" s="4">
        <v>12605042</v>
      </c>
      <c r="E337" s="4">
        <v>5135387</v>
      </c>
      <c r="F337" s="4">
        <v>12138188</v>
      </c>
      <c r="G337" s="4" cm="1">
        <f t="array" aca="1" ref="G337" ca="1">IF(ROW()&gt;7, (C337/INDIRECT("C"&amp;ROW()-7)-1)*100, "")</f>
        <v>0.97087320312940761</v>
      </c>
      <c r="H337" s="4" cm="1">
        <f t="array" aca="1" ref="H337" ca="1">IF(ROW()&gt;7, (D337/INDIRECT("D"&amp;ROW()-7)-1)*100, "")</f>
        <v>0.97087923033931656</v>
      </c>
      <c r="I337" s="4" cm="1">
        <f t="array" aca="1" ref="I337" ca="1">IF(ROW()&gt;7, (E337/INDIRECT("E"&amp;ROW()-7)-1)*100, "")</f>
        <v>0.9708793222503731</v>
      </c>
      <c r="J337" s="4" cm="1">
        <f t="array" aca="1" ref="J337" ca="1">IF(ROW()&gt;7, (F337/INDIRECT("F"&amp;ROW()-7)-1)*100, "")</f>
        <v>0.97087087898948266</v>
      </c>
      <c r="K337">
        <f t="shared" ca="1" si="10"/>
        <v>16806722</v>
      </c>
      <c r="L337" t="str">
        <f t="shared" ca="1" si="11"/>
        <v>Facebook</v>
      </c>
    </row>
    <row r="338" spans="2:12" x14ac:dyDescent="0.35">
      <c r="B338" s="3">
        <v>43801</v>
      </c>
      <c r="C338" s="4">
        <v>7740060</v>
      </c>
      <c r="D338" s="4">
        <v>5805045</v>
      </c>
      <c r="E338" s="4">
        <v>2365018</v>
      </c>
      <c r="F338" s="4">
        <v>5590043</v>
      </c>
      <c r="G338" s="4" cm="1">
        <f t="array" aca="1" ref="G338" ca="1">IF(ROW()&gt;7, (C338/INDIRECT("C"&amp;ROW()-7)-1)*100, "")</f>
        <v>-2.9411731512286488</v>
      </c>
      <c r="H338" s="4" cm="1">
        <f t="array" aca="1" ref="H338" ca="1">IF(ROW()&gt;7, (D338/INDIRECT("D"&amp;ROW()-7)-1)*100, "")</f>
        <v>-2.9411690942332758</v>
      </c>
      <c r="I338" s="4" cm="1">
        <f t="array" aca="1" ref="I338" ca="1">IF(ROW()&gt;7, (E338/INDIRECT("E"&amp;ROW()-7)-1)*100, "")</f>
        <v>-2.9411680213076385</v>
      </c>
      <c r="J338" s="4" cm="1">
        <f t="array" aca="1" ref="J338" ca="1">IF(ROW()&gt;7, (F338/INDIRECT("F"&amp;ROW()-7)-1)*100, "")</f>
        <v>-2.9411723852223126</v>
      </c>
      <c r="K338">
        <f t="shared" ca="1" si="10"/>
        <v>7740060</v>
      </c>
      <c r="L338" t="str">
        <f t="shared" ca="1" si="11"/>
        <v>Facebook</v>
      </c>
    </row>
    <row r="339" spans="2:12" x14ac:dyDescent="0.35">
      <c r="B339" s="3">
        <v>43802</v>
      </c>
      <c r="C339" s="4">
        <v>7505512</v>
      </c>
      <c r="D339" s="4">
        <v>5629134</v>
      </c>
      <c r="E339" s="4">
        <v>2293351</v>
      </c>
      <c r="F339" s="4">
        <v>5420648</v>
      </c>
      <c r="G339" s="4" cm="1">
        <f t="array" aca="1" ref="G339" ca="1">IF(ROW()&gt;7, (C339/INDIRECT("C"&amp;ROW()-7)-1)*100, "")</f>
        <v>-1.0309354476940369</v>
      </c>
      <c r="H339" s="4" cm="1">
        <f t="array" aca="1" ref="H339" ca="1">IF(ROW()&gt;7, (D339/INDIRECT("D"&amp;ROW()-7)-1)*100, "")</f>
        <v>-1.0309310976127528</v>
      </c>
      <c r="I339" s="4" cm="1">
        <f t="array" aca="1" ref="I339" ca="1">IF(ROW()&gt;7, (E339/INDIRECT("E"&amp;ROW()-7)-1)*100, "")</f>
        <v>-1.0309247207885286</v>
      </c>
      <c r="J339" s="4" cm="1">
        <f t="array" aca="1" ref="J339" ca="1">IF(ROW()&gt;7, (F339/INDIRECT("F"&amp;ROW()-7)-1)*100, "")</f>
        <v>-1.0309263292541115</v>
      </c>
      <c r="K339">
        <f t="shared" ca="1" si="10"/>
        <v>7505512</v>
      </c>
      <c r="L339" t="str">
        <f t="shared" ca="1" si="11"/>
        <v>Facebook</v>
      </c>
    </row>
    <row r="340" spans="2:12" x14ac:dyDescent="0.35">
      <c r="B340" s="3">
        <v>43803</v>
      </c>
      <c r="C340" s="4">
        <v>8052789</v>
      </c>
      <c r="D340" s="4">
        <v>6039592</v>
      </c>
      <c r="E340" s="4">
        <v>2460574</v>
      </c>
      <c r="F340" s="4">
        <v>5815903</v>
      </c>
      <c r="G340" s="4" cm="1">
        <f t="array" aca="1" ref="G340" ca="1">IF(ROW()&gt;7, (C340/INDIRECT("C"&amp;ROW()-7)-1)*100, "")</f>
        <v>-1.9047638770085196</v>
      </c>
      <c r="H340" s="4" cm="1">
        <f t="array" aca="1" ref="H340" ca="1">IF(ROW()&gt;7, (D340/INDIRECT("D"&amp;ROW()-7)-1)*100, "")</f>
        <v>-1.9047677828297749</v>
      </c>
      <c r="I340" s="4" cm="1">
        <f t="array" aca="1" ref="I340" ca="1">IF(ROW()&gt;7, (E340/INDIRECT("E"&amp;ROW()-7)-1)*100, "")</f>
        <v>-1.9047565891868401</v>
      </c>
      <c r="J340" s="4" cm="1">
        <f t="array" aca="1" ref="J340" ca="1">IF(ROW()&gt;7, (F340/INDIRECT("F"&amp;ROW()-7)-1)*100, "")</f>
        <v>-1.9047593345941749</v>
      </c>
      <c r="K340">
        <f t="shared" ca="1" si="10"/>
        <v>8052789</v>
      </c>
      <c r="L340" t="str">
        <f t="shared" ca="1" si="11"/>
        <v>Facebook</v>
      </c>
    </row>
    <row r="341" spans="2:12" x14ac:dyDescent="0.35">
      <c r="B341" s="3">
        <v>43804</v>
      </c>
      <c r="C341" s="4">
        <v>8130972</v>
      </c>
      <c r="D341" s="4">
        <v>6098229</v>
      </c>
      <c r="E341" s="4">
        <v>2484463</v>
      </c>
      <c r="F341" s="4">
        <v>5872368</v>
      </c>
      <c r="G341" s="4" cm="1">
        <f t="array" aca="1" ref="G341" ca="1">IF(ROW()&gt;7, (C341/INDIRECT("C"&amp;ROW()-7)-1)*100, "")</f>
        <v>-0.95237584774265915</v>
      </c>
      <c r="H341" s="4" cm="1">
        <f t="array" aca="1" ref="H341" ca="1">IF(ROW()&gt;7, (D341/INDIRECT("D"&amp;ROW()-7)-1)*100, "")</f>
        <v>-0.95238389141488744</v>
      </c>
      <c r="I341" s="4" cm="1">
        <f t="array" aca="1" ref="I341" ca="1">IF(ROW()&gt;7, (E341/INDIRECT("E"&amp;ROW()-7)-1)*100, "")</f>
        <v>-0.9523782945934256</v>
      </c>
      <c r="J341" s="4" cm="1">
        <f t="array" aca="1" ref="J341" ca="1">IF(ROW()&gt;7, (F341/INDIRECT("F"&amp;ROW()-7)-1)*100, "")</f>
        <v>-0.95237966729708745</v>
      </c>
      <c r="K341">
        <f t="shared" ca="1" si="10"/>
        <v>8130972</v>
      </c>
      <c r="L341" t="str">
        <f t="shared" ca="1" si="11"/>
        <v>Facebook</v>
      </c>
    </row>
    <row r="342" spans="2:12" x14ac:dyDescent="0.35">
      <c r="B342" s="3">
        <v>43805</v>
      </c>
      <c r="C342" s="4">
        <v>7583695</v>
      </c>
      <c r="D342" s="4">
        <v>5687771</v>
      </c>
      <c r="E342" s="4">
        <v>2317240</v>
      </c>
      <c r="F342" s="4">
        <v>5477113</v>
      </c>
      <c r="G342" s="4" cm="1">
        <f t="array" aca="1" ref="G342" ca="1">IF(ROW()&gt;7, (C342/INDIRECT("C"&amp;ROW()-7)-1)*100, "")</f>
        <v>-2.9999966744442053</v>
      </c>
      <c r="H342" s="4" cm="1">
        <f t="array" aca="1" ref="H342" ca="1">IF(ROW()&gt;7, (D342/INDIRECT("D"&amp;ROW()-7)-1)*100, "")</f>
        <v>-2.9999926667224952</v>
      </c>
      <c r="I342" s="4" cm="1">
        <f t="array" aca="1" ref="I342" ca="1">IF(ROW()&gt;7, (E342/INDIRECT("E"&amp;ROW()-7)-1)*100, "")</f>
        <v>-2.9999912093689685</v>
      </c>
      <c r="J342" s="4" cm="1">
        <f t="array" aca="1" ref="J342" ca="1">IF(ROW()&gt;7, (F342/INDIRECT("F"&amp;ROW()-7)-1)*100, "")</f>
        <v>-2.9999957495854046</v>
      </c>
      <c r="K342">
        <f t="shared" ca="1" si="10"/>
        <v>7583695</v>
      </c>
      <c r="L342" t="str">
        <f t="shared" ca="1" si="11"/>
        <v>Facebook</v>
      </c>
    </row>
    <row r="343" spans="2:12" x14ac:dyDescent="0.35">
      <c r="B343" s="3">
        <v>43806</v>
      </c>
      <c r="C343" s="4">
        <v>15837104</v>
      </c>
      <c r="D343" s="4">
        <v>11877828</v>
      </c>
      <c r="E343" s="4">
        <v>4839115</v>
      </c>
      <c r="F343" s="4">
        <v>11437908</v>
      </c>
      <c r="G343" s="4" cm="1">
        <f t="array" aca="1" ref="G343" ca="1">IF(ROW()&gt;7, (C343/INDIRECT("C"&amp;ROW()-7)-1)*100, "")</f>
        <v>-6.666662737777596</v>
      </c>
      <c r="H343" s="4" cm="1">
        <f t="array" aca="1" ref="H343" ca="1">IF(ROW()&gt;7, (D343/INDIRECT("D"&amp;ROW()-7)-1)*100, "")</f>
        <v>-6.6666645712592061</v>
      </c>
      <c r="I343" s="4" cm="1">
        <f t="array" aca="1" ref="I343" ca="1">IF(ROW()&gt;7, (E343/INDIRECT("E"&amp;ROW()-7)-1)*100, "")</f>
        <v>-6.6666653808484355</v>
      </c>
      <c r="J343" s="4" cm="1">
        <f t="array" aca="1" ref="J343" ca="1">IF(ROW()&gt;7, (F343/INDIRECT("F"&amp;ROW()-7)-1)*100, "")</f>
        <v>-6.6666634026664067</v>
      </c>
      <c r="K343">
        <f t="shared" ca="1" si="10"/>
        <v>15837104</v>
      </c>
      <c r="L343" t="str">
        <f t="shared" ca="1" si="11"/>
        <v>Facebook</v>
      </c>
    </row>
    <row r="344" spans="2:12" x14ac:dyDescent="0.35">
      <c r="B344" s="3">
        <v>43807</v>
      </c>
      <c r="C344" s="4">
        <v>15837104</v>
      </c>
      <c r="D344" s="4">
        <v>11877828</v>
      </c>
      <c r="E344" s="4">
        <v>4839115</v>
      </c>
      <c r="F344" s="4">
        <v>11437908</v>
      </c>
      <c r="G344" s="4" cm="1">
        <f t="array" aca="1" ref="G344" ca="1">IF(ROW()&gt;7, (C344/INDIRECT("C"&amp;ROW()-7)-1)*100, "")</f>
        <v>-5.769227336538318</v>
      </c>
      <c r="H344" s="4" cm="1">
        <f t="array" aca="1" ref="H344" ca="1">IF(ROW()&gt;7, (D344/INDIRECT("D"&amp;ROW()-7)-1)*100, "")</f>
        <v>-5.7692310743589719</v>
      </c>
      <c r="I344" s="4" cm="1">
        <f t="array" aca="1" ref="I344" ca="1">IF(ROW()&gt;7, (E344/INDIRECT("E"&amp;ROW()-7)-1)*100, "")</f>
        <v>-5.7692244031462447</v>
      </c>
      <c r="J344" s="4" cm="1">
        <f t="array" aca="1" ref="J344" ca="1">IF(ROW()&gt;7, (F344/INDIRECT("F"&amp;ROW()-7)-1)*100, "")</f>
        <v>-5.769230135502923</v>
      </c>
      <c r="K344">
        <f t="shared" ca="1" si="10"/>
        <v>15837104</v>
      </c>
      <c r="L344" t="str">
        <f t="shared" ca="1" si="11"/>
        <v>Facebook</v>
      </c>
    </row>
    <row r="345" spans="2:12" x14ac:dyDescent="0.35">
      <c r="B345" s="3">
        <v>43808</v>
      </c>
      <c r="C345" s="4">
        <v>8130972</v>
      </c>
      <c r="D345" s="4">
        <v>6098229</v>
      </c>
      <c r="E345" s="4">
        <v>2484463</v>
      </c>
      <c r="F345" s="4">
        <v>5872368</v>
      </c>
      <c r="G345" s="4" cm="1">
        <f t="array" aca="1" ref="G345" ca="1">IF(ROW()&gt;7, (C345/INDIRECT("C"&amp;ROW()-7)-1)*100, "")</f>
        <v>5.0505034844691155</v>
      </c>
      <c r="H345" s="4" cm="1">
        <f t="array" aca="1" ref="H345" ca="1">IF(ROW()&gt;7, (D345/INDIRECT("D"&amp;ROW()-7)-1)*100, "")</f>
        <v>5.0505034844691155</v>
      </c>
      <c r="I345" s="4" cm="1">
        <f t="array" aca="1" ref="I345" ca="1">IF(ROW()&gt;7, (E345/INDIRECT("E"&amp;ROW()-7)-1)*100, "")</f>
        <v>5.050490101978089</v>
      </c>
      <c r="J345" s="4" cm="1">
        <f t="array" aca="1" ref="J345" ca="1">IF(ROW()&gt;7, (F345/INDIRECT("F"&amp;ROW()-7)-1)*100, "")</f>
        <v>5.0504978226464381</v>
      </c>
      <c r="K345">
        <f t="shared" ca="1" si="10"/>
        <v>8130972</v>
      </c>
      <c r="L345" t="str">
        <f t="shared" ca="1" si="11"/>
        <v>Facebook</v>
      </c>
    </row>
    <row r="346" spans="2:12" x14ac:dyDescent="0.35">
      <c r="B346" s="3">
        <v>43809</v>
      </c>
      <c r="C346" s="4">
        <v>7740060</v>
      </c>
      <c r="D346" s="4">
        <v>5805045</v>
      </c>
      <c r="E346" s="4">
        <v>2365018</v>
      </c>
      <c r="F346" s="4">
        <v>5590043</v>
      </c>
      <c r="G346" s="4" cm="1">
        <f t="array" aca="1" ref="G346" ca="1">IF(ROW()&gt;7, (C346/INDIRECT("C"&amp;ROW()-7)-1)*100, "")</f>
        <v>3.1250099926560582</v>
      </c>
      <c r="H346" s="4" cm="1">
        <f t="array" aca="1" ref="H346" ca="1">IF(ROW()&gt;7, (D346/INDIRECT("D"&amp;ROW()-7)-1)*100, "")</f>
        <v>3.1250099926560582</v>
      </c>
      <c r="I346" s="4" cm="1">
        <f t="array" aca="1" ref="I346" ca="1">IF(ROW()&gt;7, (E346/INDIRECT("E"&amp;ROW()-7)-1)*100, "")</f>
        <v>3.124990461556032</v>
      </c>
      <c r="J346" s="4" cm="1">
        <f t="array" aca="1" ref="J346" ca="1">IF(ROW()&gt;7, (F346/INDIRECT("F"&amp;ROW()-7)-1)*100, "")</f>
        <v>3.1249953880052805</v>
      </c>
      <c r="K346">
        <f t="shared" ca="1" si="10"/>
        <v>7740060</v>
      </c>
      <c r="L346" t="str">
        <f t="shared" ca="1" si="11"/>
        <v>Facebook</v>
      </c>
    </row>
    <row r="347" spans="2:12" x14ac:dyDescent="0.35">
      <c r="B347" s="3">
        <v>43810</v>
      </c>
      <c r="C347" s="4">
        <v>8130972</v>
      </c>
      <c r="D347" s="4">
        <v>6098229</v>
      </c>
      <c r="E347" s="4">
        <v>2484463</v>
      </c>
      <c r="F347" s="4">
        <v>5872368</v>
      </c>
      <c r="G347" s="4" cm="1">
        <f t="array" aca="1" ref="G347" ca="1">IF(ROW()&gt;7, (C347/INDIRECT("C"&amp;ROW()-7)-1)*100, "")</f>
        <v>0.97088102022790945</v>
      </c>
      <c r="H347" s="4" cm="1">
        <f t="array" aca="1" ref="H347" ca="1">IF(ROW()&gt;7, (D347/INDIRECT("D"&amp;ROW()-7)-1)*100, "")</f>
        <v>0.97087684068726254</v>
      </c>
      <c r="I347" s="4" cm="1">
        <f t="array" aca="1" ref="I347" ca="1">IF(ROW()&gt;7, (E347/INDIRECT("E"&amp;ROW()-7)-1)*100, "")</f>
        <v>0.97087102440325257</v>
      </c>
      <c r="J347" s="4" cm="1">
        <f t="array" aca="1" ref="J347" ca="1">IF(ROW()&gt;7, (F347/INDIRECT("F"&amp;ROW()-7)-1)*100, "")</f>
        <v>0.9708724509332356</v>
      </c>
      <c r="K347">
        <f t="shared" ca="1" si="10"/>
        <v>8130972</v>
      </c>
      <c r="L347" t="str">
        <f t="shared" ca="1" si="11"/>
        <v>Facebook</v>
      </c>
    </row>
    <row r="348" spans="2:12" x14ac:dyDescent="0.35">
      <c r="B348" s="3">
        <v>43811</v>
      </c>
      <c r="C348" s="4">
        <v>7896424</v>
      </c>
      <c r="D348" s="4">
        <v>5922318</v>
      </c>
      <c r="E348" s="4">
        <v>2412796</v>
      </c>
      <c r="F348" s="4">
        <v>5702973</v>
      </c>
      <c r="G348" s="4" cm="1">
        <f t="array" aca="1" ref="G348" ca="1">IF(ROW()&gt;7, (C348/INDIRECT("C"&amp;ROW()-7)-1)*100, "")</f>
        <v>-2.8846243720922926</v>
      </c>
      <c r="H348" s="4" cm="1">
        <f t="array" aca="1" ref="H348" ca="1">IF(ROW()&gt;7, (D348/INDIRECT("D"&amp;ROW()-7)-1)*100, "")</f>
        <v>-2.8846243720922926</v>
      </c>
      <c r="I348" s="4" cm="1">
        <f t="array" aca="1" ref="I348" ca="1">IF(ROW()&gt;7, (E348/INDIRECT("E"&amp;ROW()-7)-1)*100, "")</f>
        <v>-2.884607257181937</v>
      </c>
      <c r="J348" s="4" cm="1">
        <f t="array" aca="1" ref="J348" ca="1">IF(ROW()&gt;7, (F348/INDIRECT("F"&amp;ROW()-7)-1)*100, "")</f>
        <v>-2.8846114548679469</v>
      </c>
      <c r="K348">
        <f t="shared" ca="1" si="10"/>
        <v>7896424</v>
      </c>
      <c r="L348" t="str">
        <f t="shared" ca="1" si="11"/>
        <v>Facebook</v>
      </c>
    </row>
    <row r="349" spans="2:12" x14ac:dyDescent="0.35">
      <c r="B349" s="3">
        <v>43812</v>
      </c>
      <c r="C349" s="4">
        <v>8209154</v>
      </c>
      <c r="D349" s="4">
        <v>6156866</v>
      </c>
      <c r="E349" s="4">
        <v>2508352</v>
      </c>
      <c r="F349" s="4">
        <v>5928833</v>
      </c>
      <c r="G349" s="4" cm="1">
        <f t="array" aca="1" ref="G349" ca="1">IF(ROW()&gt;7, (C349/INDIRECT("C"&amp;ROW()-7)-1)*100, "")</f>
        <v>8.2474176506307284</v>
      </c>
      <c r="H349" s="4" cm="1">
        <f t="array" aca="1" ref="H349" ca="1">IF(ROW()&gt;7, (D349/INDIRECT("D"&amp;ROW()-7)-1)*100, "")</f>
        <v>8.247431199322186</v>
      </c>
      <c r="I349" s="4" cm="1">
        <f t="array" aca="1" ref="I349" ca="1">IF(ROW()&gt;7, (E349/INDIRECT("E"&amp;ROW()-7)-1)*100, "")</f>
        <v>8.2473977663081843</v>
      </c>
      <c r="J349" s="4" cm="1">
        <f t="array" aca="1" ref="J349" ca="1">IF(ROW()&gt;7, (F349/INDIRECT("F"&amp;ROW()-7)-1)*100, "")</f>
        <v>8.2474106340329367</v>
      </c>
      <c r="K349">
        <f t="shared" ca="1" si="10"/>
        <v>8209154</v>
      </c>
      <c r="L349" t="str">
        <f t="shared" ca="1" si="11"/>
        <v>Facebook</v>
      </c>
    </row>
    <row r="350" spans="2:12" x14ac:dyDescent="0.35">
      <c r="B350" s="3">
        <v>43813</v>
      </c>
      <c r="C350" s="4">
        <v>16483516</v>
      </c>
      <c r="D350" s="4">
        <v>12362637</v>
      </c>
      <c r="E350" s="4">
        <v>5036630</v>
      </c>
      <c r="F350" s="4">
        <v>11904761</v>
      </c>
      <c r="G350" s="4" cm="1">
        <f t="array" aca="1" ref="G350" ca="1">IF(ROW()&gt;7, (C350/INDIRECT("C"&amp;ROW()-7)-1)*100, "")</f>
        <v>4.0816300758017343</v>
      </c>
      <c r="H350" s="4" cm="1">
        <f t="array" aca="1" ref="H350" ca="1">IF(ROW()&gt;7, (D350/INDIRECT("D"&amp;ROW()-7)-1)*100, "")</f>
        <v>4.0816300758017343</v>
      </c>
      <c r="I350" s="4" cm="1">
        <f t="array" aca="1" ref="I350" ca="1">IF(ROW()&gt;7, (E350/INDIRECT("E"&amp;ROW()-7)-1)*100, "")</f>
        <v>4.0816347617281368</v>
      </c>
      <c r="J350" s="4" cm="1">
        <f t="array" aca="1" ref="J350" ca="1">IF(ROW()&gt;7, (F350/INDIRECT("F"&amp;ROW()-7)-1)*100, "")</f>
        <v>4.0816292629736184</v>
      </c>
      <c r="K350">
        <f t="shared" ca="1" si="10"/>
        <v>16483516</v>
      </c>
      <c r="L350" t="str">
        <f t="shared" ca="1" si="11"/>
        <v>Facebook</v>
      </c>
    </row>
    <row r="351" spans="2:12" x14ac:dyDescent="0.35">
      <c r="B351" s="3">
        <v>43814</v>
      </c>
      <c r="C351" s="4">
        <v>15513897</v>
      </c>
      <c r="D351" s="4">
        <v>11635423</v>
      </c>
      <c r="E351" s="4">
        <v>4740357</v>
      </c>
      <c r="F351" s="4">
        <v>11204481</v>
      </c>
      <c r="G351" s="4" cm="1">
        <f t="array" aca="1" ref="G351" ca="1">IF(ROW()&gt;7, (C351/INDIRECT("C"&amp;ROW()-7)-1)*100, "")</f>
        <v>-2.040821352186617</v>
      </c>
      <c r="H351" s="4" cm="1">
        <f t="array" aca="1" ref="H351" ca="1">IF(ROW()&gt;7, (D351/INDIRECT("D"&amp;ROW()-7)-1)*100, "")</f>
        <v>-2.0408192474246967</v>
      </c>
      <c r="I351" s="4" cm="1">
        <f t="array" aca="1" ref="I351" ca="1">IF(ROW()&gt;7, (E351/INDIRECT("E"&amp;ROW()-7)-1)*100, "")</f>
        <v>-2.0408277133318831</v>
      </c>
      <c r="J351" s="4" cm="1">
        <f t="array" aca="1" ref="J351" ca="1">IF(ROW()&gt;7, (F351/INDIRECT("F"&amp;ROW()-7)-1)*100, "")</f>
        <v>-2.0408190029155726</v>
      </c>
      <c r="K351">
        <f t="shared" ca="1" si="10"/>
        <v>15513897</v>
      </c>
      <c r="L351" t="str">
        <f t="shared" ca="1" si="11"/>
        <v>Facebook</v>
      </c>
    </row>
    <row r="352" spans="2:12" x14ac:dyDescent="0.35">
      <c r="B352" s="3">
        <v>43815</v>
      </c>
      <c r="C352" s="4">
        <v>7661877</v>
      </c>
      <c r="D352" s="4">
        <v>5746408</v>
      </c>
      <c r="E352" s="4">
        <v>2341129</v>
      </c>
      <c r="F352" s="4">
        <v>5533578</v>
      </c>
      <c r="G352" s="4" cm="1">
        <f t="array" aca="1" ref="G352" ca="1">IF(ROW()&gt;7, (C352/INDIRECT("C"&amp;ROW()-7)-1)*100, "")</f>
        <v>-5.7692364455319778</v>
      </c>
      <c r="H352" s="4" cm="1">
        <f t="array" aca="1" ref="H352" ca="1">IF(ROW()&gt;7, (D352/INDIRECT("D"&amp;ROW()-7)-1)*100, "")</f>
        <v>-5.7692323459811012</v>
      </c>
      <c r="I352" s="4" cm="1">
        <f t="array" aca="1" ref="I352" ca="1">IF(ROW()&gt;7, (E352/INDIRECT("E"&amp;ROW()-7)-1)*100, "")</f>
        <v>-5.769214514363874</v>
      </c>
      <c r="J352" s="4" cm="1">
        <f t="array" aca="1" ref="J352" ca="1">IF(ROW()&gt;7, (F352/INDIRECT("F"&amp;ROW()-7)-1)*100, "")</f>
        <v>-5.7692229097359053</v>
      </c>
      <c r="K352">
        <f t="shared" ca="1" si="10"/>
        <v>7661877</v>
      </c>
      <c r="L352" t="str">
        <f t="shared" ca="1" si="11"/>
        <v>Facebook</v>
      </c>
    </row>
    <row r="353" spans="2:12" x14ac:dyDescent="0.35">
      <c r="B353" s="3">
        <v>43816</v>
      </c>
      <c r="C353" s="4">
        <v>7583695</v>
      </c>
      <c r="D353" s="4">
        <v>5687771</v>
      </c>
      <c r="E353" s="4">
        <v>2317240</v>
      </c>
      <c r="F353" s="4">
        <v>5477113</v>
      </c>
      <c r="G353" s="4" cm="1">
        <f t="array" aca="1" ref="G353" ca="1">IF(ROW()&gt;7, (C353/INDIRECT("C"&amp;ROW()-7)-1)*100, "")</f>
        <v>-2.0202039777469372</v>
      </c>
      <c r="H353" s="4" cm="1">
        <f t="array" aca="1" ref="H353" ca="1">IF(ROW()&gt;7, (D353/INDIRECT("D"&amp;ROW()-7)-1)*100, "")</f>
        <v>-2.0202082843457703</v>
      </c>
      <c r="I353" s="4" cm="1">
        <f t="array" aca="1" ref="I353" ca="1">IF(ROW()&gt;7, (E353/INDIRECT("E"&amp;ROW()-7)-1)*100, "")</f>
        <v>-2.0201960407912334</v>
      </c>
      <c r="J353" s="4" cm="1">
        <f t="array" aca="1" ref="J353" ca="1">IF(ROW()&gt;7, (F353/INDIRECT("F"&amp;ROW()-7)-1)*100, "")</f>
        <v>-2.0201991290585752</v>
      </c>
      <c r="K353">
        <f t="shared" ca="1" si="10"/>
        <v>7583695</v>
      </c>
      <c r="L353" t="str">
        <f t="shared" ca="1" si="11"/>
        <v>Facebook</v>
      </c>
    </row>
    <row r="354" spans="2:12" x14ac:dyDescent="0.35">
      <c r="B354" s="3">
        <v>43817</v>
      </c>
      <c r="C354" s="4">
        <v>8052789</v>
      </c>
      <c r="D354" s="4">
        <v>6039592</v>
      </c>
      <c r="E354" s="4">
        <v>2460574</v>
      </c>
      <c r="F354" s="4">
        <v>5815903</v>
      </c>
      <c r="G354" s="4" cm="1">
        <f t="array" aca="1" ref="G354" ca="1">IF(ROW()&gt;7, (C354/INDIRECT("C"&amp;ROW()-7)-1)*100, "")</f>
        <v>-0.96154555691496668</v>
      </c>
      <c r="H354" s="4" cm="1">
        <f t="array" aca="1" ref="H354" ca="1">IF(ROW()&gt;7, (D354/INDIRECT("D"&amp;ROW()-7)-1)*100, "")</f>
        <v>-0.96154145736410124</v>
      </c>
      <c r="I354" s="4" cm="1">
        <f t="array" aca="1" ref="I354" ca="1">IF(ROW()&gt;7, (E354/INDIRECT("E"&amp;ROW()-7)-1)*100, "")</f>
        <v>-0.9615357523939827</v>
      </c>
      <c r="J354" s="4" cm="1">
        <f t="array" aca="1" ref="J354" ca="1">IF(ROW()&gt;7, (F354/INDIRECT("F"&amp;ROW()-7)-1)*100, "")</f>
        <v>-0.96153715162264897</v>
      </c>
      <c r="K354">
        <f t="shared" ca="1" si="10"/>
        <v>8052789</v>
      </c>
      <c r="L354" t="str">
        <f t="shared" ca="1" si="11"/>
        <v>Facebook</v>
      </c>
    </row>
    <row r="355" spans="2:12" x14ac:dyDescent="0.35">
      <c r="B355" s="3">
        <v>43818</v>
      </c>
      <c r="C355" s="4">
        <v>7583695</v>
      </c>
      <c r="D355" s="4">
        <v>5687771</v>
      </c>
      <c r="E355" s="4">
        <v>2317240</v>
      </c>
      <c r="F355" s="4">
        <v>5477113</v>
      </c>
      <c r="G355" s="4" cm="1">
        <f t="array" aca="1" ref="G355" ca="1">IF(ROW()&gt;7, (C355/INDIRECT("C"&amp;ROW()-7)-1)*100, "")</f>
        <v>-3.9603876387590109</v>
      </c>
      <c r="H355" s="4" cm="1">
        <f t="array" aca="1" ref="H355" ca="1">IF(ROW()&gt;7, (D355/INDIRECT("D"&amp;ROW()-7)-1)*100, "")</f>
        <v>-3.9603918600791155</v>
      </c>
      <c r="I355" s="4" cm="1">
        <f t="array" aca="1" ref="I355" ca="1">IF(ROW()&gt;7, (E355/INDIRECT("E"&amp;ROW()-7)-1)*100, "")</f>
        <v>-3.9603845497091394</v>
      </c>
      <c r="J355" s="4" cm="1">
        <f t="array" aca="1" ref="J355" ca="1">IF(ROW()&gt;7, (F355/INDIRECT("F"&amp;ROW()-7)-1)*100, "")</f>
        <v>-3.9603904840510351</v>
      </c>
      <c r="K355">
        <f t="shared" ca="1" si="10"/>
        <v>7583695</v>
      </c>
      <c r="L355" t="str">
        <f t="shared" ca="1" si="11"/>
        <v>Facebook</v>
      </c>
    </row>
    <row r="356" spans="2:12" x14ac:dyDescent="0.35">
      <c r="B356" s="3">
        <v>43819</v>
      </c>
      <c r="C356" s="4">
        <v>7974607</v>
      </c>
      <c r="D356" s="4">
        <v>5980955</v>
      </c>
      <c r="E356" s="4">
        <v>2436685</v>
      </c>
      <c r="F356" s="4">
        <v>5759438</v>
      </c>
      <c r="G356" s="4" cm="1">
        <f t="array" aca="1" ref="G356" ca="1">IF(ROW()&gt;7, (C356/INDIRECT("C"&amp;ROW()-7)-1)*100, "")</f>
        <v>-2.8571397247511787</v>
      </c>
      <c r="H356" s="4" cm="1">
        <f t="array" aca="1" ref="H356" ca="1">IF(ROW()&gt;7, (D356/INDIRECT("D"&amp;ROW()-7)-1)*100, "")</f>
        <v>-2.8571516742446512</v>
      </c>
      <c r="I356" s="4" cm="1">
        <f t="array" aca="1" ref="I356" ca="1">IF(ROW()&gt;7, (E356/INDIRECT("E"&amp;ROW()-7)-1)*100, "")</f>
        <v>-2.8571348837802657</v>
      </c>
      <c r="J356" s="4" cm="1">
        <f t="array" aca="1" ref="J356" ca="1">IF(ROW()&gt;7, (F356/INDIRECT("F"&amp;ROW()-7)-1)*100, "")</f>
        <v>-2.8571390018912624</v>
      </c>
      <c r="K356">
        <f t="shared" ca="1" si="10"/>
        <v>7974607</v>
      </c>
      <c r="L356" t="str">
        <f t="shared" ca="1" si="11"/>
        <v>Facebook</v>
      </c>
    </row>
    <row r="357" spans="2:12" x14ac:dyDescent="0.35">
      <c r="B357" s="3">
        <v>43820</v>
      </c>
      <c r="C357" s="4">
        <v>16645119</v>
      </c>
      <c r="D357" s="4">
        <v>12483839</v>
      </c>
      <c r="E357" s="4">
        <v>5086008</v>
      </c>
      <c r="F357" s="4">
        <v>12021475</v>
      </c>
      <c r="G357" s="4" cm="1">
        <f t="array" aca="1" ref="G357" ca="1">IF(ROW()&gt;7, (C357/INDIRECT("C"&amp;ROW()-7)-1)*100, "")</f>
        <v>0.98039156209148715</v>
      </c>
      <c r="H357" s="4" cm="1">
        <f t="array" aca="1" ref="H357" ca="1">IF(ROW()&gt;7, (D357/INDIRECT("D"&amp;ROW()-7)-1)*100, "")</f>
        <v>0.98038953986920863</v>
      </c>
      <c r="I357" s="4" cm="1">
        <f t="array" aca="1" ref="I357" ca="1">IF(ROW()&gt;7, (E357/INDIRECT("E"&amp;ROW()-7)-1)*100, "")</f>
        <v>0.98037775258457138</v>
      </c>
      <c r="J357" s="4" cm="1">
        <f t="array" aca="1" ref="J357" ca="1">IF(ROW()&gt;7, (F357/INDIRECT("F"&amp;ROW()-7)-1)*100, "")</f>
        <v>0.98039767451021387</v>
      </c>
      <c r="K357">
        <f t="shared" ca="1" si="10"/>
        <v>16645119</v>
      </c>
      <c r="L357" t="str">
        <f t="shared" ca="1" si="11"/>
        <v>Facebook</v>
      </c>
    </row>
    <row r="358" spans="2:12" x14ac:dyDescent="0.35">
      <c r="B358" s="3">
        <v>43821</v>
      </c>
      <c r="C358" s="4">
        <v>15513897</v>
      </c>
      <c r="D358" s="4">
        <v>11635423</v>
      </c>
      <c r="E358" s="4">
        <v>4740357</v>
      </c>
      <c r="F358" s="4">
        <v>11204481</v>
      </c>
      <c r="G358" s="4" cm="1">
        <f t="array" aca="1" ref="G358" ca="1">IF(ROW()&gt;7, (C358/INDIRECT("C"&amp;ROW()-7)-1)*100, "")</f>
        <v>0</v>
      </c>
      <c r="H358" s="4" cm="1">
        <f t="array" aca="1" ref="H358" ca="1">IF(ROW()&gt;7, (D358/INDIRECT("D"&amp;ROW()-7)-1)*100, "")</f>
        <v>0</v>
      </c>
      <c r="I358" s="4" cm="1">
        <f t="array" aca="1" ref="I358" ca="1">IF(ROW()&gt;7, (E358/INDIRECT("E"&amp;ROW()-7)-1)*100, "")</f>
        <v>0</v>
      </c>
      <c r="J358" s="4" cm="1">
        <f t="array" aca="1" ref="J358" ca="1">IF(ROW()&gt;7, (F358/INDIRECT("F"&amp;ROW()-7)-1)*100, "")</f>
        <v>0</v>
      </c>
      <c r="K358">
        <f t="shared" ca="1" si="10"/>
        <v>0</v>
      </c>
      <c r="L358">
        <f t="shared" ca="1" si="11"/>
        <v>0</v>
      </c>
    </row>
    <row r="359" spans="2:12" x14ac:dyDescent="0.35">
      <c r="B359" s="3">
        <v>43822</v>
      </c>
      <c r="C359" s="4">
        <v>7740060</v>
      </c>
      <c r="D359" s="4">
        <v>5805045</v>
      </c>
      <c r="E359" s="4">
        <v>2365018</v>
      </c>
      <c r="F359" s="4">
        <v>5590043</v>
      </c>
      <c r="G359" s="4" cm="1">
        <f t="array" aca="1" ref="G359" ca="1">IF(ROW()&gt;7, (C359/INDIRECT("C"&amp;ROW()-7)-1)*100, "")</f>
        <v>1.0204157545207204</v>
      </c>
      <c r="H359" s="4" cm="1">
        <f t="array" aca="1" ref="H359" ca="1">IF(ROW()&gt;7, (D359/INDIRECT("D"&amp;ROW()-7)-1)*100, "")</f>
        <v>1.0204113595832398</v>
      </c>
      <c r="I359" s="4" cm="1">
        <f t="array" aca="1" ref="I359" ca="1">IF(ROW()&gt;7, (E359/INDIRECT("E"&amp;ROW()-7)-1)*100, "")</f>
        <v>1.0204051122343127</v>
      </c>
      <c r="J359" s="4" cm="1">
        <f t="array" aca="1" ref="J359" ca="1">IF(ROW()&gt;7, (F359/INDIRECT("F"&amp;ROW()-7)-1)*100, "")</f>
        <v>1.0204066880416196</v>
      </c>
      <c r="K359">
        <f t="shared" ca="1" si="10"/>
        <v>7740060</v>
      </c>
      <c r="L359" t="str">
        <f t="shared" ca="1" si="11"/>
        <v>Facebook</v>
      </c>
    </row>
    <row r="360" spans="2:12" x14ac:dyDescent="0.35">
      <c r="B360" s="3">
        <v>43823</v>
      </c>
      <c r="C360" s="4">
        <v>7661877</v>
      </c>
      <c r="D360" s="4">
        <v>5746408</v>
      </c>
      <c r="E360" s="4">
        <v>2341129</v>
      </c>
      <c r="F360" s="4">
        <v>5533578</v>
      </c>
      <c r="G360" s="4" cm="1">
        <f t="array" aca="1" ref="G360" ca="1">IF(ROW()&gt;7, (C360/INDIRECT("C"&amp;ROW()-7)-1)*100, "")</f>
        <v>1.0309222615097369</v>
      </c>
      <c r="H360" s="4" cm="1">
        <f t="array" aca="1" ref="H360" ca="1">IF(ROW()&gt;7, (D360/INDIRECT("D"&amp;ROW()-7)-1)*100, "")</f>
        <v>1.0309310976127639</v>
      </c>
      <c r="I360" s="4" cm="1">
        <f t="array" aca="1" ref="I360" ca="1">IF(ROW()&gt;7, (E360/INDIRECT("E"&amp;ROW()-7)-1)*100, "")</f>
        <v>1.0309247207885175</v>
      </c>
      <c r="J360" s="4" cm="1">
        <f t="array" aca="1" ref="J360" ca="1">IF(ROW()&gt;7, (F360/INDIRECT("F"&amp;ROW()-7)-1)*100, "")</f>
        <v>1.0309263292541226</v>
      </c>
      <c r="K360">
        <f t="shared" ca="1" si="10"/>
        <v>7661877</v>
      </c>
      <c r="L360" t="str">
        <f t="shared" ca="1" si="11"/>
        <v>Facebook</v>
      </c>
    </row>
    <row r="361" spans="2:12" x14ac:dyDescent="0.35">
      <c r="B361" s="3">
        <v>43824</v>
      </c>
      <c r="C361" s="4">
        <v>7427330</v>
      </c>
      <c r="D361" s="4">
        <v>5570497</v>
      </c>
      <c r="E361" s="4">
        <v>2269462</v>
      </c>
      <c r="F361" s="4">
        <v>5364183</v>
      </c>
      <c r="G361" s="4" cm="1">
        <f t="array" aca="1" ref="G361" ca="1">IF(ROW()&gt;7, (C361/INDIRECT("C"&amp;ROW()-7)-1)*100, "")</f>
        <v>-7.7669860715337213</v>
      </c>
      <c r="H361" s="4" cm="1">
        <f t="array" aca="1" ref="H361" ca="1">IF(ROW()&gt;7, (D361/INDIRECT("D"&amp;ROW()-7)-1)*100, "")</f>
        <v>-7.766998168088179</v>
      </c>
      <c r="I361" s="4" cm="1">
        <f t="array" aca="1" ref="I361" ca="1">IF(ROW()&gt;7, (E361/INDIRECT("E"&amp;ROW()-7)-1)*100, "")</f>
        <v>-7.7669681952259868</v>
      </c>
      <c r="J361" s="4" cm="1">
        <f t="array" aca="1" ref="J361" ca="1">IF(ROW()&gt;7, (F361/INDIRECT("F"&amp;ROW()-7)-1)*100, "")</f>
        <v>-7.7669796074659398</v>
      </c>
      <c r="K361">
        <f t="shared" ca="1" si="10"/>
        <v>7427330</v>
      </c>
      <c r="L361" t="str">
        <f t="shared" ca="1" si="11"/>
        <v>Facebook</v>
      </c>
    </row>
    <row r="362" spans="2:12" x14ac:dyDescent="0.35">
      <c r="B362" s="3">
        <v>43825</v>
      </c>
      <c r="C362" s="4">
        <v>7427330</v>
      </c>
      <c r="D362" s="4">
        <v>5570497</v>
      </c>
      <c r="E362" s="4">
        <v>2269462</v>
      </c>
      <c r="F362" s="4">
        <v>5364183</v>
      </c>
      <c r="G362" s="4" cm="1">
        <f t="array" aca="1" ref="G362" ca="1">IF(ROW()&gt;7, (C362/INDIRECT("C"&amp;ROW()-7)-1)*100, "")</f>
        <v>-2.0618577092037627</v>
      </c>
      <c r="H362" s="4" cm="1">
        <f t="array" aca="1" ref="H362" ca="1">IF(ROW()&gt;7, (D362/INDIRECT("D"&amp;ROW()-7)-1)*100, "")</f>
        <v>-2.0618621952255056</v>
      </c>
      <c r="I362" s="4" cm="1">
        <f t="array" aca="1" ref="I362" ca="1">IF(ROW()&gt;7, (E362/INDIRECT("E"&amp;ROW()-7)-1)*100, "")</f>
        <v>-2.0618494415770461</v>
      </c>
      <c r="J362" s="4" cm="1">
        <f t="array" aca="1" ref="J362" ca="1">IF(ROW()&gt;7, (F362/INDIRECT("F"&amp;ROW()-7)-1)*100, "")</f>
        <v>-2.0618526585082342</v>
      </c>
      <c r="K362">
        <f t="shared" ca="1" si="10"/>
        <v>7427330</v>
      </c>
      <c r="L362" t="str">
        <f t="shared" ca="1" si="11"/>
        <v>Facebook</v>
      </c>
    </row>
    <row r="363" spans="2:12" x14ac:dyDescent="0.35">
      <c r="B363" s="3">
        <v>43826</v>
      </c>
      <c r="C363" s="4">
        <v>8052789</v>
      </c>
      <c r="D363" s="4">
        <v>6039592</v>
      </c>
      <c r="E363" s="4">
        <v>2460574</v>
      </c>
      <c r="F363" s="4">
        <v>5815903</v>
      </c>
      <c r="G363" s="4" cm="1">
        <f t="array" aca="1" ref="G363" ca="1">IF(ROW()&gt;7, (C363/INDIRECT("C"&amp;ROW()-7)-1)*100, "")</f>
        <v>0.9803868704752583</v>
      </c>
      <c r="H363" s="4" cm="1">
        <f t="array" aca="1" ref="H363" ca="1">IF(ROW()&gt;7, (D363/INDIRECT("D"&amp;ROW()-7)-1)*100, "")</f>
        <v>0.98039527132371962</v>
      </c>
      <c r="I363" s="4" cm="1">
        <f t="array" aca="1" ref="I363" ca="1">IF(ROW()&gt;7, (E363/INDIRECT("E"&amp;ROW()-7)-1)*100, "")</f>
        <v>0.98038934043587211</v>
      </c>
      <c r="J363" s="4" cm="1">
        <f t="array" aca="1" ref="J363" ca="1">IF(ROW()&gt;7, (F363/INDIRECT("F"&amp;ROW()-7)-1)*100, "")</f>
        <v>0.9803907950741042</v>
      </c>
      <c r="K363">
        <f t="shared" ca="1" si="10"/>
        <v>8052789</v>
      </c>
      <c r="L363" t="str">
        <f t="shared" ca="1" si="11"/>
        <v>Facebook</v>
      </c>
    </row>
    <row r="364" spans="2:12" x14ac:dyDescent="0.35">
      <c r="B364" s="3">
        <v>43827</v>
      </c>
      <c r="C364" s="4">
        <v>16321913</v>
      </c>
      <c r="D364" s="4">
        <v>12241435</v>
      </c>
      <c r="E364" s="4">
        <v>4987251</v>
      </c>
      <c r="F364" s="4">
        <v>11788048</v>
      </c>
      <c r="G364" s="4" cm="1">
        <f t="array" aca="1" ref="G364" ca="1">IF(ROW()&gt;7, (C364/INDIRECT("C"&amp;ROW()-7)-1)*100, "")</f>
        <v>-1.941746406258793</v>
      </c>
      <c r="H364" s="4" cm="1">
        <f t="array" aca="1" ref="H364" ca="1">IF(ROW()&gt;7, (D364/INDIRECT("D"&amp;ROW()-7)-1)*100, "")</f>
        <v>-1.9417424399657879</v>
      </c>
      <c r="I364" s="4" cm="1">
        <f t="array" aca="1" ref="I364" ca="1">IF(ROW()&gt;7, (E364/INDIRECT("E"&amp;ROW()-7)-1)*100, "")</f>
        <v>-1.9417389827149356</v>
      </c>
      <c r="J364" s="4" cm="1">
        <f t="array" aca="1" ref="J364" ca="1">IF(ROW()&gt;7, (F364/INDIRECT("F"&amp;ROW()-7)-1)*100, "")</f>
        <v>-1.9417500764257301</v>
      </c>
      <c r="K364">
        <f t="shared" ca="1" si="10"/>
        <v>16321913</v>
      </c>
      <c r="L364" t="str">
        <f t="shared" ca="1" si="11"/>
        <v>Facebook</v>
      </c>
    </row>
    <row r="365" spans="2:12" x14ac:dyDescent="0.35">
      <c r="B365" s="3">
        <v>43828</v>
      </c>
      <c r="C365" s="4">
        <v>15675500</v>
      </c>
      <c r="D365" s="4">
        <v>11756625</v>
      </c>
      <c r="E365" s="4">
        <v>4789736</v>
      </c>
      <c r="F365" s="4">
        <v>11321195</v>
      </c>
      <c r="G365" s="4" cm="1">
        <f t="array" aca="1" ref="G365" ca="1">IF(ROW()&gt;7, (C365/INDIRECT("C"&amp;ROW()-7)-1)*100, "")</f>
        <v>1.0416660623697505</v>
      </c>
      <c r="H365" s="4" cm="1">
        <f t="array" aca="1" ref="H365" ca="1">IF(ROW()&gt;7, (D365/INDIRECT("D"&amp;ROW()-7)-1)*100, "")</f>
        <v>1.0416638913772092</v>
      </c>
      <c r="I365" s="4" cm="1">
        <f t="array" aca="1" ref="I365" ca="1">IF(ROW()&gt;7, (E365/INDIRECT("E"&amp;ROW()-7)-1)*100, "")</f>
        <v>1.0416725997641096</v>
      </c>
      <c r="J365" s="4" cm="1">
        <f t="array" aca="1" ref="J365" ca="1">IF(ROW()&gt;7, (F365/INDIRECT("F"&amp;ROW()-7)-1)*100, "")</f>
        <v>1.0416725236983337</v>
      </c>
      <c r="K365">
        <f t="shared" ca="1" si="10"/>
        <v>15675500</v>
      </c>
      <c r="L365" t="str">
        <f t="shared" ca="1" si="11"/>
        <v>Facebook</v>
      </c>
    </row>
    <row r="366" spans="2:12" x14ac:dyDescent="0.35">
      <c r="B366" s="3">
        <v>43829</v>
      </c>
      <c r="C366" s="4">
        <v>7974607</v>
      </c>
      <c r="D366" s="4">
        <v>5980955</v>
      </c>
      <c r="E366" s="4">
        <v>2436685</v>
      </c>
      <c r="F366" s="4">
        <v>5759438</v>
      </c>
      <c r="G366" s="4" cm="1">
        <f t="array" aca="1" ref="G366" ca="1">IF(ROW()&gt;7, (C366/INDIRECT("C"&amp;ROW()-7)-1)*100, "")</f>
        <v>3.0302995067221783</v>
      </c>
      <c r="H366" s="4" cm="1">
        <f t="array" aca="1" ref="H366" ca="1">IF(ROW()&gt;7, (D366/INDIRECT("D"&amp;ROW()-7)-1)*100, "")</f>
        <v>3.0302952001233452</v>
      </c>
      <c r="I366" s="4" cm="1">
        <f t="array" aca="1" ref="I366" ca="1">IF(ROW()&gt;7, (E366/INDIRECT("E"&amp;ROW()-7)-1)*100, "")</f>
        <v>3.0302940611868445</v>
      </c>
      <c r="J366" s="4" cm="1">
        <f t="array" aca="1" ref="J366" ca="1">IF(ROW()&gt;7, (F366/INDIRECT("F"&amp;ROW()-7)-1)*100, "")</f>
        <v>3.0302986935878629</v>
      </c>
      <c r="K366">
        <f t="shared" ca="1" si="10"/>
        <v>7974607</v>
      </c>
      <c r="L366" t="str">
        <f t="shared" ca="1" si="11"/>
        <v>Facebook</v>
      </c>
    </row>
    <row r="367" spans="2:12" x14ac:dyDescent="0.35">
      <c r="B367" s="3">
        <v>43830</v>
      </c>
      <c r="C367" s="4">
        <v>7896424</v>
      </c>
      <c r="D367" s="4">
        <v>5922318</v>
      </c>
      <c r="E367" s="4">
        <v>2412796</v>
      </c>
      <c r="F367" s="4">
        <v>5702973</v>
      </c>
      <c r="G367" s="4" cm="1">
        <f t="array" aca="1" ref="G367" ca="1">IF(ROW()&gt;7, (C367/INDIRECT("C"&amp;ROW()-7)-1)*100, "")</f>
        <v>3.0612211602979222</v>
      </c>
      <c r="H367" s="4" cm="1">
        <f t="array" aca="1" ref="H367" ca="1">IF(ROW()&gt;7, (D367/INDIRECT("D"&amp;ROW()-7)-1)*100, "")</f>
        <v>3.0612166765743076</v>
      </c>
      <c r="I367" s="4" cm="1">
        <f t="array" aca="1" ref="I367" ca="1">IF(ROW()&gt;7, (E367/INDIRECT("E"&amp;ROW()-7)-1)*100, "")</f>
        <v>3.0612153367029382</v>
      </c>
      <c r="J367" s="4" cm="1">
        <f t="array" aca="1" ref="J367" ca="1">IF(ROW()&gt;7, (F367/INDIRECT("F"&amp;ROW()-7)-1)*100, "")</f>
        <v>3.061220064124881</v>
      </c>
      <c r="K367">
        <f t="shared" ca="1" si="10"/>
        <v>7896424</v>
      </c>
      <c r="L367" t="str">
        <f t="shared" ca="1" si="11"/>
        <v>Facebook</v>
      </c>
    </row>
    <row r="368" spans="2:12" x14ac:dyDescent="0.35">
      <c r="B368" s="3">
        <v>43831</v>
      </c>
      <c r="C368" s="4">
        <v>7818242</v>
      </c>
      <c r="D368" s="4">
        <v>5863681</v>
      </c>
      <c r="E368" s="4">
        <v>2388907</v>
      </c>
      <c r="F368" s="4">
        <v>5646508</v>
      </c>
      <c r="G368" s="4" cm="1">
        <f t="array" aca="1" ref="G368" ca="1">IF(ROW()&gt;7, (C368/INDIRECT("C"&amp;ROW()-7)-1)*100, "")</f>
        <v>5.2631564774959561</v>
      </c>
      <c r="H368" s="4" cm="1">
        <f t="array" aca="1" ref="H368" ca="1">IF(ROW()&gt;7, (D368/INDIRECT("D"&amp;ROW()-7)-1)*100, "")</f>
        <v>5.2631569499094866</v>
      </c>
      <c r="I368" s="4" cm="1">
        <f t="array" aca="1" ref="I368" ca="1">IF(ROW()&gt;7, (E368/INDIRECT("E"&amp;ROW()-7)-1)*100, "")</f>
        <v>5.2631416608870385</v>
      </c>
      <c r="J368" s="4" cm="1">
        <f t="array" aca="1" ref="J368" ca="1">IF(ROW()&gt;7, (F368/INDIRECT("F"&amp;ROW()-7)-1)*100, "")</f>
        <v>5.2631500454030089</v>
      </c>
      <c r="K368">
        <f t="shared" ca="1" si="10"/>
        <v>7818242</v>
      </c>
      <c r="L368" t="str">
        <f t="shared" ca="1" si="11"/>
        <v>Facebook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7CB6-A5E2-41C8-9BC8-D7BB1F9D04CF}">
  <dimension ref="A3:D57"/>
  <sheetViews>
    <sheetView zoomScale="70" zoomScaleNormal="70" workbookViewId="0">
      <selection activeCell="D7" sqref="D7"/>
    </sheetView>
  </sheetViews>
  <sheetFormatPr defaultRowHeight="15.5" x14ac:dyDescent="0.35"/>
  <cols>
    <col min="1" max="1" width="21.4140625" bestFit="1" customWidth="1"/>
    <col min="2" max="2" width="25.08203125" bestFit="1" customWidth="1"/>
    <col min="3" max="3" width="38.4140625" bestFit="1" customWidth="1"/>
    <col min="4" max="4" width="32" bestFit="1" customWidth="1"/>
  </cols>
  <sheetData>
    <row r="3" spans="1:4" x14ac:dyDescent="0.35">
      <c r="A3" s="12" t="s">
        <v>43</v>
      </c>
      <c r="B3" t="s">
        <v>45</v>
      </c>
      <c r="C3" t="s">
        <v>46</v>
      </c>
      <c r="D3" t="s">
        <v>47</v>
      </c>
    </row>
    <row r="4" spans="1:4" x14ac:dyDescent="0.35">
      <c r="A4" s="13" t="s">
        <v>48</v>
      </c>
      <c r="B4">
        <v>0.18142857142857144</v>
      </c>
      <c r="C4">
        <v>32.571428571428569</v>
      </c>
      <c r="D4">
        <v>0.93714285714285706</v>
      </c>
    </row>
    <row r="5" spans="1:4" x14ac:dyDescent="0.35">
      <c r="A5" s="13" t="s">
        <v>49</v>
      </c>
      <c r="B5">
        <v>0.18142857142857141</v>
      </c>
      <c r="C5">
        <v>36.285714285714285</v>
      </c>
      <c r="D5">
        <v>0.93142857142857138</v>
      </c>
    </row>
    <row r="6" spans="1:4" x14ac:dyDescent="0.35">
      <c r="A6" s="13" t="s">
        <v>50</v>
      </c>
      <c r="B6">
        <v>0.17571428571428571</v>
      </c>
      <c r="C6">
        <v>35.571428571428569</v>
      </c>
      <c r="D6">
        <v>0.92285714285714282</v>
      </c>
    </row>
    <row r="7" spans="1:4" x14ac:dyDescent="0.35">
      <c r="A7" s="13" t="s">
        <v>51</v>
      </c>
      <c r="B7">
        <v>0.17857142857142858</v>
      </c>
      <c r="C7">
        <v>34.714285714285715</v>
      </c>
      <c r="D7">
        <v>0.93</v>
      </c>
    </row>
    <row r="8" spans="1:4" x14ac:dyDescent="0.35">
      <c r="A8" s="13" t="s">
        <v>52</v>
      </c>
      <c r="B8">
        <v>0.1771428571428571</v>
      </c>
      <c r="C8">
        <v>34.571428571428569</v>
      </c>
      <c r="D8">
        <v>0.93428571428571427</v>
      </c>
    </row>
    <row r="9" spans="1:4" x14ac:dyDescent="0.35">
      <c r="A9" s="13" t="s">
        <v>53</v>
      </c>
      <c r="B9">
        <v>0.17857142857142855</v>
      </c>
      <c r="C9">
        <v>34.571428571428569</v>
      </c>
      <c r="D9">
        <v>0.93428571428571439</v>
      </c>
    </row>
    <row r="10" spans="1:4" x14ac:dyDescent="0.35">
      <c r="A10" s="13" t="s">
        <v>54</v>
      </c>
      <c r="B10">
        <v>0.17857142857142855</v>
      </c>
      <c r="C10">
        <v>35</v>
      </c>
      <c r="D10">
        <v>0.92857142857142871</v>
      </c>
    </row>
    <row r="11" spans="1:4" x14ac:dyDescent="0.35">
      <c r="A11" s="13" t="s">
        <v>55</v>
      </c>
      <c r="B11">
        <v>0.17857142857142858</v>
      </c>
      <c r="C11">
        <v>34.285714285714285</v>
      </c>
      <c r="D11">
        <v>0.92285714285714282</v>
      </c>
    </row>
    <row r="12" spans="1:4" x14ac:dyDescent="0.35">
      <c r="A12" s="13" t="s">
        <v>56</v>
      </c>
      <c r="B12">
        <v>0.17999999999999997</v>
      </c>
      <c r="C12">
        <v>34</v>
      </c>
      <c r="D12">
        <v>0.94285714285714284</v>
      </c>
    </row>
    <row r="13" spans="1:4" x14ac:dyDescent="0.35">
      <c r="A13" s="13" t="s">
        <v>57</v>
      </c>
      <c r="B13">
        <v>0.18142857142857144</v>
      </c>
      <c r="C13">
        <v>33.714285714285715</v>
      </c>
      <c r="D13">
        <v>0.94142857142857139</v>
      </c>
    </row>
    <row r="14" spans="1:4" x14ac:dyDescent="0.35">
      <c r="A14" s="13" t="s">
        <v>58</v>
      </c>
      <c r="B14">
        <v>0.17857142857142858</v>
      </c>
      <c r="C14">
        <v>33.571428571428569</v>
      </c>
      <c r="D14">
        <v>0.93142857142857138</v>
      </c>
    </row>
    <row r="15" spans="1:4" x14ac:dyDescent="0.35">
      <c r="A15" s="13" t="s">
        <v>59</v>
      </c>
      <c r="B15">
        <v>0.18</v>
      </c>
      <c r="C15">
        <v>36.857142857142854</v>
      </c>
      <c r="D15">
        <v>0.89</v>
      </c>
    </row>
    <row r="16" spans="1:4" x14ac:dyDescent="0.35">
      <c r="A16" s="13" t="s">
        <v>60</v>
      </c>
      <c r="B16">
        <v>0.17999999999999997</v>
      </c>
      <c r="C16">
        <v>36.857142857142854</v>
      </c>
      <c r="D16">
        <v>0.93285714285714294</v>
      </c>
    </row>
    <row r="17" spans="1:4" x14ac:dyDescent="0.35">
      <c r="A17" s="13" t="s">
        <v>61</v>
      </c>
      <c r="B17">
        <v>0.16857142857142857</v>
      </c>
      <c r="C17">
        <v>34.285714285714285</v>
      </c>
      <c r="D17">
        <v>0.92999999999999994</v>
      </c>
    </row>
    <row r="18" spans="1:4" x14ac:dyDescent="0.35">
      <c r="A18" s="13" t="s">
        <v>62</v>
      </c>
      <c r="B18">
        <v>0.17714285714285713</v>
      </c>
      <c r="C18">
        <v>33.285714285714285</v>
      </c>
      <c r="D18">
        <v>0.93714285714285717</v>
      </c>
    </row>
    <row r="19" spans="1:4" x14ac:dyDescent="0.35">
      <c r="A19" s="13" t="s">
        <v>63</v>
      </c>
      <c r="B19">
        <v>0.19571428571428567</v>
      </c>
      <c r="C19">
        <v>33.571428571428569</v>
      </c>
      <c r="D19">
        <v>0.93285714285714294</v>
      </c>
    </row>
    <row r="20" spans="1:4" x14ac:dyDescent="0.35">
      <c r="A20" s="13" t="s">
        <v>64</v>
      </c>
      <c r="B20">
        <v>0.17714285714285713</v>
      </c>
      <c r="C20">
        <v>34.571428571428569</v>
      </c>
      <c r="D20">
        <v>0.9285714285714286</v>
      </c>
    </row>
    <row r="21" spans="1:4" x14ac:dyDescent="0.35">
      <c r="A21" s="13" t="s">
        <v>65</v>
      </c>
      <c r="B21">
        <v>0.18142857142857141</v>
      </c>
      <c r="C21">
        <v>35.142857142857146</v>
      </c>
      <c r="D21">
        <v>0.93714285714285706</v>
      </c>
    </row>
    <row r="22" spans="1:4" x14ac:dyDescent="0.35">
      <c r="A22" s="13" t="s">
        <v>66</v>
      </c>
      <c r="B22">
        <v>0.17571428571428571</v>
      </c>
      <c r="C22">
        <v>36.285714285714285</v>
      </c>
      <c r="D22">
        <v>0.92999999999999994</v>
      </c>
    </row>
    <row r="23" spans="1:4" x14ac:dyDescent="0.35">
      <c r="A23" s="13" t="s">
        <v>67</v>
      </c>
      <c r="B23">
        <v>0.17714285714285713</v>
      </c>
      <c r="C23">
        <v>34.142857142857146</v>
      </c>
      <c r="D23">
        <v>0.9257142857142856</v>
      </c>
    </row>
    <row r="24" spans="1:4" x14ac:dyDescent="0.35">
      <c r="A24" s="13" t="s">
        <v>68</v>
      </c>
      <c r="B24">
        <v>0.17714285714285713</v>
      </c>
      <c r="C24">
        <v>35.428571428571431</v>
      </c>
      <c r="D24">
        <v>0.9285714285714286</v>
      </c>
    </row>
    <row r="25" spans="1:4" x14ac:dyDescent="0.35">
      <c r="A25" s="13" t="s">
        <v>69</v>
      </c>
      <c r="B25">
        <v>0.18</v>
      </c>
      <c r="C25">
        <v>33.857142857142854</v>
      </c>
      <c r="D25">
        <v>0.93142857142857138</v>
      </c>
    </row>
    <row r="26" spans="1:4" x14ac:dyDescent="0.35">
      <c r="A26" s="13" t="s">
        <v>70</v>
      </c>
      <c r="B26">
        <v>0.17857142857142855</v>
      </c>
      <c r="C26">
        <v>34.571428571428569</v>
      </c>
      <c r="D26">
        <v>0.94000000000000006</v>
      </c>
    </row>
    <row r="27" spans="1:4" x14ac:dyDescent="0.35">
      <c r="A27" s="13" t="s">
        <v>71</v>
      </c>
      <c r="B27">
        <v>0.17428571428571429</v>
      </c>
      <c r="C27">
        <v>34</v>
      </c>
      <c r="D27">
        <v>0.93142857142857138</v>
      </c>
    </row>
    <row r="28" spans="1:4" x14ac:dyDescent="0.35">
      <c r="A28" s="13" t="s">
        <v>72</v>
      </c>
      <c r="B28">
        <v>0.17857142857142858</v>
      </c>
      <c r="C28">
        <v>34.714285714285715</v>
      </c>
      <c r="D28">
        <v>0.9285714285714286</v>
      </c>
    </row>
    <row r="29" spans="1:4" x14ac:dyDescent="0.35">
      <c r="A29" s="13" t="s">
        <v>73</v>
      </c>
      <c r="B29">
        <v>0.17857142857142858</v>
      </c>
      <c r="C29">
        <v>34</v>
      </c>
      <c r="D29">
        <v>0.92285714285714282</v>
      </c>
    </row>
    <row r="30" spans="1:4" x14ac:dyDescent="0.35">
      <c r="A30" s="13" t="s">
        <v>74</v>
      </c>
      <c r="B30">
        <v>0.17857142857142855</v>
      </c>
      <c r="C30">
        <v>36.571428571428569</v>
      </c>
      <c r="D30">
        <v>0.92999999999999994</v>
      </c>
    </row>
    <row r="31" spans="1:4" x14ac:dyDescent="0.35">
      <c r="A31" s="13" t="s">
        <v>75</v>
      </c>
      <c r="B31">
        <v>0.17857142857142858</v>
      </c>
      <c r="C31">
        <v>37</v>
      </c>
      <c r="D31">
        <v>0.92571428571428582</v>
      </c>
    </row>
    <row r="32" spans="1:4" x14ac:dyDescent="0.35">
      <c r="A32" s="13" t="s">
        <v>76</v>
      </c>
      <c r="B32">
        <v>0.18</v>
      </c>
      <c r="C32">
        <v>34</v>
      </c>
      <c r="D32">
        <v>0.94000000000000006</v>
      </c>
    </row>
    <row r="33" spans="1:4" x14ac:dyDescent="0.35">
      <c r="A33" s="13" t="s">
        <v>77</v>
      </c>
      <c r="B33">
        <v>0.18142857142857144</v>
      </c>
      <c r="C33">
        <v>35.285714285714285</v>
      </c>
      <c r="D33">
        <v>0.92714285714285716</v>
      </c>
    </row>
    <row r="34" spans="1:4" x14ac:dyDescent="0.35">
      <c r="A34" s="13" t="s">
        <v>78</v>
      </c>
      <c r="B34">
        <v>0.18</v>
      </c>
      <c r="C34">
        <v>34.285714285714285</v>
      </c>
      <c r="D34">
        <v>0.93285714285714294</v>
      </c>
    </row>
    <row r="35" spans="1:4" x14ac:dyDescent="0.35">
      <c r="A35" s="13" t="s">
        <v>79</v>
      </c>
      <c r="B35">
        <v>0.18142857142857144</v>
      </c>
      <c r="C35">
        <v>32.714285714285715</v>
      </c>
      <c r="D35">
        <v>0.9285714285714286</v>
      </c>
    </row>
    <row r="36" spans="1:4" x14ac:dyDescent="0.35">
      <c r="A36" s="13" t="s">
        <v>80</v>
      </c>
      <c r="B36">
        <v>0.17714285714285713</v>
      </c>
      <c r="C36">
        <v>34.428571428571431</v>
      </c>
      <c r="D36">
        <v>0.93142857142857138</v>
      </c>
    </row>
    <row r="37" spans="1:4" x14ac:dyDescent="0.35">
      <c r="A37" s="13" t="s">
        <v>81</v>
      </c>
      <c r="B37">
        <v>0.18571428571428569</v>
      </c>
      <c r="C37">
        <v>35</v>
      </c>
      <c r="D37">
        <v>0.93714285714285717</v>
      </c>
    </row>
    <row r="38" spans="1:4" x14ac:dyDescent="0.35">
      <c r="A38" s="13" t="s">
        <v>82</v>
      </c>
      <c r="B38">
        <v>0.18285714285714283</v>
      </c>
      <c r="C38">
        <v>34.142857142857146</v>
      </c>
      <c r="D38">
        <v>0.93285714285714272</v>
      </c>
    </row>
    <row r="39" spans="1:4" x14ac:dyDescent="0.35">
      <c r="A39" s="13" t="s">
        <v>83</v>
      </c>
      <c r="B39">
        <v>0.17857142857142858</v>
      </c>
      <c r="C39">
        <v>35.142857142857146</v>
      </c>
      <c r="D39">
        <v>0.93285714285714272</v>
      </c>
    </row>
    <row r="40" spans="1:4" x14ac:dyDescent="0.35">
      <c r="A40" s="13" t="s">
        <v>84</v>
      </c>
      <c r="B40">
        <v>0.18285714285714286</v>
      </c>
      <c r="C40">
        <v>38.142857142857146</v>
      </c>
      <c r="D40">
        <v>0.92857142857142871</v>
      </c>
    </row>
    <row r="41" spans="1:4" x14ac:dyDescent="0.35">
      <c r="A41" s="13" t="s">
        <v>85</v>
      </c>
      <c r="B41">
        <v>0.18285714285714286</v>
      </c>
      <c r="C41">
        <v>34.142857142857146</v>
      </c>
      <c r="D41">
        <v>0.93142857142857149</v>
      </c>
    </row>
    <row r="42" spans="1:4" x14ac:dyDescent="0.35">
      <c r="A42" s="13" t="s">
        <v>86</v>
      </c>
      <c r="B42">
        <v>0.18428571428571425</v>
      </c>
      <c r="C42">
        <v>33.857142857142854</v>
      </c>
      <c r="D42">
        <v>0.92142857142857149</v>
      </c>
    </row>
    <row r="43" spans="1:4" x14ac:dyDescent="0.35">
      <c r="A43" s="13" t="s">
        <v>87</v>
      </c>
      <c r="B43">
        <v>0.17999999999999997</v>
      </c>
      <c r="C43">
        <v>32.571428571428569</v>
      </c>
      <c r="D43">
        <v>0.93285714285714272</v>
      </c>
    </row>
    <row r="44" spans="1:4" x14ac:dyDescent="0.35">
      <c r="A44" s="13" t="s">
        <v>88</v>
      </c>
      <c r="B44">
        <v>0.18142857142857144</v>
      </c>
      <c r="C44">
        <v>33.142857142857146</v>
      </c>
      <c r="D44">
        <v>0.93857142857142861</v>
      </c>
    </row>
    <row r="45" spans="1:4" x14ac:dyDescent="0.35">
      <c r="A45" s="13" t="s">
        <v>89</v>
      </c>
      <c r="B45">
        <v>0.18571428571428569</v>
      </c>
      <c r="C45">
        <v>35.428571428571431</v>
      </c>
      <c r="D45">
        <v>0.9285714285714286</v>
      </c>
    </row>
    <row r="46" spans="1:4" x14ac:dyDescent="0.35">
      <c r="A46" s="13" t="s">
        <v>90</v>
      </c>
      <c r="B46">
        <v>0.18142857142857144</v>
      </c>
      <c r="C46">
        <v>35.571428571428569</v>
      </c>
      <c r="D46">
        <v>0.93428571428571439</v>
      </c>
    </row>
    <row r="47" spans="1:4" x14ac:dyDescent="0.35">
      <c r="A47" s="13" t="s">
        <v>91</v>
      </c>
      <c r="B47">
        <v>0.18142857142857141</v>
      </c>
      <c r="C47">
        <v>34</v>
      </c>
      <c r="D47">
        <v>0.92428571428571438</v>
      </c>
    </row>
    <row r="48" spans="1:4" x14ac:dyDescent="0.35">
      <c r="A48" s="13" t="s">
        <v>92</v>
      </c>
      <c r="B48">
        <v>0.18142857142857141</v>
      </c>
      <c r="C48">
        <v>34.857142857142854</v>
      </c>
      <c r="D48">
        <v>0.92999999999999994</v>
      </c>
    </row>
    <row r="49" spans="1:4" x14ac:dyDescent="0.35">
      <c r="A49" s="13" t="s">
        <v>93</v>
      </c>
      <c r="B49">
        <v>0.18571428571428569</v>
      </c>
      <c r="C49">
        <v>45.857142857142854</v>
      </c>
      <c r="D49">
        <v>0.93142857142857138</v>
      </c>
    </row>
    <row r="50" spans="1:4" x14ac:dyDescent="0.35">
      <c r="A50" s="13" t="s">
        <v>94</v>
      </c>
      <c r="B50">
        <v>0.18571428571428569</v>
      </c>
      <c r="C50">
        <v>35.857142857142854</v>
      </c>
      <c r="D50">
        <v>0.93571428571428583</v>
      </c>
    </row>
    <row r="51" spans="1:4" x14ac:dyDescent="0.35">
      <c r="A51" s="13" t="s">
        <v>95</v>
      </c>
      <c r="B51">
        <v>0.17857142857142858</v>
      </c>
      <c r="C51">
        <v>37</v>
      </c>
      <c r="D51">
        <v>0.9285714285714286</v>
      </c>
    </row>
    <row r="52" spans="1:4" x14ac:dyDescent="0.35">
      <c r="A52" s="13" t="s">
        <v>96</v>
      </c>
      <c r="B52">
        <v>0.18285714285714286</v>
      </c>
      <c r="C52">
        <v>34.428571428571431</v>
      </c>
      <c r="D52">
        <v>0.9257142857142856</v>
      </c>
    </row>
    <row r="53" spans="1:4" x14ac:dyDescent="0.35">
      <c r="A53" s="13" t="s">
        <v>97</v>
      </c>
      <c r="B53">
        <v>0.17857142857142858</v>
      </c>
      <c r="C53">
        <v>34.714285714285715</v>
      </c>
      <c r="D53">
        <v>0.9285714285714286</v>
      </c>
    </row>
    <row r="54" spans="1:4" x14ac:dyDescent="0.35">
      <c r="A54" s="13" t="s">
        <v>98</v>
      </c>
      <c r="B54">
        <v>0.17571428571428571</v>
      </c>
      <c r="C54">
        <v>35.857142857142854</v>
      </c>
      <c r="D54">
        <v>0.92428571428571427</v>
      </c>
    </row>
    <row r="55" spans="1:4" x14ac:dyDescent="0.35">
      <c r="A55" s="13" t="s">
        <v>99</v>
      </c>
      <c r="B55">
        <v>0.18142857142857141</v>
      </c>
      <c r="C55">
        <v>36.142857142857146</v>
      </c>
      <c r="D55">
        <v>0.93142857142857149</v>
      </c>
    </row>
    <row r="56" spans="1:4" x14ac:dyDescent="0.35">
      <c r="A56" s="13" t="s">
        <v>100</v>
      </c>
      <c r="B56">
        <v>0.18</v>
      </c>
      <c r="C56">
        <v>32</v>
      </c>
      <c r="D56">
        <v>0.92</v>
      </c>
    </row>
    <row r="57" spans="1:4" x14ac:dyDescent="0.35">
      <c r="A57" s="13" t="s">
        <v>44</v>
      </c>
      <c r="B57">
        <v>0.1800819672131147</v>
      </c>
      <c r="C57">
        <v>34.994535519125684</v>
      </c>
      <c r="D57">
        <v>0.9303005464480878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59D-B53D-8E4D-8B38-481D388BFD03}">
  <dimension ref="B1:Z377"/>
  <sheetViews>
    <sheetView zoomScale="70" zoomScaleNormal="70" workbookViewId="0">
      <selection activeCell="T34" sqref="T34"/>
    </sheetView>
  </sheetViews>
  <sheetFormatPr defaultColWidth="10.6640625" defaultRowHeight="15.5" x14ac:dyDescent="0.35"/>
  <cols>
    <col min="2" max="2" width="11.25" bestFit="1" customWidth="1"/>
    <col min="3" max="3" width="18" bestFit="1" customWidth="1"/>
    <col min="4" max="4" width="15.6640625" bestFit="1" customWidth="1"/>
    <col min="5" max="5" width="29" bestFit="1" customWidth="1"/>
    <col min="6" max="6" width="24" bestFit="1" customWidth="1"/>
    <col min="7" max="7" width="22.83203125" bestFit="1" customWidth="1"/>
    <col min="8" max="8" width="14.83203125" bestFit="1" customWidth="1"/>
    <col min="9" max="9" width="29.1640625" bestFit="1" customWidth="1"/>
    <col min="10" max="10" width="23" bestFit="1" customWidth="1"/>
    <col min="11" max="11" width="9.83203125" customWidth="1"/>
    <col min="12" max="12" width="8.75" customWidth="1"/>
    <col min="13" max="13" width="10.6640625" customWidth="1"/>
    <col min="15" max="15" width="11" style="8" customWidth="1"/>
    <col min="16" max="16" width="20.6640625" style="8" customWidth="1"/>
    <col min="17" max="17" width="8.1640625" style="8" customWidth="1"/>
    <col min="18" max="18" width="8.33203125" style="8" customWidth="1"/>
    <col min="19" max="19" width="23.6640625" style="8" bestFit="1" customWidth="1"/>
    <col min="20" max="20" width="7.33203125" style="8" customWidth="1"/>
    <col min="21" max="21" width="10.6640625" style="8"/>
    <col min="23" max="23" width="13" style="8" customWidth="1"/>
  </cols>
  <sheetData>
    <row r="1" spans="2:26" x14ac:dyDescent="0.35">
      <c r="K1" s="19" t="s">
        <v>116</v>
      </c>
      <c r="L1" s="20"/>
      <c r="M1" s="20"/>
      <c r="N1" s="20"/>
      <c r="O1" s="18" t="s">
        <v>101</v>
      </c>
      <c r="P1" s="17"/>
      <c r="Q1" s="17"/>
      <c r="R1" s="17"/>
      <c r="S1" s="18" t="s">
        <v>106</v>
      </c>
      <c r="T1" s="17"/>
      <c r="U1" s="17"/>
      <c r="V1" s="17"/>
      <c r="W1" s="18" t="s">
        <v>111</v>
      </c>
      <c r="X1" s="17"/>
      <c r="Y1" s="17"/>
      <c r="Z1" s="17"/>
    </row>
    <row r="2" spans="2:26" x14ac:dyDescent="0.35">
      <c r="B2" s="1" t="s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14" t="str">
        <f>'Session Details'!L2</f>
        <v>L2M</v>
      </c>
      <c r="L2" s="14" t="str">
        <f>'Session Details'!M2</f>
        <v>M2C</v>
      </c>
      <c r="M2" s="14" t="str">
        <f>'Session Details'!N2</f>
        <v>C2P</v>
      </c>
      <c r="N2" s="14" t="str">
        <f>'Session Details'!O2</f>
        <v>P2O</v>
      </c>
      <c r="O2" s="15" t="s">
        <v>102</v>
      </c>
      <c r="P2" s="15" t="s">
        <v>103</v>
      </c>
      <c r="Q2" s="15" t="s">
        <v>104</v>
      </c>
      <c r="R2" s="15" t="s">
        <v>105</v>
      </c>
      <c r="S2" s="15" t="s">
        <v>107</v>
      </c>
      <c r="T2" s="15" t="s">
        <v>108</v>
      </c>
      <c r="U2" s="15" t="s">
        <v>109</v>
      </c>
      <c r="V2" s="15" t="s">
        <v>110</v>
      </c>
      <c r="W2" s="16" t="s">
        <v>112</v>
      </c>
      <c r="X2" s="16" t="s">
        <v>113</v>
      </c>
      <c r="Y2" s="16" t="s">
        <v>114</v>
      </c>
      <c r="Z2" s="16" t="s">
        <v>115</v>
      </c>
    </row>
    <row r="3" spans="2:26" x14ac:dyDescent="0.35">
      <c r="B3" s="3">
        <v>43466</v>
      </c>
      <c r="C3" s="4">
        <v>385075</v>
      </c>
      <c r="D3" s="5">
        <v>0.17</v>
      </c>
      <c r="E3" s="4">
        <v>37</v>
      </c>
      <c r="F3" s="4">
        <v>22</v>
      </c>
      <c r="G3" s="4">
        <v>26</v>
      </c>
      <c r="H3" s="4">
        <v>364</v>
      </c>
      <c r="I3" s="4">
        <v>32</v>
      </c>
      <c r="J3" s="5">
        <v>0.95</v>
      </c>
      <c r="K3" s="11">
        <f>'Session Details'!L3</f>
        <v>0.2449999870495187</v>
      </c>
      <c r="L3" s="11">
        <f>'Session Details'!M3</f>
        <v>0.41199995771271192</v>
      </c>
      <c r="M3" s="11">
        <f>'Session Details'!N3</f>
        <v>0.71539994544924068</v>
      </c>
      <c r="N3" s="11">
        <f>'Session Details'!O3</f>
        <v>0.84460022987223116</v>
      </c>
      <c r="O3" s="8">
        <f>CORREL($D3:$D368,K3:K368)</f>
        <v>1.3005984648593108E-2</v>
      </c>
      <c r="P3" s="8">
        <f t="shared" ref="P3:R3" si="0">CORREL($D3:$D368,L3:L368)</f>
        <v>0.31093145051708709</v>
      </c>
      <c r="Q3" s="8">
        <f t="shared" si="0"/>
        <v>2.0468754793204155E-3</v>
      </c>
      <c r="R3" s="8">
        <f t="shared" si="0"/>
        <v>-4.5859368324018282E-2</v>
      </c>
      <c r="S3" s="8">
        <f>CORREL($E3:$E368,K3:K368)</f>
        <v>-6.173534506528211E-2</v>
      </c>
      <c r="T3" s="8">
        <f t="shared" ref="T3:V3" si="1">CORREL($E3:$E368,L3:L368)</f>
        <v>-0.35332762781173055</v>
      </c>
      <c r="U3" s="8">
        <f t="shared" si="1"/>
        <v>-1.8063218173743869E-2</v>
      </c>
      <c r="V3" s="8">
        <f t="shared" si="1"/>
        <v>-5.3481086052756012E-2</v>
      </c>
      <c r="W3" s="8">
        <f>CORREL($J3:$J368,K3:K368)</f>
        <v>-5.8434517246837868E-2</v>
      </c>
      <c r="X3" s="8">
        <f t="shared" ref="X3:Z3" si="2">CORREL($J3:$J368,L3:L368)</f>
        <v>-4.5449105898117792E-2</v>
      </c>
      <c r="Y3" s="8">
        <f t="shared" si="2"/>
        <v>-3.9224429325965225E-2</v>
      </c>
      <c r="Z3" s="8">
        <f t="shared" si="2"/>
        <v>0.4139233502880994</v>
      </c>
    </row>
    <row r="4" spans="2:26" x14ac:dyDescent="0.35">
      <c r="B4" s="3">
        <v>43467</v>
      </c>
      <c r="C4" s="4">
        <v>388232</v>
      </c>
      <c r="D4" s="5">
        <v>0.19</v>
      </c>
      <c r="E4" s="4">
        <v>31</v>
      </c>
      <c r="F4" s="4">
        <v>17</v>
      </c>
      <c r="G4" s="4">
        <v>28</v>
      </c>
      <c r="H4" s="4">
        <v>360</v>
      </c>
      <c r="I4" s="4">
        <v>35</v>
      </c>
      <c r="J4" s="5">
        <v>0.95</v>
      </c>
      <c r="K4" s="11">
        <f>'Session Details'!L4</f>
        <v>0.24750000148168322</v>
      </c>
      <c r="L4" s="11">
        <f>'Session Details'!M4</f>
        <v>0.39999985263756649</v>
      </c>
      <c r="M4" s="11">
        <f>'Session Details'!N4</f>
        <v>0.72270017812440712</v>
      </c>
      <c r="N4" s="11">
        <f>'Session Details'!O4</f>
        <v>0.80359956797537846</v>
      </c>
    </row>
    <row r="5" spans="2:26" x14ac:dyDescent="0.35">
      <c r="B5" s="3">
        <v>43468</v>
      </c>
      <c r="C5" s="4">
        <v>399964</v>
      </c>
      <c r="D5" s="5">
        <v>0.18</v>
      </c>
      <c r="E5" s="4">
        <v>30</v>
      </c>
      <c r="F5" s="4">
        <v>22</v>
      </c>
      <c r="G5" s="4">
        <v>29</v>
      </c>
      <c r="H5" s="4">
        <v>370</v>
      </c>
      <c r="I5" s="4">
        <v>31</v>
      </c>
      <c r="J5" s="5">
        <v>0.94</v>
      </c>
      <c r="K5" s="11">
        <f>'Session Details'!L5</f>
        <v>0.24999997601762725</v>
      </c>
      <c r="L5" s="11">
        <f>'Session Details'!M5</f>
        <v>0.38400003376718411</v>
      </c>
      <c r="M5" s="11">
        <f>'Session Details'!N5</f>
        <v>0.70079991206463255</v>
      </c>
      <c r="N5" s="11">
        <f>'Session Details'!O5</f>
        <v>0.81179997575982266</v>
      </c>
    </row>
    <row r="6" spans="2:26" x14ac:dyDescent="0.35">
      <c r="B6" s="3">
        <v>43469</v>
      </c>
      <c r="C6" s="4">
        <v>408471</v>
      </c>
      <c r="D6" s="5">
        <v>0.17</v>
      </c>
      <c r="E6" s="4">
        <v>30</v>
      </c>
      <c r="F6" s="4">
        <v>19</v>
      </c>
      <c r="G6" s="4">
        <v>26</v>
      </c>
      <c r="H6" s="4">
        <v>386</v>
      </c>
      <c r="I6" s="4">
        <v>40</v>
      </c>
      <c r="J6" s="5">
        <v>0.94</v>
      </c>
      <c r="K6" s="11">
        <f>'Session Details'!L6</f>
        <v>0.2624999654653839</v>
      </c>
      <c r="L6" s="11">
        <f>'Session Details'!M6</f>
        <v>0.40399989404997649</v>
      </c>
      <c r="M6" s="11">
        <f>'Session Details'!N6</f>
        <v>0.69350008662151352</v>
      </c>
      <c r="N6" s="11">
        <f>'Session Details'!O6</f>
        <v>0.811800032055777</v>
      </c>
    </row>
    <row r="7" spans="2:26" x14ac:dyDescent="0.35">
      <c r="B7" s="3">
        <v>43470</v>
      </c>
      <c r="C7" s="4">
        <v>384771</v>
      </c>
      <c r="D7" s="5">
        <v>0.19</v>
      </c>
      <c r="E7" s="4">
        <v>31</v>
      </c>
      <c r="F7" s="4">
        <v>22</v>
      </c>
      <c r="G7" s="4">
        <v>27</v>
      </c>
      <c r="H7" s="4">
        <v>390</v>
      </c>
      <c r="I7" s="4">
        <v>33</v>
      </c>
      <c r="J7" s="5">
        <v>0.92</v>
      </c>
      <c r="K7" s="11">
        <f>'Session Details'!L7</f>
        <v>0.20579999705946239</v>
      </c>
      <c r="L7" s="11">
        <f>'Session Details'!M7</f>
        <v>0.3331999072512119</v>
      </c>
      <c r="M7" s="11">
        <f>'Session Details'!N7</f>
        <v>0.714000028724882</v>
      </c>
      <c r="N7" s="11">
        <f>'Session Details'!O7</f>
        <v>0.76440003716571214</v>
      </c>
    </row>
    <row r="8" spans="2:26" x14ac:dyDescent="0.35">
      <c r="B8" s="3">
        <v>43471</v>
      </c>
      <c r="C8" s="4">
        <v>390787</v>
      </c>
      <c r="D8" s="5">
        <v>0.19</v>
      </c>
      <c r="E8" s="4">
        <v>33</v>
      </c>
      <c r="F8" s="4">
        <v>18</v>
      </c>
      <c r="G8" s="4">
        <v>26</v>
      </c>
      <c r="H8" s="4">
        <v>360</v>
      </c>
      <c r="I8" s="4">
        <v>36</v>
      </c>
      <c r="J8" s="5">
        <v>0.93</v>
      </c>
      <c r="K8" s="11">
        <f>'Session Details'!L8</f>
        <v>0.2015999886824669</v>
      </c>
      <c r="L8" s="11">
        <f>'Session Details'!M8</f>
        <v>0.34339995990102845</v>
      </c>
      <c r="M8" s="11">
        <f>'Session Details'!N8</f>
        <v>0.67999984076755349</v>
      </c>
      <c r="N8" s="11">
        <f>'Session Details'!O8</f>
        <v>0.77219997921781924</v>
      </c>
    </row>
    <row r="9" spans="2:26" x14ac:dyDescent="0.35">
      <c r="B9" s="3">
        <v>43472</v>
      </c>
      <c r="C9" s="4">
        <v>388351</v>
      </c>
      <c r="D9" s="5">
        <v>0.18</v>
      </c>
      <c r="E9" s="4">
        <v>36</v>
      </c>
      <c r="F9" s="4">
        <v>19</v>
      </c>
      <c r="G9" s="4">
        <v>30</v>
      </c>
      <c r="H9" s="4">
        <v>381</v>
      </c>
      <c r="I9" s="4">
        <v>34</v>
      </c>
      <c r="J9" s="5">
        <v>0.93</v>
      </c>
      <c r="K9" s="11">
        <f>'Session Details'!L9</f>
        <v>0.23749997094706898</v>
      </c>
      <c r="L9" s="11">
        <f>'Session Details'!M9</f>
        <v>0.3839999586392383</v>
      </c>
      <c r="M9" s="11">
        <f>'Session Details'!N9</f>
        <v>0.69350016252719204</v>
      </c>
      <c r="N9" s="11">
        <f>'Session Details'!O9</f>
        <v>0.77899987450068953</v>
      </c>
    </row>
    <row r="10" spans="2:26" x14ac:dyDescent="0.35">
      <c r="B10" s="3">
        <v>43473</v>
      </c>
      <c r="C10" s="4">
        <v>387624</v>
      </c>
      <c r="D10" s="5">
        <v>0.17</v>
      </c>
      <c r="E10" s="4">
        <v>39</v>
      </c>
      <c r="F10" s="4">
        <v>22</v>
      </c>
      <c r="G10" s="4">
        <v>25</v>
      </c>
      <c r="H10" s="4">
        <v>359</v>
      </c>
      <c r="I10" s="4">
        <v>37</v>
      </c>
      <c r="J10" s="5">
        <v>0.95</v>
      </c>
      <c r="K10" s="11">
        <f>'Session Details'!L10</f>
        <v>0.24499998618615354</v>
      </c>
      <c r="L10" s="11">
        <f>'Session Details'!M10</f>
        <v>0.39199995940420407</v>
      </c>
      <c r="M10" s="11">
        <f>'Session Details'!N10</f>
        <v>0.75919976334458916</v>
      </c>
      <c r="N10" s="11">
        <f>'Session Details'!O10</f>
        <v>0.82820015055371432</v>
      </c>
    </row>
    <row r="11" spans="2:26" x14ac:dyDescent="0.35">
      <c r="B11" s="3">
        <v>43474</v>
      </c>
      <c r="C11" s="4">
        <v>399127</v>
      </c>
      <c r="D11" s="5">
        <v>0.18</v>
      </c>
      <c r="E11" s="4">
        <v>40</v>
      </c>
      <c r="F11" s="4">
        <v>22</v>
      </c>
      <c r="G11" s="4">
        <v>30</v>
      </c>
      <c r="H11" s="4">
        <v>359</v>
      </c>
      <c r="I11" s="4">
        <v>38</v>
      </c>
      <c r="J11" s="5">
        <v>0.93</v>
      </c>
      <c r="K11" s="11">
        <f>'Session Details'!L11</f>
        <v>0.25999996280887561</v>
      </c>
      <c r="L11" s="11">
        <f>'Session Details'!M11</f>
        <v>0.40400005585481019</v>
      </c>
      <c r="M11" s="11">
        <f>'Session Details'!N11</f>
        <v>0.74459975122627076</v>
      </c>
      <c r="N11" s="11">
        <f>'Session Details'!O11</f>
        <v>0.85280008785654926</v>
      </c>
    </row>
    <row r="12" spans="2:26" x14ac:dyDescent="0.35">
      <c r="B12" s="3">
        <v>43475</v>
      </c>
      <c r="C12" s="4">
        <v>400812</v>
      </c>
      <c r="D12" s="5">
        <v>0.19</v>
      </c>
      <c r="E12" s="4">
        <v>32</v>
      </c>
      <c r="F12" s="4">
        <v>22</v>
      </c>
      <c r="G12" s="4">
        <v>27</v>
      </c>
      <c r="H12" s="4">
        <v>399</v>
      </c>
      <c r="I12" s="4">
        <v>34</v>
      </c>
      <c r="J12" s="5">
        <v>0.92</v>
      </c>
      <c r="K12" s="11">
        <f>'Session Details'!L12</f>
        <v>0.25749997932621504</v>
      </c>
      <c r="L12" s="11">
        <f>'Session Details'!M12</f>
        <v>0.3879997153476864</v>
      </c>
      <c r="M12" s="11">
        <f>'Session Details'!N12</f>
        <v>0.71540014917357275</v>
      </c>
      <c r="N12" s="11">
        <f>'Session Details'!O12</f>
        <v>0.82000034183224713</v>
      </c>
    </row>
    <row r="13" spans="2:26" x14ac:dyDescent="0.35">
      <c r="B13" s="3">
        <v>43476</v>
      </c>
      <c r="C13" s="4">
        <v>382806</v>
      </c>
      <c r="D13" s="5">
        <v>0.19</v>
      </c>
      <c r="E13" s="4">
        <v>36</v>
      </c>
      <c r="F13" s="4">
        <v>17</v>
      </c>
      <c r="G13" s="4">
        <v>26</v>
      </c>
      <c r="H13" s="4">
        <v>392</v>
      </c>
      <c r="I13" s="4">
        <v>38</v>
      </c>
      <c r="J13" s="5">
        <v>0.91</v>
      </c>
      <c r="K13" s="11">
        <f>'Session Details'!L13</f>
        <v>0.23999997479578894</v>
      </c>
      <c r="L13" s="11">
        <f>'Session Details'!M13</f>
        <v>0.40399991679378167</v>
      </c>
      <c r="M13" s="11">
        <f>'Session Details'!N13</f>
        <v>0.71539976215078083</v>
      </c>
      <c r="N13" s="11">
        <f>'Session Details'!O13</f>
        <v>0.78720010062154766</v>
      </c>
    </row>
    <row r="14" spans="2:26" x14ac:dyDescent="0.35">
      <c r="B14" s="3">
        <v>43477</v>
      </c>
      <c r="C14" s="4">
        <v>406488</v>
      </c>
      <c r="D14" s="5">
        <v>0.18</v>
      </c>
      <c r="E14" s="4">
        <v>37</v>
      </c>
      <c r="F14" s="4">
        <v>21</v>
      </c>
      <c r="G14" s="4">
        <v>30</v>
      </c>
      <c r="H14" s="4">
        <v>363</v>
      </c>
      <c r="I14" s="4">
        <v>33</v>
      </c>
      <c r="J14" s="5">
        <v>0.95</v>
      </c>
      <c r="K14" s="11">
        <f>'Session Details'!L14</f>
        <v>0.21209999338027297</v>
      </c>
      <c r="L14" s="11">
        <f>'Session Details'!M14</f>
        <v>0.33999995577696557</v>
      </c>
      <c r="M14" s="11">
        <f>'Session Details'!N14</f>
        <v>0.69360001560813178</v>
      </c>
      <c r="N14" s="11">
        <f>'Session Details'!O14</f>
        <v>0.78779977140628266</v>
      </c>
    </row>
    <row r="15" spans="2:26" x14ac:dyDescent="0.35">
      <c r="B15" s="3">
        <v>43478</v>
      </c>
      <c r="C15" s="4">
        <v>402450</v>
      </c>
      <c r="D15" s="5">
        <v>0.17</v>
      </c>
      <c r="E15" s="4">
        <v>34</v>
      </c>
      <c r="F15" s="4">
        <v>20</v>
      </c>
      <c r="G15" s="4">
        <v>28</v>
      </c>
      <c r="H15" s="4">
        <v>390</v>
      </c>
      <c r="I15" s="4">
        <v>37</v>
      </c>
      <c r="J15" s="5">
        <v>0.92</v>
      </c>
      <c r="K15" s="11">
        <f>'Session Details'!L15</f>
        <v>0.21209998788185327</v>
      </c>
      <c r="L15" s="11">
        <f>'Session Details'!M15</f>
        <v>0.33659992725417975</v>
      </c>
      <c r="M15" s="11">
        <f>'Session Details'!N15</f>
        <v>0.66640007682634494</v>
      </c>
      <c r="N15" s="11">
        <f>'Session Details'!O15</f>
        <v>0.74099967541825129</v>
      </c>
    </row>
    <row r="16" spans="2:26" x14ac:dyDescent="0.35">
      <c r="B16" s="3">
        <v>43479</v>
      </c>
      <c r="C16" s="4">
        <v>392554</v>
      </c>
      <c r="D16" s="5">
        <v>0.19</v>
      </c>
      <c r="E16" s="4">
        <v>36</v>
      </c>
      <c r="F16" s="4">
        <v>21</v>
      </c>
      <c r="G16" s="4">
        <v>27</v>
      </c>
      <c r="H16" s="4">
        <v>395</v>
      </c>
      <c r="I16" s="4">
        <v>31</v>
      </c>
      <c r="J16" s="5">
        <v>0.94</v>
      </c>
      <c r="K16" s="11">
        <f>'Session Details'!L16</f>
        <v>0.25499999525297379</v>
      </c>
      <c r="L16" s="11">
        <f>'Session Details'!M16</f>
        <v>0.38799996425768424</v>
      </c>
      <c r="M16" s="11">
        <f>'Session Details'!N16</f>
        <v>0.69349963440121443</v>
      </c>
      <c r="N16" s="11">
        <f>'Session Details'!O16</f>
        <v>0.82820036695013521</v>
      </c>
    </row>
    <row r="17" spans="2:14" x14ac:dyDescent="0.35">
      <c r="B17" s="3">
        <v>43480</v>
      </c>
      <c r="C17" s="4">
        <v>407211</v>
      </c>
      <c r="D17" s="5">
        <v>0.17</v>
      </c>
      <c r="E17" s="4">
        <v>36</v>
      </c>
      <c r="F17" s="4">
        <v>19</v>
      </c>
      <c r="G17" s="4">
        <v>29</v>
      </c>
      <c r="H17" s="4">
        <v>362</v>
      </c>
      <c r="I17" s="4">
        <v>32</v>
      </c>
      <c r="J17" s="5">
        <v>0.91</v>
      </c>
      <c r="K17" s="11">
        <f>'Session Details'!L17</f>
        <v>0.2374999606493316</v>
      </c>
      <c r="L17" s="11">
        <f>'Session Details'!M17</f>
        <v>0.40400003165364579</v>
      </c>
      <c r="M17" s="11">
        <f>'Session Details'!N17</f>
        <v>0.72270007928101565</v>
      </c>
      <c r="N17" s="11">
        <f>'Session Details'!O17</f>
        <v>0.81179988453939078</v>
      </c>
    </row>
    <row r="18" spans="2:14" x14ac:dyDescent="0.35">
      <c r="B18" s="3">
        <v>43481</v>
      </c>
      <c r="C18" s="4">
        <v>404264</v>
      </c>
      <c r="D18" s="5">
        <v>0.18</v>
      </c>
      <c r="E18" s="4">
        <v>30</v>
      </c>
      <c r="F18" s="4">
        <v>18</v>
      </c>
      <c r="G18" s="4">
        <v>25</v>
      </c>
      <c r="H18" s="4">
        <v>382</v>
      </c>
      <c r="I18" s="4">
        <v>31</v>
      </c>
      <c r="J18" s="5">
        <v>0.91</v>
      </c>
      <c r="K18" s="11">
        <f>'Session Details'!L18</f>
        <v>0.26249996439730333</v>
      </c>
      <c r="L18" s="11">
        <f>'Session Details'!M18</f>
        <v>0.41199997757594925</v>
      </c>
      <c r="M18" s="11">
        <f>'Session Details'!N18</f>
        <v>0.72999971908484862</v>
      </c>
      <c r="N18" s="11">
        <f>'Session Details'!O18</f>
        <v>0.83639993145475267</v>
      </c>
    </row>
    <row r="19" spans="2:14" x14ac:dyDescent="0.35">
      <c r="B19" s="3">
        <v>43482</v>
      </c>
      <c r="C19" s="4">
        <v>404417</v>
      </c>
      <c r="D19" s="5">
        <v>0.17</v>
      </c>
      <c r="E19" s="4">
        <v>36</v>
      </c>
      <c r="F19" s="4">
        <v>19</v>
      </c>
      <c r="G19" s="4">
        <v>26</v>
      </c>
      <c r="H19" s="4">
        <v>365</v>
      </c>
      <c r="I19" s="4">
        <v>31</v>
      </c>
      <c r="J19" s="5">
        <v>0.95</v>
      </c>
      <c r="K19" s="11">
        <f>'Session Details'!L19</f>
        <v>0.25249999329424921</v>
      </c>
      <c r="L19" s="11">
        <f>'Session Details'!M19</f>
        <v>0.38399989235388587</v>
      </c>
      <c r="M19" s="11">
        <f>'Session Details'!N19</f>
        <v>0.70810011047156052</v>
      </c>
      <c r="N19" s="11">
        <f>'Session Details'!O19</f>
        <v>0.83639983930063222</v>
      </c>
    </row>
    <row r="20" spans="2:14" x14ac:dyDescent="0.35">
      <c r="B20" s="3">
        <v>43483</v>
      </c>
      <c r="C20" s="4">
        <v>404715</v>
      </c>
      <c r="D20" s="5">
        <v>0.18</v>
      </c>
      <c r="E20" s="4">
        <v>31</v>
      </c>
      <c r="F20" s="4">
        <v>20</v>
      </c>
      <c r="G20" s="4">
        <v>25</v>
      </c>
      <c r="H20" s="4">
        <v>374</v>
      </c>
      <c r="I20" s="4">
        <v>33</v>
      </c>
      <c r="J20" s="5">
        <v>0.91</v>
      </c>
      <c r="K20" s="11">
        <f>'Session Details'!L20</f>
        <v>0.25999997201116104</v>
      </c>
      <c r="L20" s="11">
        <f>'Session Details'!M20</f>
        <v>0.4159999638853652</v>
      </c>
      <c r="M20" s="11">
        <f>'Session Details'!N20</f>
        <v>0.69350013314267633</v>
      </c>
      <c r="N20" s="11">
        <f>'Session Details'!O20</f>
        <v>0.7871994944555617</v>
      </c>
    </row>
    <row r="21" spans="2:14" x14ac:dyDescent="0.35">
      <c r="B21" s="3">
        <v>43484</v>
      </c>
      <c r="C21" s="4">
        <v>409719</v>
      </c>
      <c r="D21" s="5">
        <v>0.17</v>
      </c>
      <c r="E21" s="4">
        <v>37</v>
      </c>
      <c r="F21" s="4">
        <v>19</v>
      </c>
      <c r="G21" s="4">
        <v>27</v>
      </c>
      <c r="H21" s="4">
        <v>384</v>
      </c>
      <c r="I21" s="4">
        <v>39</v>
      </c>
      <c r="J21" s="5">
        <v>0.95</v>
      </c>
      <c r="K21" s="11">
        <f>'Session Details'!L21</f>
        <v>0.20369999828585886</v>
      </c>
      <c r="L21" s="11">
        <f>'Session Details'!M21</f>
        <v>0.33319998986973398</v>
      </c>
      <c r="M21" s="11">
        <f>'Session Details'!N21</f>
        <v>0.7071998009988063</v>
      </c>
      <c r="N21" s="11">
        <f>'Session Details'!O21</f>
        <v>0.78780023820713474</v>
      </c>
    </row>
    <row r="22" spans="2:14" x14ac:dyDescent="0.35">
      <c r="B22" s="3">
        <v>43485</v>
      </c>
      <c r="C22" s="4">
        <v>389363</v>
      </c>
      <c r="D22" s="5">
        <v>0.17</v>
      </c>
      <c r="E22" s="4">
        <v>40</v>
      </c>
      <c r="F22" s="4">
        <v>22</v>
      </c>
      <c r="G22" s="4">
        <v>29</v>
      </c>
      <c r="H22" s="4">
        <v>364</v>
      </c>
      <c r="I22" s="4">
        <v>32</v>
      </c>
      <c r="J22" s="5">
        <v>0.91</v>
      </c>
      <c r="K22" s="11">
        <f>'Session Details'!L22</f>
        <v>0.20789999237863413</v>
      </c>
      <c r="L22" s="11">
        <f>'Session Details'!M22</f>
        <v>0.35360001506615307</v>
      </c>
      <c r="M22" s="11">
        <f>'Session Details'!N22</f>
        <v>0.70719987756351388</v>
      </c>
      <c r="N22" s="11">
        <f>'Session Details'!O22</f>
        <v>0.78779980453787235</v>
      </c>
    </row>
    <row r="23" spans="2:14" x14ac:dyDescent="0.35">
      <c r="B23" s="3">
        <v>43486</v>
      </c>
      <c r="C23" s="4">
        <v>388430</v>
      </c>
      <c r="D23" s="5">
        <v>0.19</v>
      </c>
      <c r="E23" s="4">
        <v>39</v>
      </c>
      <c r="F23" s="4">
        <v>21</v>
      </c>
      <c r="G23" s="4">
        <v>30</v>
      </c>
      <c r="H23" s="4">
        <v>389</v>
      </c>
      <c r="I23" s="4">
        <v>37</v>
      </c>
      <c r="J23" s="5">
        <v>0.92</v>
      </c>
      <c r="K23" s="11">
        <f>'Session Details'!L23</f>
        <v>0.25999997201116104</v>
      </c>
      <c r="L23" s="11">
        <f>'Session Details'!M23</f>
        <v>0.4159999638853652</v>
      </c>
      <c r="M23" s="11">
        <f>'Session Details'!N23</f>
        <v>0.75919999198639687</v>
      </c>
      <c r="N23" s="11">
        <f>'Session Details'!O23</f>
        <v>0.81179964452742104</v>
      </c>
    </row>
    <row r="24" spans="2:14" x14ac:dyDescent="0.35">
      <c r="B24" s="3">
        <v>43487</v>
      </c>
      <c r="C24" s="4">
        <v>383015</v>
      </c>
      <c r="D24" s="5">
        <v>0.18</v>
      </c>
      <c r="E24" s="4">
        <v>35</v>
      </c>
      <c r="F24" s="4">
        <v>17</v>
      </c>
      <c r="G24" s="4">
        <v>28</v>
      </c>
      <c r="H24" s="4">
        <v>379</v>
      </c>
      <c r="I24" s="4">
        <v>33</v>
      </c>
      <c r="J24" s="5">
        <v>0.94</v>
      </c>
      <c r="K24" s="11">
        <f>'Session Details'!L24</f>
        <v>0.25999998722418821</v>
      </c>
      <c r="L24" s="11">
        <f>'Session Details'!M24</f>
        <v>0.38399997379320527</v>
      </c>
      <c r="M24" s="11">
        <f>'Session Details'!N24</f>
        <v>0.70809988995192863</v>
      </c>
      <c r="N24" s="11">
        <f>'Session Details'!O24</f>
        <v>0.83640012122832152</v>
      </c>
    </row>
    <row r="25" spans="2:14" x14ac:dyDescent="0.35">
      <c r="B25" s="3">
        <v>43488</v>
      </c>
      <c r="C25" s="4">
        <v>394426</v>
      </c>
      <c r="D25" s="5">
        <v>0.18</v>
      </c>
      <c r="E25" s="4">
        <v>36</v>
      </c>
      <c r="F25" s="4">
        <v>20</v>
      </c>
      <c r="G25" s="4">
        <v>25</v>
      </c>
      <c r="H25" s="4">
        <v>395</v>
      </c>
      <c r="I25" s="4">
        <v>32</v>
      </c>
      <c r="J25" s="5">
        <v>0.95</v>
      </c>
      <c r="K25" s="11">
        <f>'Session Details'!L25</f>
        <v>0.25249999220936281</v>
      </c>
      <c r="L25" s="11">
        <f>'Session Details'!M25</f>
        <v>0.41599991305616424</v>
      </c>
      <c r="M25" s="11">
        <f>'Session Details'!N25</f>
        <v>0.7299999070128681</v>
      </c>
      <c r="N25" s="11">
        <f>'Session Details'!O25</f>
        <v>0.84459986109552565</v>
      </c>
    </row>
    <row r="26" spans="2:14" x14ac:dyDescent="0.35">
      <c r="B26" s="3">
        <v>43489</v>
      </c>
      <c r="C26" s="4">
        <v>404477</v>
      </c>
      <c r="D26" s="5">
        <v>0.17</v>
      </c>
      <c r="E26" s="4">
        <v>33</v>
      </c>
      <c r="F26" s="4">
        <v>19</v>
      </c>
      <c r="G26" s="4">
        <v>30</v>
      </c>
      <c r="H26" s="4">
        <v>383</v>
      </c>
      <c r="I26" s="4">
        <v>37</v>
      </c>
      <c r="J26" s="5">
        <v>0.94</v>
      </c>
      <c r="K26" s="11">
        <f>'Session Details'!L26</f>
        <v>0.23749995940667931</v>
      </c>
      <c r="L26" s="11">
        <f>'Session Details'!M26</f>
        <v>0.37999997551007414</v>
      </c>
      <c r="M26" s="11">
        <f>'Session Details'!N26</f>
        <v>0.71539965305936126</v>
      </c>
      <c r="N26" s="11">
        <f>'Session Details'!O26</f>
        <v>0.79539993108454754</v>
      </c>
    </row>
    <row r="27" spans="2:14" x14ac:dyDescent="0.35">
      <c r="B27" s="3">
        <v>43490</v>
      </c>
      <c r="C27" s="4">
        <v>395903</v>
      </c>
      <c r="D27" s="5">
        <v>0.17</v>
      </c>
      <c r="E27" s="4">
        <v>32</v>
      </c>
      <c r="F27" s="4">
        <v>19</v>
      </c>
      <c r="G27" s="4">
        <v>28</v>
      </c>
      <c r="H27" s="4">
        <v>365</v>
      </c>
      <c r="I27" s="4">
        <v>30</v>
      </c>
      <c r="J27" s="5">
        <v>0.94</v>
      </c>
      <c r="K27" s="11">
        <f>'Session Details'!L27</f>
        <v>0.24499995710437156</v>
      </c>
      <c r="L27" s="11">
        <f>'Session Details'!M27</f>
        <v>0.4</v>
      </c>
      <c r="M27" s="11">
        <f>'Session Details'!N27</f>
        <v>0.75189971333667016</v>
      </c>
      <c r="N27" s="11">
        <f>'Session Details'!O27</f>
        <v>0.81179987028483402</v>
      </c>
    </row>
    <row r="28" spans="2:14" x14ac:dyDescent="0.35">
      <c r="B28" s="3">
        <v>43491</v>
      </c>
      <c r="C28" s="4">
        <v>392190</v>
      </c>
      <c r="D28" s="5">
        <v>0.17</v>
      </c>
      <c r="E28" s="4">
        <v>37</v>
      </c>
      <c r="F28" s="4">
        <v>19</v>
      </c>
      <c r="G28" s="4">
        <v>30</v>
      </c>
      <c r="H28" s="4">
        <v>352</v>
      </c>
      <c r="I28" s="4">
        <v>34</v>
      </c>
      <c r="J28" s="5">
        <v>0.92</v>
      </c>
      <c r="K28" s="11">
        <f>'Session Details'!L28</f>
        <v>0.21209998133416308</v>
      </c>
      <c r="L28" s="11">
        <f>'Session Details'!M28</f>
        <v>0.35699999529866999</v>
      </c>
      <c r="M28" s="11">
        <f>'Session Details'!N28</f>
        <v>0.66640001793224413</v>
      </c>
      <c r="N28" s="11">
        <f>'Session Details'!O28</f>
        <v>0.74100005255689283</v>
      </c>
    </row>
    <row r="29" spans="2:14" x14ac:dyDescent="0.35">
      <c r="B29" s="3">
        <v>43492</v>
      </c>
      <c r="C29" s="4">
        <v>393831</v>
      </c>
      <c r="D29" s="5">
        <v>0.19</v>
      </c>
      <c r="E29" s="4">
        <v>30</v>
      </c>
      <c r="F29" s="4">
        <v>21</v>
      </c>
      <c r="G29" s="4">
        <v>30</v>
      </c>
      <c r="H29" s="4">
        <v>390</v>
      </c>
      <c r="I29" s="4">
        <v>35</v>
      </c>
      <c r="J29" s="5">
        <v>0.91</v>
      </c>
      <c r="K29" s="11">
        <f>'Session Details'!L29</f>
        <v>0.21209999468885796</v>
      </c>
      <c r="L29" s="11">
        <f>'Session Details'!M29</f>
        <v>0.35359997637351559</v>
      </c>
      <c r="M29" s="11">
        <f>'Session Details'!N29</f>
        <v>0.69360000917557196</v>
      </c>
      <c r="N29" s="11">
        <f>'Session Details'!O29</f>
        <v>0.75659993275304216</v>
      </c>
    </row>
    <row r="30" spans="2:14" x14ac:dyDescent="0.35">
      <c r="B30" s="3">
        <v>43493</v>
      </c>
      <c r="C30" s="4">
        <v>399983</v>
      </c>
      <c r="D30" s="5">
        <v>0.19</v>
      </c>
      <c r="E30" s="4">
        <v>40</v>
      </c>
      <c r="F30" s="4">
        <v>19</v>
      </c>
      <c r="G30" s="4">
        <v>26</v>
      </c>
      <c r="H30" s="4">
        <v>370</v>
      </c>
      <c r="I30" s="4">
        <v>34</v>
      </c>
      <c r="J30" s="5">
        <v>0.91</v>
      </c>
      <c r="K30" s="11">
        <f>'Session Details'!L30</f>
        <v>0.2474999639383427</v>
      </c>
      <c r="L30" s="11">
        <f>'Session Details'!M30</f>
        <v>0.38799990128219247</v>
      </c>
      <c r="M30" s="11">
        <f>'Session Details'!N30</f>
        <v>0.75190001003031115</v>
      </c>
      <c r="N30" s="11">
        <f>'Session Details'!O30</f>
        <v>0.8527997959312491</v>
      </c>
    </row>
    <row r="31" spans="2:14" x14ac:dyDescent="0.35">
      <c r="B31" s="3">
        <v>43494</v>
      </c>
      <c r="C31" s="4">
        <v>274777</v>
      </c>
      <c r="D31" s="5">
        <v>0.17</v>
      </c>
      <c r="E31" s="4">
        <v>31</v>
      </c>
      <c r="F31" s="4">
        <v>22</v>
      </c>
      <c r="G31" s="4">
        <v>25</v>
      </c>
      <c r="H31" s="4">
        <v>376</v>
      </c>
      <c r="I31" s="4">
        <v>37</v>
      </c>
      <c r="J31" s="5">
        <v>0.94</v>
      </c>
      <c r="K31" s="11">
        <f>'Session Details'!L31</f>
        <v>0.11749999776474974</v>
      </c>
      <c r="L31" s="11">
        <f>'Session Details'!M31</f>
        <v>0.41599967431927592</v>
      </c>
      <c r="M31" s="11">
        <f>'Session Details'!N31</f>
        <v>0.72269978937048018</v>
      </c>
      <c r="N31" s="11">
        <f>'Session Details'!O31</f>
        <v>0.79540035839390932</v>
      </c>
    </row>
    <row r="32" spans="2:14" x14ac:dyDescent="0.35">
      <c r="B32" s="3">
        <v>43495</v>
      </c>
      <c r="C32" s="4">
        <v>390375</v>
      </c>
      <c r="D32" s="5">
        <v>0.18</v>
      </c>
      <c r="E32" s="4">
        <v>37</v>
      </c>
      <c r="F32" s="4">
        <v>18</v>
      </c>
      <c r="G32" s="4">
        <v>26</v>
      </c>
      <c r="H32" s="4">
        <v>366</v>
      </c>
      <c r="I32" s="4">
        <v>37</v>
      </c>
      <c r="J32" s="5">
        <v>0.93</v>
      </c>
      <c r="K32" s="11">
        <f>'Session Details'!L32</f>
        <v>0.24750000670575076</v>
      </c>
      <c r="L32" s="11">
        <f>'Session Details'!M32</f>
        <v>0.41599983960386488</v>
      </c>
      <c r="M32" s="11">
        <f>'Session Details'!N32</f>
        <v>0.70080027024480518</v>
      </c>
      <c r="N32" s="11">
        <f>'Session Details'!O32</f>
        <v>0.7953997835206823</v>
      </c>
    </row>
    <row r="33" spans="2:14" x14ac:dyDescent="0.35">
      <c r="B33" s="3">
        <v>43496</v>
      </c>
      <c r="C33" s="4">
        <v>393482</v>
      </c>
      <c r="D33" s="5">
        <v>0.18</v>
      </c>
      <c r="E33" s="4">
        <v>38</v>
      </c>
      <c r="F33" s="4">
        <v>18</v>
      </c>
      <c r="G33" s="4">
        <v>25</v>
      </c>
      <c r="H33" s="4">
        <v>354</v>
      </c>
      <c r="I33" s="4">
        <v>33</v>
      </c>
      <c r="J33" s="5">
        <v>0.94</v>
      </c>
      <c r="K33" s="11">
        <f>'Session Details'!L33</f>
        <v>0.25499996498573574</v>
      </c>
      <c r="L33" s="11">
        <f>'Session Details'!M33</f>
        <v>0.4039999593710335</v>
      </c>
      <c r="M33" s="11">
        <f>'Session Details'!N33</f>
        <v>0.70809986092920896</v>
      </c>
      <c r="N33" s="11">
        <f>'Session Details'!O33</f>
        <v>0.83640020619695488</v>
      </c>
    </row>
    <row r="34" spans="2:14" x14ac:dyDescent="0.35">
      <c r="B34" s="3">
        <v>43497</v>
      </c>
      <c r="C34" s="4">
        <v>393763</v>
      </c>
      <c r="D34" s="5">
        <v>0.18</v>
      </c>
      <c r="E34" s="4">
        <v>34</v>
      </c>
      <c r="F34" s="4">
        <v>17</v>
      </c>
      <c r="G34" s="4">
        <v>28</v>
      </c>
      <c r="H34" s="4">
        <v>394</v>
      </c>
      <c r="I34" s="4">
        <v>38</v>
      </c>
      <c r="J34" s="5">
        <v>0.94</v>
      </c>
      <c r="K34" s="11">
        <f>'Session Details'!L34</f>
        <v>0.24499995710437156</v>
      </c>
      <c r="L34" s="11">
        <f>'Session Details'!M34</f>
        <v>0.4119998971256511</v>
      </c>
      <c r="M34" s="11">
        <f>'Session Details'!N34</f>
        <v>0.75190008355181648</v>
      </c>
      <c r="N34" s="11">
        <f>'Session Details'!O34</f>
        <v>0.84459997113411012</v>
      </c>
    </row>
    <row r="35" spans="2:14" x14ac:dyDescent="0.35">
      <c r="B35" s="3">
        <v>43498</v>
      </c>
      <c r="C35" s="4">
        <v>391275</v>
      </c>
      <c r="D35" s="5">
        <v>0.18</v>
      </c>
      <c r="E35" s="4">
        <v>33</v>
      </c>
      <c r="F35" s="4">
        <v>20</v>
      </c>
      <c r="G35" s="4">
        <v>27</v>
      </c>
      <c r="H35" s="4">
        <v>350</v>
      </c>
      <c r="I35" s="4">
        <v>34</v>
      </c>
      <c r="J35" s="5">
        <v>0.95</v>
      </c>
      <c r="K35" s="11">
        <f>'Session Details'!L35</f>
        <v>0.20789998258735065</v>
      </c>
      <c r="L35" s="11">
        <f>'Session Details'!M35</f>
        <v>0.32980002101053607</v>
      </c>
      <c r="M35" s="11">
        <f>'Session Details'!N35</f>
        <v>0.6935999689169291</v>
      </c>
      <c r="N35" s="11">
        <f>'Session Details'!O35</f>
        <v>0.7565999412780523</v>
      </c>
    </row>
    <row r="36" spans="2:14" x14ac:dyDescent="0.35">
      <c r="B36" s="3">
        <v>43499</v>
      </c>
      <c r="C36" s="4">
        <v>402690</v>
      </c>
      <c r="D36" s="5">
        <v>0.18</v>
      </c>
      <c r="E36" s="4">
        <v>30</v>
      </c>
      <c r="F36" s="4">
        <v>20</v>
      </c>
      <c r="G36" s="4">
        <v>30</v>
      </c>
      <c r="H36" s="4">
        <v>357</v>
      </c>
      <c r="I36" s="4">
        <v>38</v>
      </c>
      <c r="J36" s="5">
        <v>0.91</v>
      </c>
      <c r="K36" s="11">
        <f>'Session Details'!L36</f>
        <v>0.21630000167076002</v>
      </c>
      <c r="L36" s="11">
        <f>'Session Details'!M36</f>
        <v>0.33659997942253961</v>
      </c>
      <c r="M36" s="11">
        <f>'Session Details'!N36</f>
        <v>0.71399997980582386</v>
      </c>
      <c r="N36" s="11">
        <f>'Session Details'!O36</f>
        <v>0.81120004593870954</v>
      </c>
    </row>
    <row r="37" spans="2:14" x14ac:dyDescent="0.35">
      <c r="B37" s="3">
        <v>43500</v>
      </c>
      <c r="C37" s="4">
        <v>407158</v>
      </c>
      <c r="D37" s="5">
        <v>0.17</v>
      </c>
      <c r="E37" s="4">
        <v>39</v>
      </c>
      <c r="F37" s="4">
        <v>17</v>
      </c>
      <c r="G37" s="4">
        <v>26</v>
      </c>
      <c r="H37" s="4">
        <v>370</v>
      </c>
      <c r="I37" s="4">
        <v>37</v>
      </c>
      <c r="J37" s="5">
        <v>0.93</v>
      </c>
      <c r="K37" s="11">
        <f>'Session Details'!L37</f>
        <v>0.2374999606493316</v>
      </c>
      <c r="L37" s="11">
        <f>'Session Details'!M37</f>
        <v>0.3959999683463542</v>
      </c>
      <c r="M37" s="11">
        <f>'Session Details'!N37</f>
        <v>0.73730019758551002</v>
      </c>
      <c r="N37" s="11">
        <f>'Session Details'!O37</f>
        <v>0.81179988453939078</v>
      </c>
    </row>
    <row r="38" spans="2:14" x14ac:dyDescent="0.35">
      <c r="B38" s="3">
        <v>43501</v>
      </c>
      <c r="C38" s="4">
        <v>408982</v>
      </c>
      <c r="D38" s="5">
        <v>0.18</v>
      </c>
      <c r="E38" s="4">
        <v>30</v>
      </c>
      <c r="F38" s="4">
        <v>21</v>
      </c>
      <c r="G38" s="4">
        <v>28</v>
      </c>
      <c r="H38" s="4">
        <v>371</v>
      </c>
      <c r="I38" s="4">
        <v>39</v>
      </c>
      <c r="J38" s="5">
        <v>0.91</v>
      </c>
      <c r="K38" s="11">
        <f>'Session Details'!L38</f>
        <v>0.26249996647124618</v>
      </c>
      <c r="L38" s="11">
        <f>'Session Details'!M38</f>
        <v>0.40399994890855911</v>
      </c>
      <c r="M38" s="11">
        <f>'Session Details'!N38</f>
        <v>0.7081000599860805</v>
      </c>
      <c r="N38" s="11">
        <f>'Session Details'!O38</f>
        <v>0.80360014216257369</v>
      </c>
    </row>
    <row r="39" spans="2:14" x14ac:dyDescent="0.35">
      <c r="B39" s="3">
        <v>43502</v>
      </c>
      <c r="C39" s="4">
        <v>404349</v>
      </c>
      <c r="D39" s="5">
        <v>0.18</v>
      </c>
      <c r="E39" s="4">
        <v>40</v>
      </c>
      <c r="F39" s="4">
        <v>21</v>
      </c>
      <c r="G39" s="4">
        <v>28</v>
      </c>
      <c r="H39" s="4">
        <v>350</v>
      </c>
      <c r="I39" s="4">
        <v>34</v>
      </c>
      <c r="J39" s="5">
        <v>0.93</v>
      </c>
      <c r="K39" s="11">
        <f>'Session Details'!L39</f>
        <v>0.26000000096939274</v>
      </c>
      <c r="L39" s="11">
        <f>'Session Details'!M39</f>
        <v>0.39999996271566424</v>
      </c>
      <c r="M39" s="11">
        <f>'Session Details'!N39</f>
        <v>0.69349989490476882</v>
      </c>
      <c r="N39" s="11">
        <f>'Session Details'!O39</f>
        <v>0.86100022580280966</v>
      </c>
    </row>
    <row r="40" spans="2:14" x14ac:dyDescent="0.35">
      <c r="B40" s="3">
        <v>43503</v>
      </c>
      <c r="C40" s="4">
        <v>406748</v>
      </c>
      <c r="D40" s="5">
        <v>0.17</v>
      </c>
      <c r="E40" s="4">
        <v>30</v>
      </c>
      <c r="F40" s="4">
        <v>20</v>
      </c>
      <c r="G40" s="4">
        <v>29</v>
      </c>
      <c r="H40" s="4">
        <v>359</v>
      </c>
      <c r="I40" s="4">
        <v>34</v>
      </c>
      <c r="J40" s="5">
        <v>0.94</v>
      </c>
      <c r="K40" s="11">
        <f>'Session Details'!L40</f>
        <v>0.2474999759611988</v>
      </c>
      <c r="L40" s="11">
        <f>'Session Details'!M40</f>
        <v>0.40000003647942872</v>
      </c>
      <c r="M40" s="11">
        <f>'Session Details'!N40</f>
        <v>0.73729980205351808</v>
      </c>
      <c r="N40" s="11">
        <f>'Session Details'!O40</f>
        <v>0.85280018504419852</v>
      </c>
    </row>
    <row r="41" spans="2:14" x14ac:dyDescent="0.35">
      <c r="B41" s="3">
        <v>43504</v>
      </c>
      <c r="C41" s="4">
        <v>398421</v>
      </c>
      <c r="D41" s="5">
        <v>0.19</v>
      </c>
      <c r="E41" s="4">
        <v>37</v>
      </c>
      <c r="F41" s="4">
        <v>22</v>
      </c>
      <c r="G41" s="4">
        <v>26</v>
      </c>
      <c r="H41" s="4">
        <v>378</v>
      </c>
      <c r="I41" s="4">
        <v>37</v>
      </c>
      <c r="J41" s="5">
        <v>0.92</v>
      </c>
      <c r="K41" s="11">
        <f>'Session Details'!L41</f>
        <v>0.23750000740841615</v>
      </c>
      <c r="L41" s="11">
        <f>'Session Details'!M41</f>
        <v>0.40399988712813473</v>
      </c>
      <c r="M41" s="11">
        <f>'Session Details'!N41</f>
        <v>0.70810019499994303</v>
      </c>
      <c r="N41" s="11">
        <f>'Session Details'!O41</f>
        <v>0.83639976138696182</v>
      </c>
    </row>
    <row r="42" spans="2:14" x14ac:dyDescent="0.35">
      <c r="B42" s="3">
        <v>43505</v>
      </c>
      <c r="C42" s="4">
        <v>382738</v>
      </c>
      <c r="D42" s="5">
        <v>0.18</v>
      </c>
      <c r="E42" s="4">
        <v>34</v>
      </c>
      <c r="F42" s="4">
        <v>22</v>
      </c>
      <c r="G42" s="4">
        <v>26</v>
      </c>
      <c r="H42" s="4">
        <v>353</v>
      </c>
      <c r="I42" s="4">
        <v>31</v>
      </c>
      <c r="J42" s="5">
        <v>0.95</v>
      </c>
      <c r="K42" s="11">
        <f>'Session Details'!L42</f>
        <v>0.20789998989587982</v>
      </c>
      <c r="L42" s="11">
        <f>'Session Details'!M42</f>
        <v>0.35700000666963555</v>
      </c>
      <c r="M42" s="11">
        <f>'Session Details'!N42</f>
        <v>0.70039992698530151</v>
      </c>
      <c r="N42" s="11">
        <f>'Session Details'!O42</f>
        <v>0.81119983488370362</v>
      </c>
    </row>
    <row r="43" spans="2:14" x14ac:dyDescent="0.35">
      <c r="B43" s="3">
        <v>43506</v>
      </c>
      <c r="C43" s="4">
        <v>391506</v>
      </c>
      <c r="D43" s="5">
        <v>0.18</v>
      </c>
      <c r="E43" s="4">
        <v>38</v>
      </c>
      <c r="F43" s="4">
        <v>19</v>
      </c>
      <c r="G43" s="4">
        <v>26</v>
      </c>
      <c r="H43" s="4">
        <v>387</v>
      </c>
      <c r="I43" s="4">
        <v>15</v>
      </c>
      <c r="J43" s="5">
        <v>0.95</v>
      </c>
      <c r="K43" s="11">
        <f>'Session Details'!L43</f>
        <v>0.21629998657119884</v>
      </c>
      <c r="L43" s="11">
        <f>'Session Details'!M43</f>
        <v>0.33659999228072718</v>
      </c>
      <c r="M43" s="11">
        <f>'Session Details'!N43</f>
        <v>0.65279978088813384</v>
      </c>
      <c r="N43" s="11">
        <f>'Session Details'!O43</f>
        <v>0.81900005051123281</v>
      </c>
    </row>
    <row r="44" spans="2:14" x14ac:dyDescent="0.35">
      <c r="B44" s="3">
        <v>43507</v>
      </c>
      <c r="C44" s="4">
        <v>393294</v>
      </c>
      <c r="D44" s="5">
        <v>0.17</v>
      </c>
      <c r="E44" s="4">
        <v>33</v>
      </c>
      <c r="F44" s="4">
        <v>20</v>
      </c>
      <c r="G44" s="4">
        <v>25</v>
      </c>
      <c r="H44" s="4">
        <v>375</v>
      </c>
      <c r="I44" s="4">
        <v>34</v>
      </c>
      <c r="J44" s="5">
        <v>0.94</v>
      </c>
      <c r="K44" s="11">
        <f>'Session Details'!L44</f>
        <v>0.23749998882374873</v>
      </c>
      <c r="L44" s="11">
        <f>'Session Details'!M44</f>
        <v>0.39999988706103445</v>
      </c>
      <c r="M44" s="11">
        <f>'Session Details'!N44</f>
        <v>0.74460022183101404</v>
      </c>
      <c r="N44" s="11">
        <f>'Session Details'!O44</f>
        <v>0.82000005055912073</v>
      </c>
    </row>
    <row r="45" spans="2:14" x14ac:dyDescent="0.35">
      <c r="B45" s="3">
        <v>43508</v>
      </c>
      <c r="C45" s="4">
        <v>389714</v>
      </c>
      <c r="D45" s="5">
        <v>0.17</v>
      </c>
      <c r="E45" s="4">
        <v>39</v>
      </c>
      <c r="F45" s="4">
        <v>17</v>
      </c>
      <c r="G45" s="4">
        <v>25</v>
      </c>
      <c r="H45" s="4">
        <v>354</v>
      </c>
      <c r="I45" s="4">
        <v>30</v>
      </c>
      <c r="J45" s="5">
        <v>0.92</v>
      </c>
      <c r="K45" s="11">
        <f>'Session Details'!L45</f>
        <v>0.25499996557501758</v>
      </c>
      <c r="L45" s="11">
        <f>'Session Details'!M45</f>
        <v>0.38800000068789781</v>
      </c>
      <c r="M45" s="11">
        <f>'Session Details'!N45</f>
        <v>0.75919985781080945</v>
      </c>
      <c r="N45" s="11">
        <f>'Session Details'!O45</f>
        <v>0.82000014011587585</v>
      </c>
    </row>
    <row r="46" spans="2:14" x14ac:dyDescent="0.35">
      <c r="B46" s="3">
        <v>43509</v>
      </c>
      <c r="C46" s="4">
        <v>401381</v>
      </c>
      <c r="D46" s="5">
        <v>0.17</v>
      </c>
      <c r="E46" s="4">
        <v>32</v>
      </c>
      <c r="F46" s="4">
        <v>17</v>
      </c>
      <c r="G46" s="4">
        <v>30</v>
      </c>
      <c r="H46" s="4">
        <v>357</v>
      </c>
      <c r="I46" s="4">
        <v>35</v>
      </c>
      <c r="J46" s="5">
        <v>0.94</v>
      </c>
      <c r="K46" s="11">
        <f>'Session Details'!L46</f>
        <v>0.25249998388384581</v>
      </c>
      <c r="L46" s="11">
        <f>'Session Details'!M46</f>
        <v>0.41199986578228864</v>
      </c>
      <c r="M46" s="11">
        <f>'Session Details'!N46</f>
        <v>0.74460020874146948</v>
      </c>
      <c r="N46" s="11">
        <f>'Session Details'!O46</f>
        <v>0.82820000225889157</v>
      </c>
    </row>
    <row r="47" spans="2:14" x14ac:dyDescent="0.35">
      <c r="B47" s="3">
        <v>43510</v>
      </c>
      <c r="C47" s="4">
        <v>406712</v>
      </c>
      <c r="D47" s="5">
        <v>0.18</v>
      </c>
      <c r="E47" s="4">
        <v>40</v>
      </c>
      <c r="F47" s="4">
        <v>22</v>
      </c>
      <c r="G47" s="4">
        <v>29</v>
      </c>
      <c r="H47" s="4">
        <v>359</v>
      </c>
      <c r="I47" s="4">
        <v>30</v>
      </c>
      <c r="J47" s="5">
        <v>0.91</v>
      </c>
      <c r="K47" s="11">
        <f>'Session Details'!L47</f>
        <v>0.24249997686064484</v>
      </c>
      <c r="L47" s="11">
        <f>'Session Details'!M47</f>
        <v>0.37999996164018879</v>
      </c>
      <c r="M47" s="11">
        <f>'Session Details'!N47</f>
        <v>0.70809997779168599</v>
      </c>
      <c r="N47" s="11">
        <f>'Session Details'!O47</f>
        <v>0.84460010435407396</v>
      </c>
    </row>
    <row r="48" spans="2:14" x14ac:dyDescent="0.35">
      <c r="B48" s="3">
        <v>43511</v>
      </c>
      <c r="C48" s="4">
        <v>397282</v>
      </c>
      <c r="D48" s="5">
        <v>0.18</v>
      </c>
      <c r="E48" s="4">
        <v>34</v>
      </c>
      <c r="F48" s="4">
        <v>19</v>
      </c>
      <c r="G48" s="4">
        <v>25</v>
      </c>
      <c r="H48" s="4">
        <v>370</v>
      </c>
      <c r="I48" s="4">
        <v>39</v>
      </c>
      <c r="J48" s="5">
        <v>0.93</v>
      </c>
      <c r="K48" s="11">
        <f>'Session Details'!L48</f>
        <v>0.25499997279090902</v>
      </c>
      <c r="L48" s="11">
        <f>'Session Details'!M48</f>
        <v>0.40400000583670859</v>
      </c>
      <c r="M48" s="11">
        <f>'Session Details'!N48</f>
        <v>0.73729980897962799</v>
      </c>
      <c r="N48" s="11">
        <f>'Session Details'!O48</f>
        <v>0.78720025963210616</v>
      </c>
    </row>
    <row r="49" spans="2:14" x14ac:dyDescent="0.35">
      <c r="B49" s="3">
        <v>43512</v>
      </c>
      <c r="C49" s="4">
        <v>382778</v>
      </c>
      <c r="D49" s="5">
        <v>0.19</v>
      </c>
      <c r="E49" s="4">
        <v>33</v>
      </c>
      <c r="F49" s="4">
        <v>18</v>
      </c>
      <c r="G49" s="4">
        <v>26</v>
      </c>
      <c r="H49" s="4">
        <v>361</v>
      </c>
      <c r="I49" s="4">
        <v>30</v>
      </c>
      <c r="J49" s="5">
        <v>0.91</v>
      </c>
      <c r="K49" s="11">
        <f>'Session Details'!L49</f>
        <v>0.21419999696423994</v>
      </c>
      <c r="L49" s="11">
        <f>'Session Details'!M49</f>
        <v>0.33999997145097949</v>
      </c>
      <c r="M49" s="11">
        <f>'Session Details'!N49</f>
        <v>0.68679982546710794</v>
      </c>
      <c r="N49" s="11">
        <f>'Session Details'!O49</f>
        <v>0.77220022766441376</v>
      </c>
    </row>
    <row r="50" spans="2:14" x14ac:dyDescent="0.35">
      <c r="B50" s="3">
        <v>43513</v>
      </c>
      <c r="C50" s="4">
        <v>393504</v>
      </c>
      <c r="D50" s="5">
        <v>0.19</v>
      </c>
      <c r="E50" s="4">
        <v>31</v>
      </c>
      <c r="F50" s="4">
        <v>18</v>
      </c>
      <c r="G50" s="4">
        <v>30</v>
      </c>
      <c r="H50" s="4">
        <v>374</v>
      </c>
      <c r="I50" s="4">
        <v>39</v>
      </c>
      <c r="J50" s="5">
        <v>0.94</v>
      </c>
      <c r="K50" s="11">
        <f>'Session Details'!L50</f>
        <v>0.21839998404892885</v>
      </c>
      <c r="L50" s="11">
        <f>'Session Details'!M50</f>
        <v>0.32640002585346739</v>
      </c>
      <c r="M50" s="11">
        <f>'Session Details'!N50</f>
        <v>0.64600000000000002</v>
      </c>
      <c r="N50" s="11">
        <f>'Session Details'!O50</f>
        <v>0.75659954250068973</v>
      </c>
    </row>
    <row r="51" spans="2:14" x14ac:dyDescent="0.35">
      <c r="B51" s="3">
        <v>43514</v>
      </c>
      <c r="C51" s="4">
        <v>401252</v>
      </c>
      <c r="D51" s="5">
        <v>0.17</v>
      </c>
      <c r="E51" s="4">
        <v>36</v>
      </c>
      <c r="F51" s="4">
        <v>18</v>
      </c>
      <c r="G51" s="4">
        <v>27</v>
      </c>
      <c r="H51" s="4">
        <v>395</v>
      </c>
      <c r="I51" s="4">
        <v>37</v>
      </c>
      <c r="J51" s="5">
        <v>0.95</v>
      </c>
      <c r="K51" s="11">
        <f>'Session Details'!L51</f>
        <v>0.25749999769769227</v>
      </c>
      <c r="L51" s="11">
        <f>'Session Details'!M51</f>
        <v>0.4199999463539939</v>
      </c>
      <c r="M51" s="11">
        <f>'Session Details'!N51</f>
        <v>0.76649976795970587</v>
      </c>
      <c r="N51" s="11">
        <f>'Session Details'!O51</f>
        <v>0.79540032472347677</v>
      </c>
    </row>
    <row r="52" spans="2:14" x14ac:dyDescent="0.35">
      <c r="B52" s="3">
        <v>43515</v>
      </c>
      <c r="C52" s="4">
        <v>400903</v>
      </c>
      <c r="D52" s="5">
        <v>0.18</v>
      </c>
      <c r="E52" s="4">
        <v>35</v>
      </c>
      <c r="F52" s="4">
        <v>19</v>
      </c>
      <c r="G52" s="4">
        <v>29</v>
      </c>
      <c r="H52" s="4">
        <v>350</v>
      </c>
      <c r="I52" s="4">
        <v>35</v>
      </c>
      <c r="J52" s="5">
        <v>0.92</v>
      </c>
      <c r="K52" s="11">
        <f>'Session Details'!L52</f>
        <v>0.25749999555495034</v>
      </c>
      <c r="L52" s="11">
        <f>'Session Details'!M52</f>
        <v>0.16799999716720751</v>
      </c>
      <c r="M52" s="11">
        <f>'Session Details'!N52</f>
        <v>0.76649906680142099</v>
      </c>
      <c r="N52" s="11">
        <f>'Session Details'!O52</f>
        <v>0.8528008953405718</v>
      </c>
    </row>
    <row r="53" spans="2:14" x14ac:dyDescent="0.35">
      <c r="B53" s="3">
        <v>43516</v>
      </c>
      <c r="C53" s="4">
        <v>392628</v>
      </c>
      <c r="D53" s="5">
        <v>0.18</v>
      </c>
      <c r="E53" s="4">
        <v>32</v>
      </c>
      <c r="F53" s="4">
        <v>18</v>
      </c>
      <c r="G53" s="4">
        <v>25</v>
      </c>
      <c r="H53" s="4">
        <v>378</v>
      </c>
      <c r="I53" s="4">
        <v>40</v>
      </c>
      <c r="J53" s="5">
        <v>0.91</v>
      </c>
      <c r="K53" s="11">
        <f>'Session Details'!L53</f>
        <v>0.24499998577986409</v>
      </c>
      <c r="L53" s="11">
        <f>'Session Details'!M53</f>
        <v>0.38799995504096707</v>
      </c>
      <c r="M53" s="11">
        <f>'Session Details'!N53</f>
        <v>0.7299997768004487</v>
      </c>
      <c r="N53" s="11">
        <f>'Session Details'!O53</f>
        <v>0.79539991503972507</v>
      </c>
    </row>
    <row r="54" spans="2:14" x14ac:dyDescent="0.35">
      <c r="B54" s="3">
        <v>43517</v>
      </c>
      <c r="C54" s="4">
        <v>390285</v>
      </c>
      <c r="D54" s="5">
        <v>0.18</v>
      </c>
      <c r="E54" s="4">
        <v>36</v>
      </c>
      <c r="F54" s="4">
        <v>22</v>
      </c>
      <c r="G54" s="4">
        <v>26</v>
      </c>
      <c r="H54" s="4">
        <v>373</v>
      </c>
      <c r="I54" s="4">
        <v>36</v>
      </c>
      <c r="J54" s="5">
        <v>0.94</v>
      </c>
      <c r="K54" s="11">
        <f>'Session Details'!L54</f>
        <v>0.23999999808141018</v>
      </c>
      <c r="L54" s="11">
        <f>'Session Details'!M54</f>
        <v>0.38399996002937842</v>
      </c>
      <c r="M54" s="11">
        <f>'Session Details'!N54</f>
        <v>0.75190003596315413</v>
      </c>
      <c r="N54" s="11">
        <f>'Session Details'!O54</f>
        <v>0.79539962719135826</v>
      </c>
    </row>
    <row r="55" spans="2:14" x14ac:dyDescent="0.35">
      <c r="B55" s="3">
        <v>43518</v>
      </c>
      <c r="C55" s="4">
        <v>407017</v>
      </c>
      <c r="D55" s="5">
        <v>0.17</v>
      </c>
      <c r="E55" s="4">
        <v>30</v>
      </c>
      <c r="F55" s="4">
        <v>19</v>
      </c>
      <c r="G55" s="4">
        <v>28</v>
      </c>
      <c r="H55" s="4">
        <v>395</v>
      </c>
      <c r="I55" s="4">
        <v>40</v>
      </c>
      <c r="J55" s="5">
        <v>0.94</v>
      </c>
      <c r="K55" s="11">
        <f>'Session Details'!L55</f>
        <v>0.25749998182982631</v>
      </c>
      <c r="L55" s="11">
        <f>'Session Details'!M55</f>
        <v>0.40400002875145574</v>
      </c>
      <c r="M55" s="11">
        <f>'Session Details'!N55</f>
        <v>0.75919963201471941</v>
      </c>
      <c r="N55" s="11">
        <f>'Session Details'!O55</f>
        <v>0.78719999085468673</v>
      </c>
    </row>
    <row r="56" spans="2:14" x14ac:dyDescent="0.35">
      <c r="B56" s="3">
        <v>43519</v>
      </c>
      <c r="C56" s="4">
        <v>391896</v>
      </c>
      <c r="D56" s="5">
        <v>0.18</v>
      </c>
      <c r="E56" s="4">
        <v>35</v>
      </c>
      <c r="F56" s="4">
        <v>20</v>
      </c>
      <c r="G56" s="4">
        <v>28</v>
      </c>
      <c r="H56" s="4">
        <v>360</v>
      </c>
      <c r="I56" s="4">
        <v>39</v>
      </c>
      <c r="J56" s="5">
        <v>0.91</v>
      </c>
      <c r="K56" s="11">
        <f>'Session Details'!L56</f>
        <v>0.20999998607699977</v>
      </c>
      <c r="L56" s="11">
        <f>'Session Details'!M56</f>
        <v>0.32299992497049373</v>
      </c>
      <c r="M56" s="11">
        <f>'Session Details'!N56</f>
        <v>0.65279999562105129</v>
      </c>
      <c r="N56" s="11">
        <f>'Session Details'!O56</f>
        <v>0.75659999245355791</v>
      </c>
    </row>
    <row r="57" spans="2:14" x14ac:dyDescent="0.35">
      <c r="B57" s="3">
        <v>43520</v>
      </c>
      <c r="C57" s="4">
        <v>401786</v>
      </c>
      <c r="D57" s="5">
        <v>0.17</v>
      </c>
      <c r="E57" s="4">
        <v>38</v>
      </c>
      <c r="F57" s="4">
        <v>19</v>
      </c>
      <c r="G57" s="4">
        <v>29</v>
      </c>
      <c r="H57" s="4">
        <v>389</v>
      </c>
      <c r="I57" s="4">
        <v>40</v>
      </c>
      <c r="J57" s="5">
        <v>0.91</v>
      </c>
      <c r="K57" s="11">
        <f>'Session Details'!L57</f>
        <v>0.201600000792064</v>
      </c>
      <c r="L57" s="11">
        <f>'Session Details'!M57</f>
        <v>0.35360000071434344</v>
      </c>
      <c r="M57" s="11">
        <f>'Session Details'!N57</f>
        <v>0.64600000000000002</v>
      </c>
      <c r="N57" s="11">
        <f>'Session Details'!O57</f>
        <v>0.80339970916596304</v>
      </c>
    </row>
    <row r="58" spans="2:14" x14ac:dyDescent="0.35">
      <c r="B58" s="3">
        <v>43521</v>
      </c>
      <c r="C58" s="4">
        <v>404294</v>
      </c>
      <c r="D58" s="5">
        <v>0.19</v>
      </c>
      <c r="E58" s="4">
        <v>34</v>
      </c>
      <c r="F58" s="4">
        <v>22</v>
      </c>
      <c r="G58" s="4">
        <v>26</v>
      </c>
      <c r="H58" s="4">
        <v>397</v>
      </c>
      <c r="I58" s="4">
        <v>30</v>
      </c>
      <c r="J58" s="5">
        <v>0.93</v>
      </c>
      <c r="K58" s="11">
        <f>'Session Details'!L58</f>
        <v>0.2399999620237902</v>
      </c>
      <c r="L58" s="11">
        <f>'Session Details'!M58</f>
        <v>0.40399988448901025</v>
      </c>
      <c r="M58" s="11">
        <f>'Session Details'!N58</f>
        <v>0.73730025492756324</v>
      </c>
      <c r="N58" s="11">
        <f>'Session Details'!O58</f>
        <v>0.84460007729258169</v>
      </c>
    </row>
    <row r="59" spans="2:14" x14ac:dyDescent="0.35">
      <c r="B59" s="3">
        <v>43522</v>
      </c>
      <c r="C59" s="4">
        <v>400671</v>
      </c>
      <c r="D59" s="5">
        <v>0.18</v>
      </c>
      <c r="E59" s="4">
        <v>33</v>
      </c>
      <c r="F59" s="4">
        <v>17</v>
      </c>
      <c r="G59" s="4">
        <v>28</v>
      </c>
      <c r="H59" s="4">
        <v>369</v>
      </c>
      <c r="I59" s="4">
        <v>40</v>
      </c>
      <c r="J59" s="5">
        <v>0.95</v>
      </c>
      <c r="K59" s="11">
        <f>'Session Details'!L59</f>
        <v>0.24499996870649643</v>
      </c>
      <c r="L59" s="11">
        <f>'Session Details'!M59</f>
        <v>0.41199991971345001</v>
      </c>
      <c r="M59" s="11">
        <f>'Session Details'!N59</f>
        <v>0.74459987811748196</v>
      </c>
      <c r="N59" s="11">
        <f>'Session Details'!O59</f>
        <v>0.81180033082704983</v>
      </c>
    </row>
    <row r="60" spans="2:14" x14ac:dyDescent="0.35">
      <c r="B60" s="3">
        <v>43523</v>
      </c>
      <c r="C60" s="4">
        <v>402996</v>
      </c>
      <c r="D60" s="5">
        <v>0.17</v>
      </c>
      <c r="E60" s="4">
        <v>38</v>
      </c>
      <c r="F60" s="4">
        <v>18</v>
      </c>
      <c r="G60" s="4">
        <v>30</v>
      </c>
      <c r="H60" s="4">
        <v>375</v>
      </c>
      <c r="I60" s="4">
        <v>32</v>
      </c>
      <c r="J60" s="5">
        <v>0.95</v>
      </c>
      <c r="K60" s="11">
        <f>'Session Details'!L60</f>
        <v>0.25499997279090902</v>
      </c>
      <c r="L60" s="11">
        <f>'Session Details'!M60</f>
        <v>0.38399997665316565</v>
      </c>
      <c r="M60" s="11">
        <f>'Session Details'!N60</f>
        <v>0.76649981760284536</v>
      </c>
      <c r="N60" s="11">
        <f>'Session Details'!O60</f>
        <v>0.81999976451764223</v>
      </c>
    </row>
    <row r="61" spans="2:14" x14ac:dyDescent="0.35">
      <c r="B61" s="3">
        <v>43524</v>
      </c>
      <c r="C61" s="4">
        <v>399552</v>
      </c>
      <c r="D61" s="5">
        <v>0.19</v>
      </c>
      <c r="E61" s="4">
        <v>30</v>
      </c>
      <c r="F61" s="4">
        <v>22</v>
      </c>
      <c r="G61" s="4">
        <v>25</v>
      </c>
      <c r="H61" s="4">
        <v>377</v>
      </c>
      <c r="I61" s="4">
        <v>38</v>
      </c>
      <c r="J61" s="5">
        <v>0.93</v>
      </c>
      <c r="K61" s="11">
        <f>'Session Details'!L61</f>
        <v>0.25499997033565081</v>
      </c>
      <c r="L61" s="11">
        <f>'Session Details'!M61</f>
        <v>0.39599992221463276</v>
      </c>
      <c r="M61" s="11">
        <f>'Session Details'!N61</f>
        <v>0.72270016227210765</v>
      </c>
      <c r="N61" s="11">
        <f>'Session Details'!O61</f>
        <v>0.85279947873218831</v>
      </c>
    </row>
    <row r="62" spans="2:14" x14ac:dyDescent="0.35">
      <c r="B62" s="3">
        <v>43525</v>
      </c>
      <c r="C62" s="4">
        <v>406631</v>
      </c>
      <c r="D62" s="5">
        <v>0.19</v>
      </c>
      <c r="E62" s="4">
        <v>34</v>
      </c>
      <c r="F62" s="4">
        <v>22</v>
      </c>
      <c r="G62" s="4">
        <v>28</v>
      </c>
      <c r="H62" s="4">
        <v>382</v>
      </c>
      <c r="I62" s="4">
        <v>31</v>
      </c>
      <c r="J62" s="5">
        <v>0.94</v>
      </c>
      <c r="K62" s="11">
        <f>'Session Details'!L62</f>
        <v>0.25999997317699697</v>
      </c>
      <c r="L62" s="11">
        <f>'Session Details'!M62</f>
        <v>0.41999995529499029</v>
      </c>
      <c r="M62" s="11">
        <f>'Session Details'!N62</f>
        <v>0.76649981434318626</v>
      </c>
      <c r="N62" s="11">
        <f>'Session Details'!O62</f>
        <v>0.77900009239908075</v>
      </c>
    </row>
    <row r="63" spans="2:14" x14ac:dyDescent="0.35">
      <c r="B63" s="3">
        <v>43526</v>
      </c>
      <c r="C63" s="4">
        <v>386616</v>
      </c>
      <c r="D63" s="5">
        <v>0.18</v>
      </c>
      <c r="E63" s="4">
        <v>40</v>
      </c>
      <c r="F63" s="4">
        <v>18</v>
      </c>
      <c r="G63" s="4">
        <v>56</v>
      </c>
      <c r="H63" s="4">
        <v>399</v>
      </c>
      <c r="I63" s="4">
        <v>40</v>
      </c>
      <c r="J63" s="5">
        <v>0.95</v>
      </c>
      <c r="K63" s="11">
        <f>'Session Details'!L63</f>
        <v>0.20999999143199985</v>
      </c>
      <c r="L63" s="11">
        <f>'Session Details'!M63</f>
        <v>0.33999998571999918</v>
      </c>
      <c r="M63" s="11">
        <f>'Session Details'!N63</f>
        <v>0.33319983331998332</v>
      </c>
      <c r="N63" s="11">
        <f>'Session Details'!O63</f>
        <v>0.81119976662651061</v>
      </c>
    </row>
    <row r="64" spans="2:14" x14ac:dyDescent="0.35">
      <c r="B64" s="3">
        <v>43527</v>
      </c>
      <c r="C64" s="4">
        <v>395246</v>
      </c>
      <c r="D64" s="5">
        <v>0.18</v>
      </c>
      <c r="E64" s="4">
        <v>32</v>
      </c>
      <c r="F64" s="4">
        <v>21</v>
      </c>
      <c r="G64" s="4">
        <v>29</v>
      </c>
      <c r="H64" s="4">
        <v>355</v>
      </c>
      <c r="I64" s="4">
        <v>35</v>
      </c>
      <c r="J64" s="5">
        <v>0.93</v>
      </c>
      <c r="K64" s="11">
        <f>'Session Details'!L64</f>
        <v>0.20369999469221134</v>
      </c>
      <c r="L64" s="11">
        <f>'Session Details'!M64</f>
        <v>0.3264000055349971</v>
      </c>
      <c r="M64" s="11">
        <f>'Session Details'!N64</f>
        <v>0.71399999247843449</v>
      </c>
      <c r="N64" s="11">
        <f>'Session Details'!O64</f>
        <v>0.81119998850792119</v>
      </c>
    </row>
    <row r="65" spans="2:14" x14ac:dyDescent="0.35">
      <c r="B65" s="3">
        <v>43528</v>
      </c>
      <c r="C65" s="4">
        <v>409961</v>
      </c>
      <c r="D65" s="5">
        <v>0.17</v>
      </c>
      <c r="E65" s="4">
        <v>31</v>
      </c>
      <c r="F65" s="4">
        <v>19</v>
      </c>
      <c r="G65" s="4">
        <v>29</v>
      </c>
      <c r="H65" s="4">
        <v>372</v>
      </c>
      <c r="I65" s="4">
        <v>33</v>
      </c>
      <c r="J65" s="5">
        <v>0.95</v>
      </c>
      <c r="K65" s="11">
        <f>'Session Details'!L65</f>
        <v>0.2624999654653839</v>
      </c>
      <c r="L65" s="11">
        <f>'Session Details'!M65</f>
        <v>0.4159999621105876</v>
      </c>
      <c r="M65" s="11">
        <f>'Session Details'!N65</f>
        <v>0.74459980105695345</v>
      </c>
      <c r="N65" s="11">
        <f>'Session Details'!O65</f>
        <v>0.77900017158943347</v>
      </c>
    </row>
    <row r="66" spans="2:14" x14ac:dyDescent="0.35">
      <c r="B66" s="3">
        <v>43529</v>
      </c>
      <c r="C66" s="4">
        <v>396249</v>
      </c>
      <c r="D66" s="5">
        <v>0.18</v>
      </c>
      <c r="E66" s="4">
        <v>35</v>
      </c>
      <c r="F66" s="4">
        <v>20</v>
      </c>
      <c r="G66" s="4">
        <v>27</v>
      </c>
      <c r="H66" s="4">
        <v>367</v>
      </c>
      <c r="I66" s="4">
        <v>38</v>
      </c>
      <c r="J66" s="5">
        <v>0.95</v>
      </c>
      <c r="K66" s="11">
        <f>'Session Details'!L66</f>
        <v>0.24250000230230775</v>
      </c>
      <c r="L66" s="11">
        <f>'Session Details'!M66</f>
        <v>0.37999982910705588</v>
      </c>
      <c r="M66" s="11">
        <f>'Session Details'!N66</f>
        <v>0.74459988047482273</v>
      </c>
      <c r="N66" s="11">
        <f>'Session Details'!O66</f>
        <v>0.84460034413058704</v>
      </c>
    </row>
    <row r="67" spans="2:14" x14ac:dyDescent="0.35">
      <c r="B67" s="3">
        <v>43530</v>
      </c>
      <c r="C67" s="4">
        <v>398589</v>
      </c>
      <c r="D67" s="5">
        <v>0.19</v>
      </c>
      <c r="E67" s="4">
        <v>39</v>
      </c>
      <c r="F67" s="4">
        <v>22</v>
      </c>
      <c r="G67" s="4">
        <v>27</v>
      </c>
      <c r="H67" s="4">
        <v>354</v>
      </c>
      <c r="I67" s="4">
        <v>39</v>
      </c>
      <c r="J67" s="5">
        <v>0.95</v>
      </c>
      <c r="K67" s="11">
        <f>'Session Details'!L67</f>
        <v>0.24499995727676396</v>
      </c>
      <c r="L67" s="11">
        <f>'Session Details'!M67</f>
        <v>0.38799990312189686</v>
      </c>
      <c r="M67" s="11">
        <f>'Session Details'!N67</f>
        <v>0.70810020993590062</v>
      </c>
      <c r="N67" s="11">
        <f>'Session Details'!O67</f>
        <v>0.77900001551500653</v>
      </c>
    </row>
    <row r="68" spans="2:14" x14ac:dyDescent="0.35">
      <c r="B68" s="3">
        <v>43531</v>
      </c>
      <c r="C68" s="4">
        <v>398003</v>
      </c>
      <c r="D68" s="5">
        <v>0.19</v>
      </c>
      <c r="E68" s="4">
        <v>31</v>
      </c>
      <c r="F68" s="4">
        <v>18</v>
      </c>
      <c r="G68" s="4">
        <v>29</v>
      </c>
      <c r="H68" s="4">
        <v>350</v>
      </c>
      <c r="I68" s="4">
        <v>37</v>
      </c>
      <c r="J68" s="5">
        <v>0.94</v>
      </c>
      <c r="K68" s="11">
        <f>'Session Details'!L68</f>
        <v>0.23749998848846129</v>
      </c>
      <c r="L68" s="11">
        <f>'Session Details'!M68</f>
        <v>0.3959998588564112</v>
      </c>
      <c r="M68" s="11">
        <f>'Session Details'!N68</f>
        <v>0.70810006291263472</v>
      </c>
      <c r="N68" s="11">
        <f>'Session Details'!O68</f>
        <v>0.84459985964232998</v>
      </c>
    </row>
    <row r="69" spans="2:14" x14ac:dyDescent="0.35">
      <c r="B69" s="3">
        <v>43532</v>
      </c>
      <c r="C69" s="4">
        <v>396560</v>
      </c>
      <c r="D69" s="5">
        <v>0.18</v>
      </c>
      <c r="E69" s="4">
        <v>30</v>
      </c>
      <c r="F69" s="4">
        <v>19</v>
      </c>
      <c r="G69" s="4">
        <v>26</v>
      </c>
      <c r="H69" s="4">
        <v>381</v>
      </c>
      <c r="I69" s="4">
        <v>30</v>
      </c>
      <c r="J69" s="5">
        <v>0.95</v>
      </c>
      <c r="K69" s="11">
        <f>'Session Details'!L69</f>
        <v>0.2624999654653839</v>
      </c>
      <c r="L69" s="11">
        <f>'Session Details'!M69</f>
        <v>0.41999992632614258</v>
      </c>
      <c r="M69" s="11">
        <f>'Session Details'!N69</f>
        <v>0.72270015570078716</v>
      </c>
      <c r="N69" s="11">
        <f>'Session Details'!O69</f>
        <v>0.80360000392975672</v>
      </c>
    </row>
    <row r="70" spans="2:14" x14ac:dyDescent="0.35">
      <c r="B70" s="3">
        <v>43533</v>
      </c>
      <c r="C70" s="4">
        <v>404097</v>
      </c>
      <c r="D70" s="5">
        <v>0.17</v>
      </c>
      <c r="E70" s="4">
        <v>33</v>
      </c>
      <c r="F70" s="4">
        <v>21</v>
      </c>
      <c r="G70" s="4">
        <v>28</v>
      </c>
      <c r="H70" s="4">
        <v>386</v>
      </c>
      <c r="I70" s="4">
        <v>31</v>
      </c>
      <c r="J70" s="5">
        <v>0.95</v>
      </c>
      <c r="K70" s="11">
        <f>'Session Details'!L70</f>
        <v>0.20789999601587994</v>
      </c>
      <c r="L70" s="11">
        <f>'Session Details'!M70</f>
        <v>0.33660001224000047</v>
      </c>
      <c r="M70" s="11">
        <f>'Session Details'!N70</f>
        <v>0.70719987756351388</v>
      </c>
      <c r="N70" s="11">
        <f>'Session Details'!O70</f>
        <v>0.78779980453787235</v>
      </c>
    </row>
    <row r="71" spans="2:14" x14ac:dyDescent="0.35">
      <c r="B71" s="3">
        <v>43534</v>
      </c>
      <c r="C71" s="4">
        <v>406619</v>
      </c>
      <c r="D71" s="5">
        <v>0.17</v>
      </c>
      <c r="E71" s="4">
        <v>33</v>
      </c>
      <c r="F71" s="4">
        <v>19</v>
      </c>
      <c r="G71" s="4">
        <v>25</v>
      </c>
      <c r="H71" s="4">
        <v>354</v>
      </c>
      <c r="I71" s="4">
        <v>37</v>
      </c>
      <c r="J71" s="5">
        <v>0.92</v>
      </c>
      <c r="K71" s="11">
        <f>'Session Details'!L71</f>
        <v>0.21839999672985225</v>
      </c>
      <c r="L71" s="11">
        <f>'Session Details'!M71</f>
        <v>0.34680000740737882</v>
      </c>
      <c r="M71" s="11">
        <f>'Session Details'!N71</f>
        <v>0.64600000000000002</v>
      </c>
      <c r="N71" s="11">
        <f>'Session Details'!O71</f>
        <v>0.75659994377383644</v>
      </c>
    </row>
    <row r="72" spans="2:14" x14ac:dyDescent="0.35">
      <c r="B72" s="3">
        <v>43535</v>
      </c>
      <c r="C72" s="4">
        <v>390758</v>
      </c>
      <c r="D72" s="5">
        <v>0.19</v>
      </c>
      <c r="E72" s="4">
        <v>35</v>
      </c>
      <c r="F72" s="4">
        <v>21</v>
      </c>
      <c r="G72" s="4">
        <v>25</v>
      </c>
      <c r="H72" s="4">
        <v>378</v>
      </c>
      <c r="I72" s="4">
        <v>36</v>
      </c>
      <c r="J72" s="5">
        <v>0.93</v>
      </c>
      <c r="K72" s="11">
        <f>'Session Details'!L72</f>
        <v>0.23999998496452074</v>
      </c>
      <c r="L72" s="11">
        <f>'Session Details'!M72</f>
        <v>0.41199995771271192</v>
      </c>
      <c r="M72" s="11">
        <f>'Session Details'!N72</f>
        <v>0.69349981135321048</v>
      </c>
      <c r="N72" s="11">
        <f>'Session Details'!O72</f>
        <v>0.83640002631138977</v>
      </c>
    </row>
    <row r="73" spans="2:14" x14ac:dyDescent="0.35">
      <c r="B73" s="3">
        <v>43536</v>
      </c>
      <c r="C73" s="4">
        <v>385418</v>
      </c>
      <c r="D73" s="5">
        <v>0.19</v>
      </c>
      <c r="E73" s="4">
        <v>30</v>
      </c>
      <c r="F73" s="4">
        <v>19</v>
      </c>
      <c r="G73" s="4">
        <v>25</v>
      </c>
      <c r="H73" s="4">
        <v>357</v>
      </c>
      <c r="I73" s="4">
        <v>39</v>
      </c>
      <c r="J73" s="5">
        <v>0.91</v>
      </c>
      <c r="K73" s="11">
        <f>'Session Details'!L73</f>
        <v>0.25249999220936281</v>
      </c>
      <c r="L73" s="11">
        <f>'Session Details'!M73</f>
        <v>0.39599988358367755</v>
      </c>
      <c r="M73" s="11">
        <f>'Session Details'!N73</f>
        <v>0.74460008158894708</v>
      </c>
      <c r="N73" s="11">
        <f>'Session Details'!O73</f>
        <v>0.81179977785302071</v>
      </c>
    </row>
    <row r="74" spans="2:14" x14ac:dyDescent="0.35">
      <c r="B74" s="3">
        <v>43537</v>
      </c>
      <c r="C74" s="4">
        <v>395501</v>
      </c>
      <c r="D74" s="5">
        <v>0.18</v>
      </c>
      <c r="E74" s="4">
        <v>31</v>
      </c>
      <c r="F74" s="4">
        <v>21</v>
      </c>
      <c r="G74" s="4">
        <v>29</v>
      </c>
      <c r="H74" s="4">
        <v>378</v>
      </c>
      <c r="I74" s="4">
        <v>35</v>
      </c>
      <c r="J74" s="5">
        <v>0.91</v>
      </c>
      <c r="K74" s="11">
        <f>'Session Details'!L74</f>
        <v>0.2624999654653839</v>
      </c>
      <c r="L74" s="11">
        <f>'Session Details'!M74</f>
        <v>0.37999993334270044</v>
      </c>
      <c r="M74" s="11">
        <f>'Session Details'!N74</f>
        <v>0.70810006351832433</v>
      </c>
      <c r="N74" s="11">
        <f>'Session Details'!O74</f>
        <v>0.80359983311168481</v>
      </c>
    </row>
    <row r="75" spans="2:14" x14ac:dyDescent="0.35">
      <c r="B75" s="3">
        <v>43538</v>
      </c>
      <c r="C75" s="4">
        <v>396795</v>
      </c>
      <c r="D75" s="5">
        <v>0.17</v>
      </c>
      <c r="E75" s="4">
        <v>34</v>
      </c>
      <c r="F75" s="4">
        <v>18</v>
      </c>
      <c r="G75" s="4">
        <v>28</v>
      </c>
      <c r="H75" s="4">
        <v>372</v>
      </c>
      <c r="I75" s="4">
        <v>31</v>
      </c>
      <c r="J75" s="5">
        <v>0.94</v>
      </c>
      <c r="K75" s="11">
        <f>'Session Details'!L75</f>
        <v>0.23749997094706898</v>
      </c>
      <c r="L75" s="11">
        <f>'Session Details'!M75</f>
        <v>0.39599993426593233</v>
      </c>
      <c r="M75" s="11">
        <f>'Session Details'!N75</f>
        <v>0.75919979148025241</v>
      </c>
      <c r="N75" s="11">
        <f>'Session Details'!O75</f>
        <v>0.77900038754190948</v>
      </c>
    </row>
    <row r="76" spans="2:14" x14ac:dyDescent="0.35">
      <c r="B76" s="3">
        <v>43539</v>
      </c>
      <c r="C76" s="4">
        <v>381360</v>
      </c>
      <c r="D76" s="5">
        <v>0.17</v>
      </c>
      <c r="E76" s="4">
        <v>34</v>
      </c>
      <c r="F76" s="4">
        <v>19</v>
      </c>
      <c r="G76" s="4">
        <v>27</v>
      </c>
      <c r="H76" s="4">
        <v>395</v>
      </c>
      <c r="I76" s="4">
        <v>39</v>
      </c>
      <c r="J76" s="5">
        <v>0.95</v>
      </c>
      <c r="K76" s="11">
        <f>'Session Details'!L76</f>
        <v>0.23749996918628585</v>
      </c>
      <c r="L76" s="11">
        <f>'Session Details'!M76</f>
        <v>0.41599995613252599</v>
      </c>
      <c r="M76" s="11">
        <f>'Session Details'!N76</f>
        <v>0.71539994049569344</v>
      </c>
      <c r="N76" s="11">
        <f>'Session Details'!O76</f>
        <v>0.77899983154170926</v>
      </c>
    </row>
    <row r="77" spans="2:14" x14ac:dyDescent="0.35">
      <c r="B77" s="3">
        <v>43540</v>
      </c>
      <c r="C77" s="4">
        <v>409886</v>
      </c>
      <c r="D77" s="5">
        <v>0.17</v>
      </c>
      <c r="E77" s="4">
        <v>40</v>
      </c>
      <c r="F77" s="4">
        <v>19</v>
      </c>
      <c r="G77" s="4">
        <v>30</v>
      </c>
      <c r="H77" s="4">
        <v>356</v>
      </c>
      <c r="I77" s="4">
        <v>31</v>
      </c>
      <c r="J77" s="5">
        <v>0.93</v>
      </c>
      <c r="K77" s="11">
        <f>'Session Details'!L77</f>
        <v>0.21839998970108357</v>
      </c>
      <c r="L77" s="11">
        <f>'Session Details'!M77</f>
        <v>0.35359998282105171</v>
      </c>
      <c r="M77" s="11">
        <f>'Session Details'!N77</f>
        <v>0.67320006813765876</v>
      </c>
      <c r="N77" s="11">
        <f>'Session Details'!O77</f>
        <v>0.81899956338810831</v>
      </c>
    </row>
    <row r="78" spans="2:14" x14ac:dyDescent="0.35">
      <c r="B78" s="3">
        <v>43541</v>
      </c>
      <c r="C78" s="4">
        <v>395416</v>
      </c>
      <c r="D78" s="5">
        <v>0.18</v>
      </c>
      <c r="E78" s="4">
        <v>36</v>
      </c>
      <c r="F78" s="4">
        <v>22</v>
      </c>
      <c r="G78" s="4">
        <v>29</v>
      </c>
      <c r="H78" s="4">
        <v>382</v>
      </c>
      <c r="I78" s="4">
        <v>34</v>
      </c>
      <c r="J78" s="5">
        <v>0.93</v>
      </c>
      <c r="K78" s="11">
        <f>'Session Details'!L78</f>
        <v>0.20369999828585886</v>
      </c>
      <c r="L78" s="11">
        <f>'Session Details'!M78</f>
        <v>0.33319998986973398</v>
      </c>
      <c r="M78" s="11">
        <f>'Session Details'!N78</f>
        <v>0.6799998618047266</v>
      </c>
      <c r="N78" s="11">
        <f>'Session Details'!O78</f>
        <v>0.76439987420163003</v>
      </c>
    </row>
    <row r="79" spans="2:14" x14ac:dyDescent="0.35">
      <c r="B79" s="3">
        <v>43542</v>
      </c>
      <c r="C79" s="4">
        <v>395027</v>
      </c>
      <c r="D79" s="5">
        <v>0.19</v>
      </c>
      <c r="E79" s="4">
        <v>30</v>
      </c>
      <c r="F79" s="4">
        <v>21</v>
      </c>
      <c r="G79" s="4">
        <v>29</v>
      </c>
      <c r="H79" s="4">
        <v>375</v>
      </c>
      <c r="I79" s="4">
        <v>37</v>
      </c>
      <c r="J79" s="5">
        <v>0.95</v>
      </c>
      <c r="K79" s="11">
        <f>'Session Details'!L79</f>
        <v>0.23999998211799797</v>
      </c>
      <c r="L79" s="11">
        <f>'Session Details'!M79</f>
        <v>0.4160000342738398</v>
      </c>
      <c r="M79" s="11">
        <f>'Session Details'!N79</f>
        <v>0.72270001392553729</v>
      </c>
      <c r="N79" s="11">
        <f>'Session Details'!O79</f>
        <v>0.81179991957923459</v>
      </c>
    </row>
    <row r="80" spans="2:14" x14ac:dyDescent="0.35">
      <c r="B80" s="3">
        <v>43543</v>
      </c>
      <c r="C80" s="4">
        <v>380462</v>
      </c>
      <c r="D80" s="5">
        <v>0.19</v>
      </c>
      <c r="E80" s="4">
        <v>37</v>
      </c>
      <c r="F80" s="4">
        <v>20</v>
      </c>
      <c r="G80" s="4">
        <v>25</v>
      </c>
      <c r="H80" s="4">
        <v>400</v>
      </c>
      <c r="I80" s="4">
        <v>33</v>
      </c>
      <c r="J80" s="5">
        <v>0.65</v>
      </c>
      <c r="K80" s="11">
        <f>'Session Details'!L80</f>
        <v>0.26249996979645729</v>
      </c>
      <c r="L80" s="11">
        <f>'Session Details'!M80</f>
        <v>0.42000003820897847</v>
      </c>
      <c r="M80" s="11">
        <f>'Session Details'!N80</f>
        <v>0.75919992722100005</v>
      </c>
      <c r="N80" s="11">
        <f>'Session Details'!O80</f>
        <v>0.38539988387533919</v>
      </c>
    </row>
    <row r="81" spans="2:14" x14ac:dyDescent="0.35">
      <c r="B81" s="3">
        <v>43544</v>
      </c>
      <c r="C81" s="4">
        <v>391681</v>
      </c>
      <c r="D81" s="5">
        <v>0.18</v>
      </c>
      <c r="E81" s="4">
        <v>38</v>
      </c>
      <c r="F81" s="4">
        <v>21</v>
      </c>
      <c r="G81" s="4">
        <v>29</v>
      </c>
      <c r="H81" s="4">
        <v>383</v>
      </c>
      <c r="I81" s="4">
        <v>36</v>
      </c>
      <c r="J81" s="5">
        <v>0.93</v>
      </c>
      <c r="K81" s="11">
        <f>'Session Details'!L81</f>
        <v>0.25499998989803735</v>
      </c>
      <c r="L81" s="11">
        <f>'Session Details'!M81</f>
        <v>0.39599989902643423</v>
      </c>
      <c r="M81" s="11">
        <f>'Session Details'!N81</f>
        <v>0.74460020584824926</v>
      </c>
      <c r="N81" s="11">
        <f>'Session Details'!O81</f>
        <v>0.86099963630955434</v>
      </c>
    </row>
    <row r="82" spans="2:14" x14ac:dyDescent="0.35">
      <c r="B82" s="3">
        <v>43545</v>
      </c>
      <c r="C82" s="4">
        <v>382856</v>
      </c>
      <c r="D82" s="5">
        <v>0.19</v>
      </c>
      <c r="E82" s="4">
        <v>36</v>
      </c>
      <c r="F82" s="4">
        <v>18</v>
      </c>
      <c r="G82" s="4">
        <v>28</v>
      </c>
      <c r="H82" s="4">
        <v>379</v>
      </c>
      <c r="I82" s="4">
        <v>39</v>
      </c>
      <c r="J82" s="5">
        <v>0.95</v>
      </c>
      <c r="K82" s="11">
        <f>'Session Details'!L82</f>
        <v>0.25</v>
      </c>
      <c r="L82" s="11">
        <f>'Session Details'!M82</f>
        <v>0.39199994106092184</v>
      </c>
      <c r="M82" s="11">
        <f>'Session Details'!N82</f>
        <v>0.6934998324953402</v>
      </c>
      <c r="N82" s="11">
        <f>'Session Details'!O82</f>
        <v>0.83640034553430787</v>
      </c>
    </row>
    <row r="83" spans="2:14" x14ac:dyDescent="0.35">
      <c r="B83" s="3">
        <v>43546</v>
      </c>
      <c r="C83" s="4">
        <v>395181</v>
      </c>
      <c r="D83" s="5">
        <v>0.17</v>
      </c>
      <c r="E83" s="4">
        <v>40</v>
      </c>
      <c r="F83" s="4">
        <v>17</v>
      </c>
      <c r="G83" s="4">
        <v>27</v>
      </c>
      <c r="H83" s="4">
        <v>379</v>
      </c>
      <c r="I83" s="4">
        <v>32</v>
      </c>
      <c r="J83" s="5">
        <v>0.95</v>
      </c>
      <c r="K83" s="11">
        <f>'Session Details'!L83</f>
        <v>0.26249996439730333</v>
      </c>
      <c r="L83" s="11">
        <f>'Session Details'!M83</f>
        <v>0.38399993345120426</v>
      </c>
      <c r="M83" s="11">
        <f>'Session Details'!N83</f>
        <v>0.75919995629720538</v>
      </c>
      <c r="N83" s="11">
        <f>'Session Details'!O83</f>
        <v>0.84460003064305122</v>
      </c>
    </row>
    <row r="84" spans="2:14" x14ac:dyDescent="0.35">
      <c r="B84" s="3">
        <v>43547</v>
      </c>
      <c r="C84" s="4">
        <v>397192</v>
      </c>
      <c r="D84" s="5">
        <v>0.17</v>
      </c>
      <c r="E84" s="4">
        <v>38</v>
      </c>
      <c r="F84" s="4">
        <v>20</v>
      </c>
      <c r="G84" s="4">
        <v>30</v>
      </c>
      <c r="H84" s="4">
        <v>386</v>
      </c>
      <c r="I84" s="4">
        <v>34</v>
      </c>
      <c r="J84" s="5">
        <v>0.92</v>
      </c>
      <c r="K84" s="11">
        <f>'Session Details'!L84</f>
        <v>0.21629998866133376</v>
      </c>
      <c r="L84" s="11">
        <f>'Session Details'!M84</f>
        <v>0.33999999583877588</v>
      </c>
      <c r="M84" s="11">
        <f>'Session Details'!N84</f>
        <v>0.70039981409119012</v>
      </c>
      <c r="N84" s="11">
        <f>'Session Details'!O84</f>
        <v>0.8190000851865038</v>
      </c>
    </row>
    <row r="85" spans="2:14" x14ac:dyDescent="0.35">
      <c r="B85" s="3">
        <v>43548</v>
      </c>
      <c r="C85" s="4">
        <v>401966</v>
      </c>
      <c r="D85" s="5">
        <v>0.17</v>
      </c>
      <c r="E85" s="4">
        <v>38</v>
      </c>
      <c r="F85" s="4">
        <v>20</v>
      </c>
      <c r="G85" s="4">
        <v>26</v>
      </c>
      <c r="H85" s="4">
        <v>350</v>
      </c>
      <c r="I85" s="4">
        <v>40</v>
      </c>
      <c r="J85" s="5">
        <v>0.91</v>
      </c>
      <c r="K85" s="11">
        <f>'Session Details'!L85</f>
        <v>0.20789997972590626</v>
      </c>
      <c r="L85" s="11">
        <f>'Session Details'!M85</f>
        <v>0.35019993838256785</v>
      </c>
      <c r="M85" s="11">
        <f>'Session Details'!N85</f>
        <v>0.69360011705717539</v>
      </c>
      <c r="N85" s="11">
        <f>'Session Details'!O85</f>
        <v>0.80339980956873436</v>
      </c>
    </row>
    <row r="86" spans="2:14" x14ac:dyDescent="0.35">
      <c r="B86" s="3">
        <v>43549</v>
      </c>
      <c r="C86" s="4">
        <v>382312</v>
      </c>
      <c r="D86" s="5">
        <v>0.19</v>
      </c>
      <c r="E86" s="4">
        <v>31</v>
      </c>
      <c r="F86" s="4">
        <v>22</v>
      </c>
      <c r="G86" s="4">
        <v>27</v>
      </c>
      <c r="H86" s="4">
        <v>390</v>
      </c>
      <c r="I86" s="4">
        <v>32</v>
      </c>
      <c r="J86" s="5">
        <v>0.92</v>
      </c>
      <c r="K86" s="11">
        <f>'Session Details'!L86</f>
        <v>0.24750000670575076</v>
      </c>
      <c r="L86" s="11">
        <f>'Session Details'!M86</f>
        <v>0.40799990173930462</v>
      </c>
      <c r="M86" s="11">
        <f>'Session Details'!N86</f>
        <v>0.72270008017506582</v>
      </c>
      <c r="N86" s="11">
        <f>'Session Details'!O86</f>
        <v>0.82819950503540707</v>
      </c>
    </row>
    <row r="87" spans="2:14" x14ac:dyDescent="0.35">
      <c r="B87" s="3">
        <v>43550</v>
      </c>
      <c r="C87" s="4">
        <v>395869</v>
      </c>
      <c r="D87" s="5">
        <v>0.17</v>
      </c>
      <c r="E87" s="4">
        <v>39</v>
      </c>
      <c r="F87" s="4">
        <v>18</v>
      </c>
      <c r="G87" s="4">
        <v>25</v>
      </c>
      <c r="H87" s="4">
        <v>366</v>
      </c>
      <c r="I87" s="4">
        <v>36</v>
      </c>
      <c r="J87" s="5">
        <v>0.94</v>
      </c>
      <c r="K87" s="11">
        <f>'Session Details'!L87</f>
        <v>0.2449999870495187</v>
      </c>
      <c r="L87" s="11">
        <f>'Session Details'!M87</f>
        <v>0.39999996084510364</v>
      </c>
      <c r="M87" s="11">
        <f>'Session Details'!N87</f>
        <v>0.72270010234112048</v>
      </c>
      <c r="N87" s="11">
        <f>'Session Details'!O87</f>
        <v>0.85279937586220211</v>
      </c>
    </row>
    <row r="88" spans="2:14" x14ac:dyDescent="0.35">
      <c r="B88" s="3">
        <v>43551</v>
      </c>
      <c r="C88" s="4">
        <v>408200</v>
      </c>
      <c r="D88" s="5">
        <v>0.19</v>
      </c>
      <c r="E88" s="4">
        <v>35</v>
      </c>
      <c r="F88" s="4">
        <v>17</v>
      </c>
      <c r="G88" s="4">
        <v>28</v>
      </c>
      <c r="H88" s="4">
        <v>384</v>
      </c>
      <c r="I88" s="4">
        <v>35</v>
      </c>
      <c r="J88" s="5">
        <v>0.93</v>
      </c>
      <c r="K88" s="11">
        <f>'Session Details'!L88</f>
        <v>0.24999997601762725</v>
      </c>
      <c r="L88" s="11">
        <f>'Session Details'!M88</f>
        <v>0.39999992325639977</v>
      </c>
      <c r="M88" s="11">
        <f>'Session Details'!N88</f>
        <v>0.70809990483791752</v>
      </c>
      <c r="N88" s="11">
        <f>'Session Details'!O88</f>
        <v>0.77900036036231313</v>
      </c>
    </row>
    <row r="89" spans="2:14" x14ac:dyDescent="0.35">
      <c r="B89" s="3">
        <v>43552</v>
      </c>
      <c r="C89" s="4">
        <v>404886</v>
      </c>
      <c r="D89" s="5">
        <v>0.17</v>
      </c>
      <c r="E89" s="4">
        <v>35</v>
      </c>
      <c r="F89" s="4">
        <v>18</v>
      </c>
      <c r="G89" s="4">
        <v>30</v>
      </c>
      <c r="H89" s="4">
        <v>395</v>
      </c>
      <c r="I89" s="4">
        <v>34</v>
      </c>
      <c r="J89" s="5">
        <v>0.93</v>
      </c>
      <c r="K89" s="11">
        <f>'Session Details'!L89</f>
        <v>0.24499995744219102</v>
      </c>
      <c r="L89" s="11">
        <f>'Session Details'!M89</f>
        <v>0.39200006074942001</v>
      </c>
      <c r="M89" s="11">
        <f>'Session Details'!N89</f>
        <v>0.75189987195357011</v>
      </c>
      <c r="N89" s="11">
        <f>'Session Details'!O89</f>
        <v>0.84459995620193484</v>
      </c>
    </row>
    <row r="90" spans="2:14" x14ac:dyDescent="0.35">
      <c r="B90" s="3">
        <v>43553</v>
      </c>
      <c r="C90" s="4">
        <v>389891</v>
      </c>
      <c r="D90" s="5">
        <v>0.19</v>
      </c>
      <c r="E90" s="4">
        <v>38</v>
      </c>
      <c r="F90" s="4">
        <v>17</v>
      </c>
      <c r="G90" s="4">
        <v>25</v>
      </c>
      <c r="H90" s="4">
        <v>388</v>
      </c>
      <c r="I90" s="4">
        <v>36</v>
      </c>
      <c r="J90" s="5">
        <v>0.95</v>
      </c>
      <c r="K90" s="11">
        <f>'Session Details'!L90</f>
        <v>0.25249996634245347</v>
      </c>
      <c r="L90" s="11">
        <f>'Session Details'!M90</f>
        <v>0.38800001875713486</v>
      </c>
      <c r="M90" s="11">
        <f>'Session Details'!N90</f>
        <v>0.76650000223810777</v>
      </c>
      <c r="N90" s="11">
        <f>'Session Details'!O90</f>
        <v>0.81179980658543882</v>
      </c>
    </row>
    <row r="91" spans="2:14" x14ac:dyDescent="0.35">
      <c r="B91" s="3">
        <v>43554</v>
      </c>
      <c r="C91" s="4">
        <v>380769</v>
      </c>
      <c r="D91" s="5">
        <v>0.18</v>
      </c>
      <c r="E91" s="4">
        <v>39</v>
      </c>
      <c r="F91" s="4">
        <v>18</v>
      </c>
      <c r="G91" s="4">
        <v>28</v>
      </c>
      <c r="H91" s="4">
        <v>354</v>
      </c>
      <c r="I91" s="4">
        <v>30</v>
      </c>
      <c r="J91" s="5">
        <v>0.92</v>
      </c>
      <c r="K91" s="11">
        <f>'Session Details'!L91</f>
        <v>0.22050000278460005</v>
      </c>
      <c r="L91" s="11">
        <f>'Session Details'!M91</f>
        <v>0.34339995494125691</v>
      </c>
      <c r="M91" s="11">
        <f>'Session Details'!N91</f>
        <v>0.68000004707214212</v>
      </c>
      <c r="N91" s="11">
        <f>'Session Details'!O91</f>
        <v>0.75659983403609843</v>
      </c>
    </row>
    <row r="92" spans="2:14" x14ac:dyDescent="0.35">
      <c r="B92" s="3">
        <v>43555</v>
      </c>
      <c r="C92" s="4">
        <v>398067</v>
      </c>
      <c r="D92" s="5">
        <v>0.19</v>
      </c>
      <c r="E92" s="4">
        <v>36</v>
      </c>
      <c r="F92" s="4">
        <v>17</v>
      </c>
      <c r="G92" s="4">
        <v>29</v>
      </c>
      <c r="H92" s="4">
        <v>363</v>
      </c>
      <c r="I92" s="4">
        <v>37</v>
      </c>
      <c r="J92" s="5">
        <v>0.95</v>
      </c>
      <c r="K92" s="11">
        <f>'Session Details'!L92</f>
        <v>0.20159999951225532</v>
      </c>
      <c r="L92" s="11">
        <f>'Session Details'!M92</f>
        <v>0.32639990415578873</v>
      </c>
      <c r="M92" s="11">
        <f>'Session Details'!N92</f>
        <v>0.71399991376093885</v>
      </c>
      <c r="N92" s="11">
        <f>'Session Details'!O92</f>
        <v>0.81900016620141913</v>
      </c>
    </row>
    <row r="93" spans="2:14" x14ac:dyDescent="0.35">
      <c r="B93" s="3">
        <v>43556</v>
      </c>
      <c r="C93" s="4">
        <v>409072</v>
      </c>
      <c r="D93" s="5">
        <v>0.17</v>
      </c>
      <c r="E93" s="4">
        <v>36</v>
      </c>
      <c r="F93" s="4">
        <v>21</v>
      </c>
      <c r="G93" s="4">
        <v>29</v>
      </c>
      <c r="H93" s="4">
        <v>354</v>
      </c>
      <c r="I93" s="4">
        <v>35</v>
      </c>
      <c r="J93" s="5">
        <v>0.91</v>
      </c>
      <c r="K93" s="11">
        <f>'Session Details'!L93</f>
        <v>0.25749996914432954</v>
      </c>
      <c r="L93" s="11">
        <f>'Session Details'!M93</f>
        <v>0.41999997050391119</v>
      </c>
      <c r="M93" s="11">
        <f>'Session Details'!N93</f>
        <v>0.71540003195409851</v>
      </c>
      <c r="N93" s="11">
        <f>'Session Details'!O93</f>
        <v>0.8363995231530309</v>
      </c>
    </row>
    <row r="94" spans="2:14" x14ac:dyDescent="0.35">
      <c r="B94" s="3">
        <v>43557</v>
      </c>
      <c r="C94" s="4">
        <v>385907</v>
      </c>
      <c r="D94" s="5">
        <v>0.19</v>
      </c>
      <c r="E94" s="4">
        <v>35</v>
      </c>
      <c r="F94" s="4">
        <v>22</v>
      </c>
      <c r="G94" s="4">
        <v>25</v>
      </c>
      <c r="H94" s="4">
        <v>383</v>
      </c>
      <c r="I94" s="4">
        <v>33</v>
      </c>
      <c r="J94" s="5">
        <v>0.95</v>
      </c>
      <c r="K94" s="11">
        <f>'Session Details'!L94</f>
        <v>0.24999996710988942</v>
      </c>
      <c r="L94" s="11">
        <f>'Session Details'!M94</f>
        <v>0.39599996561886652</v>
      </c>
      <c r="M94" s="11">
        <f>'Session Details'!N94</f>
        <v>0.69349998250290035</v>
      </c>
      <c r="N94" s="11">
        <f>'Session Details'!O94</f>
        <v>0.83640012570356947</v>
      </c>
    </row>
    <row r="95" spans="2:14" x14ac:dyDescent="0.35">
      <c r="B95" s="3">
        <v>43558</v>
      </c>
      <c r="C95" s="4">
        <v>410264</v>
      </c>
      <c r="D95" s="5">
        <v>0.17</v>
      </c>
      <c r="E95" s="4">
        <v>37</v>
      </c>
      <c r="F95" s="4">
        <v>21</v>
      </c>
      <c r="G95" s="4">
        <v>28</v>
      </c>
      <c r="H95" s="4">
        <v>361</v>
      </c>
      <c r="I95" s="4">
        <v>33</v>
      </c>
      <c r="J95" s="5">
        <v>0.91</v>
      </c>
      <c r="K95" s="11">
        <f>'Session Details'!L95</f>
        <v>0.24750000670575076</v>
      </c>
      <c r="L95" s="11">
        <f>'Session Details'!M95</f>
        <v>0.41599983960386488</v>
      </c>
      <c r="M95" s="11">
        <f>'Session Details'!N95</f>
        <v>0.69350010008262786</v>
      </c>
      <c r="N95" s="11">
        <f>'Session Details'!O95</f>
        <v>0.83639974505352499</v>
      </c>
    </row>
    <row r="96" spans="2:14" x14ac:dyDescent="0.35">
      <c r="B96" s="3">
        <v>43559</v>
      </c>
      <c r="C96" s="4">
        <v>406272</v>
      </c>
      <c r="D96" s="5">
        <v>0.1</v>
      </c>
      <c r="E96" s="4">
        <v>35</v>
      </c>
      <c r="F96" s="4">
        <v>21</v>
      </c>
      <c r="G96" s="4">
        <v>29</v>
      </c>
      <c r="H96" s="4">
        <v>388</v>
      </c>
      <c r="I96" s="4">
        <v>40</v>
      </c>
      <c r="J96" s="5">
        <v>0.92</v>
      </c>
      <c r="K96" s="11">
        <f>'Session Details'!L96</f>
        <v>0.26249996219249577</v>
      </c>
      <c r="L96" s="11">
        <f>'Session Details'!M96</f>
        <v>0.19999993121021695</v>
      </c>
      <c r="M96" s="11">
        <f>'Session Details'!N96</f>
        <v>0.69350013714967718</v>
      </c>
      <c r="N96" s="11">
        <f>'Session Details'!O96</f>
        <v>0.77899977061802939</v>
      </c>
    </row>
    <row r="97" spans="2:14" x14ac:dyDescent="0.35">
      <c r="B97" s="3">
        <v>43560</v>
      </c>
      <c r="C97" s="4">
        <v>388271</v>
      </c>
      <c r="D97" s="5">
        <v>0.18</v>
      </c>
      <c r="E97" s="4">
        <v>34</v>
      </c>
      <c r="F97" s="4">
        <v>17</v>
      </c>
      <c r="G97" s="4">
        <v>28</v>
      </c>
      <c r="H97" s="4">
        <v>361</v>
      </c>
      <c r="I97" s="4">
        <v>36</v>
      </c>
      <c r="J97" s="5">
        <v>0.95</v>
      </c>
      <c r="K97" s="11">
        <f>'Session Details'!L97</f>
        <v>0.26249995904548801</v>
      </c>
      <c r="L97" s="11">
        <f>'Session Details'!M97</f>
        <v>0.40800002293874699</v>
      </c>
      <c r="M97" s="11">
        <f>'Session Details'!N97</f>
        <v>0.76650003885961093</v>
      </c>
      <c r="N97" s="11">
        <f>'Session Details'!O97</f>
        <v>0.84459985675268701</v>
      </c>
    </row>
    <row r="98" spans="2:14" x14ac:dyDescent="0.35">
      <c r="B98" s="3">
        <v>43561</v>
      </c>
      <c r="C98" s="4">
        <v>403590</v>
      </c>
      <c r="D98" s="5">
        <v>0.17</v>
      </c>
      <c r="E98" s="4">
        <v>30</v>
      </c>
      <c r="F98" s="4">
        <v>18</v>
      </c>
      <c r="G98" s="4">
        <v>25</v>
      </c>
      <c r="H98" s="4">
        <v>363</v>
      </c>
      <c r="I98" s="4">
        <v>30</v>
      </c>
      <c r="J98" s="5">
        <v>0.91</v>
      </c>
      <c r="K98" s="11">
        <f>'Session Details'!L98</f>
        <v>0.2141999822642397</v>
      </c>
      <c r="L98" s="11">
        <f>'Session Details'!M98</f>
        <v>0.34340003434000343</v>
      </c>
      <c r="M98" s="11">
        <f>'Session Details'!N98</f>
        <v>0.66639982527664532</v>
      </c>
      <c r="N98" s="11">
        <f>'Session Details'!O98</f>
        <v>0.81120005663303496</v>
      </c>
    </row>
    <row r="99" spans="2:14" x14ac:dyDescent="0.35">
      <c r="B99" s="3">
        <v>43562</v>
      </c>
      <c r="C99" s="4">
        <v>403770</v>
      </c>
      <c r="D99" s="5">
        <v>0.18</v>
      </c>
      <c r="E99" s="4">
        <v>37</v>
      </c>
      <c r="F99" s="4">
        <v>22</v>
      </c>
      <c r="G99" s="4">
        <v>27</v>
      </c>
      <c r="H99" s="4">
        <v>391</v>
      </c>
      <c r="I99" s="4">
        <v>31</v>
      </c>
      <c r="J99" s="5">
        <v>0.95</v>
      </c>
      <c r="K99" s="11">
        <f>'Session Details'!L99</f>
        <v>0.20159998477751973</v>
      </c>
      <c r="L99" s="11">
        <f>'Session Details'!M99</f>
        <v>0.3433999610027047</v>
      </c>
      <c r="M99" s="11">
        <f>'Session Details'!N99</f>
        <v>0.6527999747937242</v>
      </c>
      <c r="N99" s="11">
        <f>'Session Details'!O99</f>
        <v>0.77219978095589692</v>
      </c>
    </row>
    <row r="100" spans="2:14" x14ac:dyDescent="0.35">
      <c r="B100" s="3">
        <v>43563</v>
      </c>
      <c r="C100" s="4">
        <v>390761</v>
      </c>
      <c r="D100" s="5">
        <v>0.19</v>
      </c>
      <c r="E100" s="4">
        <v>32</v>
      </c>
      <c r="F100" s="4">
        <v>21</v>
      </c>
      <c r="G100" s="4">
        <v>27</v>
      </c>
      <c r="H100" s="4">
        <v>387</v>
      </c>
      <c r="I100" s="4">
        <v>34</v>
      </c>
      <c r="J100" s="5">
        <v>0.92</v>
      </c>
      <c r="K100" s="11">
        <f>'Session Details'!L100</f>
        <v>0.25749999988372185</v>
      </c>
      <c r="L100" s="11">
        <f>'Session Details'!M100</f>
        <v>0.39199984538390581</v>
      </c>
      <c r="M100" s="11">
        <f>'Session Details'!N100</f>
        <v>0.70079982453440337</v>
      </c>
      <c r="N100" s="11">
        <f>'Session Details'!O100</f>
        <v>0.82820038740372437</v>
      </c>
    </row>
    <row r="101" spans="2:14" x14ac:dyDescent="0.35">
      <c r="B101" s="3">
        <v>43564</v>
      </c>
      <c r="C101" s="4">
        <v>395003</v>
      </c>
      <c r="D101" s="5">
        <v>0.19</v>
      </c>
      <c r="E101" s="4">
        <v>34</v>
      </c>
      <c r="F101" s="4">
        <v>22</v>
      </c>
      <c r="G101" s="4">
        <v>25</v>
      </c>
      <c r="H101" s="4">
        <v>400</v>
      </c>
      <c r="I101" s="4">
        <v>34</v>
      </c>
      <c r="J101" s="5">
        <v>0.95</v>
      </c>
      <c r="K101" s="11">
        <f>'Session Details'!L101</f>
        <v>0.25749999769769227</v>
      </c>
      <c r="L101" s="11">
        <f>'Session Details'!M101</f>
        <v>0.39599997496519718</v>
      </c>
      <c r="M101" s="11">
        <f>'Session Details'!N101</f>
        <v>0.69349975638028516</v>
      </c>
      <c r="N101" s="11">
        <f>'Session Details'!O101</f>
        <v>0.86099974800864976</v>
      </c>
    </row>
    <row r="102" spans="2:14" x14ac:dyDescent="0.35">
      <c r="B102" s="3">
        <v>43565</v>
      </c>
      <c r="C102" s="4">
        <v>395190</v>
      </c>
      <c r="D102" s="5">
        <v>0.19</v>
      </c>
      <c r="E102" s="4">
        <v>32</v>
      </c>
      <c r="F102" s="4">
        <v>20</v>
      </c>
      <c r="G102" s="4">
        <v>25</v>
      </c>
      <c r="H102" s="4">
        <v>384</v>
      </c>
      <c r="I102" s="4">
        <v>30</v>
      </c>
      <c r="J102" s="5">
        <v>0.95</v>
      </c>
      <c r="K102" s="11">
        <f>'Session Details'!L102</f>
        <v>0.24999996511655004</v>
      </c>
      <c r="L102" s="11">
        <f>'Session Details'!M102</f>
        <v>0.38400004762754369</v>
      </c>
      <c r="M102" s="11">
        <f>'Session Details'!N102</f>
        <v>0.73730000155037556</v>
      </c>
      <c r="N102" s="11">
        <f>'Session Details'!O102</f>
        <v>0.79539939242961788</v>
      </c>
    </row>
    <row r="103" spans="2:14" x14ac:dyDescent="0.35">
      <c r="B103" s="3">
        <v>43566</v>
      </c>
      <c r="C103" s="4">
        <v>394581</v>
      </c>
      <c r="D103" s="5">
        <v>0.18</v>
      </c>
      <c r="E103" s="4">
        <v>35</v>
      </c>
      <c r="F103" s="4">
        <v>19</v>
      </c>
      <c r="G103" s="4">
        <v>25</v>
      </c>
      <c r="H103" s="4">
        <v>387</v>
      </c>
      <c r="I103" s="4">
        <v>36</v>
      </c>
      <c r="J103" s="5">
        <v>0.91</v>
      </c>
      <c r="K103" s="11">
        <f>'Session Details'!L103</f>
        <v>0.24749997249348119</v>
      </c>
      <c r="L103" s="11">
        <f>'Session Details'!M103</f>
        <v>0.38799997414952425</v>
      </c>
      <c r="M103" s="11">
        <f>'Session Details'!N103</f>
        <v>0.75919979406836124</v>
      </c>
      <c r="N103" s="11">
        <f>'Session Details'!O103</f>
        <v>0.80360028906556957</v>
      </c>
    </row>
    <row r="104" spans="2:14" x14ac:dyDescent="0.35">
      <c r="B104" s="3">
        <v>43567</v>
      </c>
      <c r="C104" s="4">
        <v>406144</v>
      </c>
      <c r="D104" s="5">
        <v>0.17</v>
      </c>
      <c r="E104" s="4">
        <v>32</v>
      </c>
      <c r="F104" s="4">
        <v>17</v>
      </c>
      <c r="G104" s="4">
        <v>28</v>
      </c>
      <c r="H104" s="4">
        <v>360</v>
      </c>
      <c r="I104" s="4">
        <v>32</v>
      </c>
      <c r="J104" s="5">
        <v>0.95</v>
      </c>
      <c r="K104" s="11">
        <f>'Session Details'!L104</f>
        <v>0.24499995710437156</v>
      </c>
      <c r="L104" s="11">
        <f>'Session Details'!M104</f>
        <v>0.38000003956705725</v>
      </c>
      <c r="M104" s="11">
        <f>'Session Details'!N104</f>
        <v>0.72999963556661585</v>
      </c>
      <c r="N104" s="11">
        <f>'Session Details'!O104</f>
        <v>0.8118003731343284</v>
      </c>
    </row>
    <row r="105" spans="2:14" x14ac:dyDescent="0.35">
      <c r="B105" s="3">
        <v>43568</v>
      </c>
      <c r="C105" s="4">
        <v>381621</v>
      </c>
      <c r="D105" s="5">
        <v>0.17</v>
      </c>
      <c r="E105" s="4">
        <v>31</v>
      </c>
      <c r="F105" s="4">
        <v>21</v>
      </c>
      <c r="G105" s="4">
        <v>25</v>
      </c>
      <c r="H105" s="4">
        <v>366</v>
      </c>
      <c r="I105" s="4">
        <v>32</v>
      </c>
      <c r="J105" s="5">
        <v>0.91</v>
      </c>
      <c r="K105" s="11">
        <f>'Session Details'!L105</f>
        <v>0.21209999220311987</v>
      </c>
      <c r="L105" s="11">
        <f>'Session Details'!M105</f>
        <v>0.3399999846831675</v>
      </c>
      <c r="M105" s="11">
        <f>'Session Details'!N105</f>
        <v>0.67999981980196234</v>
      </c>
      <c r="N105" s="11">
        <f>'Session Details'!O105</f>
        <v>0.75660008612408491</v>
      </c>
    </row>
    <row r="106" spans="2:14" x14ac:dyDescent="0.35">
      <c r="B106" s="3">
        <v>43569</v>
      </c>
      <c r="C106" s="4">
        <v>396665</v>
      </c>
      <c r="D106" s="5">
        <v>0.17</v>
      </c>
      <c r="E106" s="4">
        <v>38</v>
      </c>
      <c r="F106" s="4">
        <v>22</v>
      </c>
      <c r="G106" s="4">
        <v>29</v>
      </c>
      <c r="H106" s="4">
        <v>395</v>
      </c>
      <c r="I106" s="4">
        <v>35</v>
      </c>
      <c r="J106" s="5">
        <v>0.95</v>
      </c>
      <c r="K106" s="11">
        <f>'Session Details'!L106</f>
        <v>0.20999999143199985</v>
      </c>
      <c r="L106" s="11">
        <f>'Session Details'!M106</f>
        <v>0.35359995250879722</v>
      </c>
      <c r="M106" s="11">
        <f>'Session Details'!N106</f>
        <v>0.68000003461539127</v>
      </c>
      <c r="N106" s="11">
        <f>'Session Details'!O106</f>
        <v>0.81900011580883991</v>
      </c>
    </row>
    <row r="107" spans="2:14" x14ac:dyDescent="0.35">
      <c r="B107" s="3">
        <v>43570</v>
      </c>
      <c r="C107" s="4">
        <v>406139</v>
      </c>
      <c r="D107" s="5">
        <v>0.17</v>
      </c>
      <c r="E107" s="4">
        <v>31</v>
      </c>
      <c r="F107" s="4">
        <v>17</v>
      </c>
      <c r="G107" s="4">
        <v>26</v>
      </c>
      <c r="H107" s="4">
        <v>360</v>
      </c>
      <c r="I107" s="4">
        <v>35</v>
      </c>
      <c r="J107" s="5">
        <v>0.94</v>
      </c>
      <c r="K107" s="11">
        <f>'Session Details'!L107</f>
        <v>0.25999999050594758</v>
      </c>
      <c r="L107" s="11">
        <f>'Session Details'!M107</f>
        <v>0.41199989848666624</v>
      </c>
      <c r="M107" s="11">
        <f>'Session Details'!N107</f>
        <v>0.76650004209929223</v>
      </c>
      <c r="N107" s="11">
        <f>'Session Details'!O107</f>
        <v>0.81999998843704058</v>
      </c>
    </row>
    <row r="108" spans="2:14" x14ac:dyDescent="0.35">
      <c r="B108" s="3">
        <v>43571</v>
      </c>
      <c r="C108" s="4">
        <v>400491</v>
      </c>
      <c r="D108" s="5">
        <v>0.18</v>
      </c>
      <c r="E108" s="4">
        <v>33</v>
      </c>
      <c r="F108" s="4">
        <v>22</v>
      </c>
      <c r="G108" s="4">
        <v>25</v>
      </c>
      <c r="H108" s="4">
        <v>394</v>
      </c>
      <c r="I108" s="4">
        <v>30</v>
      </c>
      <c r="J108" s="5">
        <v>0.92</v>
      </c>
      <c r="K108" s="11">
        <f>'Session Details'!L108</f>
        <v>0.25999996280887561</v>
      </c>
      <c r="L108" s="11">
        <f>'Session Details'!M108</f>
        <v>0.3839999468698147</v>
      </c>
      <c r="M108" s="11">
        <f>'Session Details'!N108</f>
        <v>0.70810012820461654</v>
      </c>
      <c r="N108" s="11">
        <f>'Session Details'!O108</f>
        <v>0.81179990956675963</v>
      </c>
    </row>
    <row r="109" spans="2:14" x14ac:dyDescent="0.35">
      <c r="B109" s="3">
        <v>43572</v>
      </c>
      <c r="C109" s="4">
        <v>400313</v>
      </c>
      <c r="D109" s="5">
        <v>0.18</v>
      </c>
      <c r="E109" s="4">
        <v>31</v>
      </c>
      <c r="F109" s="4">
        <v>17</v>
      </c>
      <c r="G109" s="4">
        <v>30</v>
      </c>
      <c r="H109" s="4">
        <v>387</v>
      </c>
      <c r="I109" s="4">
        <v>35</v>
      </c>
      <c r="J109" s="5">
        <v>0.92</v>
      </c>
      <c r="K109" s="11">
        <f>'Session Details'!L109</f>
        <v>0.24249998164992312</v>
      </c>
      <c r="L109" s="11">
        <f>'Session Details'!M109</f>
        <v>0.41199999473597038</v>
      </c>
      <c r="M109" s="11">
        <f>'Session Details'!N109</f>
        <v>0.70810006219549648</v>
      </c>
      <c r="N109" s="11">
        <f>'Session Details'!O109</f>
        <v>0.86099942968903553</v>
      </c>
    </row>
    <row r="110" spans="2:14" x14ac:dyDescent="0.35">
      <c r="B110" s="3">
        <v>43573</v>
      </c>
      <c r="C110" s="4">
        <v>389107</v>
      </c>
      <c r="D110" s="5">
        <v>0.28999999999999998</v>
      </c>
      <c r="E110" s="4">
        <v>32</v>
      </c>
      <c r="F110" s="4">
        <v>18</v>
      </c>
      <c r="G110" s="4">
        <v>28</v>
      </c>
      <c r="H110" s="4">
        <v>364</v>
      </c>
      <c r="I110" s="4">
        <v>40</v>
      </c>
      <c r="J110" s="5">
        <v>0.91</v>
      </c>
      <c r="K110" s="11">
        <f>'Session Details'!L110</f>
        <v>0.23749997094706898</v>
      </c>
      <c r="L110" s="11">
        <f>'Session Details'!M110</f>
        <v>0.67199992761866711</v>
      </c>
      <c r="M110" s="11">
        <f>'Session Details'!N110</f>
        <v>0.73000015661961026</v>
      </c>
      <c r="N110" s="11">
        <f>'Session Details'!O110</f>
        <v>0.78719987834787986</v>
      </c>
    </row>
    <row r="111" spans="2:14" x14ac:dyDescent="0.35">
      <c r="B111" s="3">
        <v>43574</v>
      </c>
      <c r="C111" s="4">
        <v>384879</v>
      </c>
      <c r="D111" s="5">
        <v>0.18</v>
      </c>
      <c r="E111" s="4">
        <v>39</v>
      </c>
      <c r="F111" s="4">
        <v>17</v>
      </c>
      <c r="G111" s="4">
        <v>27</v>
      </c>
      <c r="H111" s="4">
        <v>351</v>
      </c>
      <c r="I111" s="4">
        <v>36</v>
      </c>
      <c r="J111" s="5">
        <v>0.95</v>
      </c>
      <c r="K111" s="11">
        <f>'Session Details'!L111</f>
        <v>0.24999996614253353</v>
      </c>
      <c r="L111" s="11">
        <f>'Session Details'!M111</f>
        <v>0.41199991838092309</v>
      </c>
      <c r="M111" s="11">
        <f>'Session Details'!N111</f>
        <v>0.76649998707060718</v>
      </c>
      <c r="N111" s="11">
        <f>'Session Details'!O111</f>
        <v>0.81180011710458899</v>
      </c>
    </row>
    <row r="112" spans="2:14" x14ac:dyDescent="0.35">
      <c r="B112" s="3">
        <v>43575</v>
      </c>
      <c r="C112" s="4">
        <v>384256</v>
      </c>
      <c r="D112" s="5">
        <v>0.18</v>
      </c>
      <c r="E112" s="4">
        <v>35</v>
      </c>
      <c r="F112" s="4">
        <v>17</v>
      </c>
      <c r="G112" s="4">
        <v>29</v>
      </c>
      <c r="H112" s="4">
        <v>395</v>
      </c>
      <c r="I112" s="4">
        <v>34</v>
      </c>
      <c r="J112" s="5">
        <v>0.94</v>
      </c>
      <c r="K112" s="11">
        <f>'Session Details'!L112</f>
        <v>0.21629998866133376</v>
      </c>
      <c r="L112" s="11">
        <f>'Session Details'!M112</f>
        <v>0.34339992401604735</v>
      </c>
      <c r="M112" s="11">
        <f>'Session Details'!N112</f>
        <v>0.64599989518172185</v>
      </c>
      <c r="N112" s="11">
        <f>'Session Details'!O112</f>
        <v>0.74880018608018895</v>
      </c>
    </row>
    <row r="113" spans="2:14" x14ac:dyDescent="0.35">
      <c r="B113" s="3">
        <v>43576</v>
      </c>
      <c r="C113" s="4">
        <v>405625</v>
      </c>
      <c r="D113" s="5">
        <v>0.17</v>
      </c>
      <c r="E113" s="4">
        <v>34</v>
      </c>
      <c r="F113" s="4">
        <v>18</v>
      </c>
      <c r="G113" s="4">
        <v>25</v>
      </c>
      <c r="H113" s="4">
        <v>380</v>
      </c>
      <c r="I113" s="4">
        <v>34</v>
      </c>
      <c r="J113" s="5">
        <v>0.94</v>
      </c>
      <c r="K113" s="11">
        <f>'Session Details'!L113</f>
        <v>0.21629999910035999</v>
      </c>
      <c r="L113" s="11">
        <f>'Session Details'!M113</f>
        <v>0.35019997447029072</v>
      </c>
      <c r="M113" s="11">
        <f>'Session Details'!N113</f>
        <v>0.66639991199923765</v>
      </c>
      <c r="N113" s="11">
        <f>'Session Details'!O113</f>
        <v>0.81899990325093819</v>
      </c>
    </row>
    <row r="114" spans="2:14" x14ac:dyDescent="0.35">
      <c r="B114" s="3">
        <v>43577</v>
      </c>
      <c r="C114" s="4">
        <v>385119</v>
      </c>
      <c r="D114" s="5">
        <v>0.19</v>
      </c>
      <c r="E114" s="4">
        <v>31</v>
      </c>
      <c r="F114" s="4">
        <v>17</v>
      </c>
      <c r="G114" s="4">
        <v>26</v>
      </c>
      <c r="H114" s="4">
        <v>383</v>
      </c>
      <c r="I114" s="4">
        <v>33</v>
      </c>
      <c r="J114" s="5">
        <v>0.95</v>
      </c>
      <c r="K114" s="11">
        <f>'Session Details'!L114</f>
        <v>0.2574999834521628</v>
      </c>
      <c r="L114" s="11">
        <f>'Session Details'!M114</f>
        <v>0.41199986737514172</v>
      </c>
      <c r="M114" s="11">
        <f>'Session Details'!N114</f>
        <v>0.76649989691802989</v>
      </c>
      <c r="N114" s="11">
        <f>'Session Details'!O114</f>
        <v>0.86100017164404918</v>
      </c>
    </row>
    <row r="115" spans="2:14" x14ac:dyDescent="0.35">
      <c r="B115" s="3">
        <v>43578</v>
      </c>
      <c r="C115" s="4">
        <v>392946</v>
      </c>
      <c r="D115" s="5">
        <v>0.18</v>
      </c>
      <c r="E115" s="4">
        <v>38</v>
      </c>
      <c r="F115" s="4">
        <v>21</v>
      </c>
      <c r="G115" s="4">
        <v>27</v>
      </c>
      <c r="H115" s="4">
        <v>390</v>
      </c>
      <c r="I115" s="4">
        <v>37</v>
      </c>
      <c r="J115" s="5">
        <v>0.93</v>
      </c>
      <c r="K115" s="11">
        <f>'Session Details'!L115</f>
        <v>0.23749995940667931</v>
      </c>
      <c r="L115" s="11">
        <f>'Session Details'!M115</f>
        <v>0.38399999673467655</v>
      </c>
      <c r="M115" s="11">
        <f>'Session Details'!N115</f>
        <v>0.75189972310652164</v>
      </c>
      <c r="N115" s="11">
        <f>'Session Details'!O115</f>
        <v>0.81180010560042748</v>
      </c>
    </row>
    <row r="116" spans="2:14" x14ac:dyDescent="0.35">
      <c r="B116" s="3">
        <v>43579</v>
      </c>
      <c r="C116" s="4">
        <v>394455</v>
      </c>
      <c r="D116" s="5">
        <v>0.17</v>
      </c>
      <c r="E116" s="4">
        <v>37</v>
      </c>
      <c r="F116" s="4">
        <v>18</v>
      </c>
      <c r="G116" s="4">
        <v>25</v>
      </c>
      <c r="H116" s="4">
        <v>383</v>
      </c>
      <c r="I116" s="4">
        <v>39</v>
      </c>
      <c r="J116" s="5">
        <v>0.94</v>
      </c>
      <c r="K116" s="11">
        <f>'Session Details'!L116</f>
        <v>0.2624999654653839</v>
      </c>
      <c r="L116" s="11">
        <f>'Session Details'!M116</f>
        <v>0.40800003367947768</v>
      </c>
      <c r="M116" s="11">
        <f>'Session Details'!N116</f>
        <v>0.7591996653377342</v>
      </c>
      <c r="N116" s="11">
        <f>'Session Details'!O116</f>
        <v>0.83639995175108994</v>
      </c>
    </row>
    <row r="117" spans="2:14" x14ac:dyDescent="0.35">
      <c r="B117" s="3">
        <v>43580</v>
      </c>
      <c r="C117" s="4">
        <v>393483</v>
      </c>
      <c r="D117" s="5">
        <v>0.17</v>
      </c>
      <c r="E117" s="4">
        <v>30</v>
      </c>
      <c r="F117" s="4">
        <v>17</v>
      </c>
      <c r="G117" s="4">
        <v>28</v>
      </c>
      <c r="H117" s="4">
        <v>383</v>
      </c>
      <c r="I117" s="4">
        <v>38</v>
      </c>
      <c r="J117" s="5">
        <v>0.91</v>
      </c>
      <c r="K117" s="11">
        <f>'Session Details'!L117</f>
        <v>0.24999996710988942</v>
      </c>
      <c r="L117" s="11">
        <f>'Session Details'!M117</f>
        <v>0.38399989755825542</v>
      </c>
      <c r="M117" s="11">
        <f>'Session Details'!N117</f>
        <v>0.69350013498654928</v>
      </c>
      <c r="N117" s="11">
        <f>'Session Details'!O117</f>
        <v>0.84459992648928361</v>
      </c>
    </row>
    <row r="118" spans="2:14" x14ac:dyDescent="0.35">
      <c r="B118" s="3">
        <v>43581</v>
      </c>
      <c r="C118" s="4">
        <v>387973</v>
      </c>
      <c r="D118" s="5">
        <v>0.17</v>
      </c>
      <c r="E118" s="4">
        <v>38</v>
      </c>
      <c r="F118" s="4">
        <v>19</v>
      </c>
      <c r="G118" s="4">
        <v>30</v>
      </c>
      <c r="H118" s="4">
        <v>367</v>
      </c>
      <c r="I118" s="4">
        <v>30</v>
      </c>
      <c r="J118" s="5">
        <v>0.94</v>
      </c>
      <c r="K118" s="11">
        <f>'Session Details'!L118</f>
        <v>0.25999997201116104</v>
      </c>
      <c r="L118" s="11">
        <f>'Session Details'!M118</f>
        <v>0.37999992360365714</v>
      </c>
      <c r="M118" s="11">
        <f>'Session Details'!N118</f>
        <v>0.70079996856417792</v>
      </c>
      <c r="N118" s="11">
        <f>'Session Details'!O118</f>
        <v>0.85279975172142208</v>
      </c>
    </row>
    <row r="119" spans="2:14" x14ac:dyDescent="0.35">
      <c r="B119" s="3">
        <v>43582</v>
      </c>
      <c r="C119" s="4">
        <v>388059</v>
      </c>
      <c r="D119" s="5">
        <v>0.19</v>
      </c>
      <c r="E119" s="4">
        <v>31</v>
      </c>
      <c r="F119" s="4">
        <v>20</v>
      </c>
      <c r="G119" s="4">
        <v>29</v>
      </c>
      <c r="H119" s="4">
        <v>366</v>
      </c>
      <c r="I119" s="4">
        <v>36</v>
      </c>
      <c r="J119" s="5">
        <v>0.94</v>
      </c>
      <c r="K119" s="11">
        <f>'Session Details'!L119</f>
        <v>0.21209998133416308</v>
      </c>
      <c r="L119" s="11">
        <f>'Session Details'!M119</f>
        <v>0.32980000042011887</v>
      </c>
      <c r="M119" s="11">
        <f>'Session Details'!N119</f>
        <v>0.71400004913457926</v>
      </c>
      <c r="N119" s="11">
        <f>'Session Details'!O119</f>
        <v>0.74099976806481949</v>
      </c>
    </row>
    <row r="120" spans="2:14" x14ac:dyDescent="0.35">
      <c r="B120" s="3">
        <v>43583</v>
      </c>
      <c r="C120" s="4">
        <v>394554</v>
      </c>
      <c r="D120" s="5">
        <v>0.18</v>
      </c>
      <c r="E120" s="4">
        <v>30</v>
      </c>
      <c r="F120" s="4">
        <v>20</v>
      </c>
      <c r="G120" s="4">
        <v>29</v>
      </c>
      <c r="H120" s="4">
        <v>389</v>
      </c>
      <c r="I120" s="4">
        <v>31</v>
      </c>
      <c r="J120" s="5">
        <v>0.93</v>
      </c>
      <c r="K120" s="11">
        <f>'Session Details'!L120</f>
        <v>0.19949999181381664</v>
      </c>
      <c r="L120" s="11">
        <f>'Session Details'!M120</f>
        <v>0.3535999444936509</v>
      </c>
      <c r="M120" s="11">
        <f>'Session Details'!N120</f>
        <v>0.65960003262136591</v>
      </c>
      <c r="N120" s="11">
        <f>'Session Details'!O120</f>
        <v>0.76439984289263474</v>
      </c>
    </row>
    <row r="121" spans="2:14" x14ac:dyDescent="0.35">
      <c r="B121" s="3">
        <v>43584</v>
      </c>
      <c r="C121" s="4">
        <v>395744</v>
      </c>
      <c r="D121" s="5">
        <v>0.18</v>
      </c>
      <c r="E121" s="4">
        <v>38</v>
      </c>
      <c r="F121" s="4">
        <v>20</v>
      </c>
      <c r="G121" s="4">
        <v>27</v>
      </c>
      <c r="H121" s="4">
        <v>366</v>
      </c>
      <c r="I121" s="4">
        <v>31</v>
      </c>
      <c r="J121" s="5">
        <v>0.91</v>
      </c>
      <c r="K121" s="11">
        <f>'Session Details'!L121</f>
        <v>0.25250000327170047</v>
      </c>
      <c r="L121" s="11">
        <f>'Session Details'!M121</f>
        <v>0.39599999769649252</v>
      </c>
      <c r="M121" s="11">
        <f>'Session Details'!N121</f>
        <v>0.71540000416880556</v>
      </c>
      <c r="N121" s="11">
        <f>'Session Details'!O121</f>
        <v>0.81999934951769449</v>
      </c>
    </row>
    <row r="122" spans="2:14" x14ac:dyDescent="0.35">
      <c r="B122" s="3">
        <v>43585</v>
      </c>
      <c r="C122" s="4">
        <v>405172</v>
      </c>
      <c r="D122" s="5">
        <v>0.17</v>
      </c>
      <c r="E122" s="4">
        <v>33</v>
      </c>
      <c r="F122" s="4">
        <v>19</v>
      </c>
      <c r="G122" s="4">
        <v>27</v>
      </c>
      <c r="H122" s="4">
        <v>380</v>
      </c>
      <c r="I122" s="4">
        <v>34</v>
      </c>
      <c r="J122" s="5">
        <v>0.94</v>
      </c>
      <c r="K122" s="11">
        <f>'Session Details'!L122</f>
        <v>0.25249997389135576</v>
      </c>
      <c r="L122" s="11">
        <f>'Session Details'!M122</f>
        <v>0.40399998571191958</v>
      </c>
      <c r="M122" s="11">
        <f>'Session Details'!N122</f>
        <v>0.69350009586192907</v>
      </c>
      <c r="N122" s="11">
        <f>'Session Details'!O122</f>
        <v>0.83639976138696182</v>
      </c>
    </row>
    <row r="123" spans="2:14" x14ac:dyDescent="0.35">
      <c r="B123" s="3">
        <v>43586</v>
      </c>
      <c r="C123" s="4">
        <v>410255</v>
      </c>
      <c r="D123" s="5">
        <v>0.18</v>
      </c>
      <c r="E123" s="4">
        <v>40</v>
      </c>
      <c r="F123" s="4">
        <v>18</v>
      </c>
      <c r="G123" s="4">
        <v>27</v>
      </c>
      <c r="H123" s="4">
        <v>378</v>
      </c>
      <c r="I123" s="4">
        <v>35</v>
      </c>
      <c r="J123" s="5">
        <v>0.94</v>
      </c>
      <c r="K123" s="11">
        <f>'Session Details'!L123</f>
        <v>0.24249996941219715</v>
      </c>
      <c r="L123" s="11">
        <f>'Session Details'!M123</f>
        <v>0.41199997757594925</v>
      </c>
      <c r="M123" s="11">
        <f>'Session Details'!N123</f>
        <v>0.7445998451455228</v>
      </c>
      <c r="N123" s="11">
        <f>'Session Details'!O123</f>
        <v>0.86100018981394699</v>
      </c>
    </row>
    <row r="124" spans="2:14" x14ac:dyDescent="0.35">
      <c r="B124" s="3">
        <v>43587</v>
      </c>
      <c r="C124" s="4">
        <v>390331</v>
      </c>
      <c r="D124" s="5">
        <v>0.19</v>
      </c>
      <c r="E124" s="4">
        <v>31</v>
      </c>
      <c r="F124" s="4">
        <v>18</v>
      </c>
      <c r="G124" s="4">
        <v>30</v>
      </c>
      <c r="H124" s="4">
        <v>378</v>
      </c>
      <c r="I124" s="4">
        <v>36</v>
      </c>
      <c r="J124" s="5">
        <v>0.95</v>
      </c>
      <c r="K124" s="11">
        <f>'Session Details'!L124</f>
        <v>0.25999999154254289</v>
      </c>
      <c r="L124" s="11">
        <f>'Session Details'!M124</f>
        <v>0.39199989590821704</v>
      </c>
      <c r="M124" s="11">
        <f>'Session Details'!N124</f>
        <v>0.74459998838261043</v>
      </c>
      <c r="N124" s="11">
        <f>'Session Details'!O124</f>
        <v>0.79540020233314634</v>
      </c>
    </row>
    <row r="125" spans="2:14" x14ac:dyDescent="0.35">
      <c r="B125" s="3">
        <v>43588</v>
      </c>
      <c r="C125" s="4">
        <v>400375</v>
      </c>
      <c r="D125" s="5">
        <v>0.18</v>
      </c>
      <c r="E125" s="4">
        <v>37</v>
      </c>
      <c r="F125" s="4">
        <v>18</v>
      </c>
      <c r="G125" s="4">
        <v>27</v>
      </c>
      <c r="H125" s="4">
        <v>365</v>
      </c>
      <c r="I125" s="4">
        <v>37</v>
      </c>
      <c r="J125" s="5">
        <v>0.93</v>
      </c>
      <c r="K125" s="11">
        <f>'Session Details'!L125</f>
        <v>0.25249999448405425</v>
      </c>
      <c r="L125" s="11">
        <f>'Session Details'!M125</f>
        <v>0.40799991185884193</v>
      </c>
      <c r="M125" s="11">
        <f>'Session Details'!N125</f>
        <v>0.72270019885214221</v>
      </c>
      <c r="N125" s="11">
        <f>'Session Details'!O125</f>
        <v>0.81179975970133389</v>
      </c>
    </row>
    <row r="126" spans="2:14" x14ac:dyDescent="0.35">
      <c r="B126" s="3">
        <v>43589</v>
      </c>
      <c r="C126" s="4">
        <v>400472</v>
      </c>
      <c r="D126" s="5">
        <v>0.19</v>
      </c>
      <c r="E126" s="4">
        <v>39</v>
      </c>
      <c r="F126" s="4">
        <v>19</v>
      </c>
      <c r="G126" s="4">
        <v>30</v>
      </c>
      <c r="H126" s="4">
        <v>370</v>
      </c>
      <c r="I126" s="4">
        <v>40</v>
      </c>
      <c r="J126" s="5">
        <v>0.94</v>
      </c>
      <c r="K126" s="11">
        <f>'Session Details'!L126</f>
        <v>0.21629998125035968</v>
      </c>
      <c r="L126" s="11">
        <f>'Session Details'!M126</f>
        <v>0.32639997614058003</v>
      </c>
      <c r="M126" s="11">
        <f>'Session Details'!N126</f>
        <v>0.65279982224915944</v>
      </c>
      <c r="N126" s="11">
        <f>'Session Details'!O126</f>
        <v>0.74879992024643049</v>
      </c>
    </row>
    <row r="127" spans="2:14" x14ac:dyDescent="0.35">
      <c r="B127" s="3">
        <v>43590</v>
      </c>
      <c r="C127" s="4">
        <v>387617</v>
      </c>
      <c r="D127" s="5">
        <v>0.18</v>
      </c>
      <c r="E127" s="4">
        <v>34</v>
      </c>
      <c r="F127" s="4">
        <v>21</v>
      </c>
      <c r="G127" s="4">
        <v>28</v>
      </c>
      <c r="H127" s="4">
        <v>397</v>
      </c>
      <c r="I127" s="4">
        <v>36</v>
      </c>
      <c r="J127" s="5">
        <v>0.93</v>
      </c>
      <c r="K127" s="11">
        <f>'Session Details'!L127</f>
        <v>0.2015999970903771</v>
      </c>
      <c r="L127" s="11">
        <f>'Session Details'!M127</f>
        <v>0.35360001118530648</v>
      </c>
      <c r="M127" s="11">
        <f>'Session Details'!N127</f>
        <v>0.65959980867346935</v>
      </c>
      <c r="N127" s="11">
        <f>'Session Details'!O127</f>
        <v>0.74099990089460743</v>
      </c>
    </row>
    <row r="128" spans="2:14" x14ac:dyDescent="0.35">
      <c r="B128" s="3">
        <v>43591</v>
      </c>
      <c r="C128" s="4">
        <v>388170</v>
      </c>
      <c r="D128" s="5">
        <v>0.18</v>
      </c>
      <c r="E128" s="4">
        <v>32</v>
      </c>
      <c r="F128" s="4">
        <v>18</v>
      </c>
      <c r="G128" s="4">
        <v>29</v>
      </c>
      <c r="H128" s="4">
        <v>359</v>
      </c>
      <c r="I128" s="4">
        <v>35</v>
      </c>
      <c r="J128" s="5">
        <v>0.93</v>
      </c>
      <c r="K128" s="11">
        <f>'Session Details'!L128</f>
        <v>0.23749998848846129</v>
      </c>
      <c r="L128" s="11">
        <f>'Session Details'!M128</f>
        <v>0.37999983714201296</v>
      </c>
      <c r="M128" s="11">
        <f>'Session Details'!N128</f>
        <v>0.73000001530620839</v>
      </c>
      <c r="N128" s="11">
        <f>'Session Details'!O128</f>
        <v>0.81180003802090028</v>
      </c>
    </row>
    <row r="129" spans="2:14" x14ac:dyDescent="0.35">
      <c r="B129" s="3">
        <v>43592</v>
      </c>
      <c r="C129" s="4">
        <v>404780</v>
      </c>
      <c r="D129" s="5">
        <v>0.18</v>
      </c>
      <c r="E129" s="4">
        <v>37</v>
      </c>
      <c r="F129" s="4">
        <v>22</v>
      </c>
      <c r="G129" s="4">
        <v>29</v>
      </c>
      <c r="H129" s="4">
        <v>360</v>
      </c>
      <c r="I129" s="4">
        <v>31</v>
      </c>
      <c r="J129" s="5">
        <v>0.95</v>
      </c>
      <c r="K129" s="11">
        <f>'Session Details'!L129</f>
        <v>0.26249996219249577</v>
      </c>
      <c r="L129" s="11">
        <f>'Session Details'!M129</f>
        <v>0.4079999422165822</v>
      </c>
      <c r="M129" s="11">
        <f>'Session Details'!N129</f>
        <v>0.70809987165139765</v>
      </c>
      <c r="N129" s="11">
        <f>'Session Details'!O129</f>
        <v>0.77900005238319736</v>
      </c>
    </row>
    <row r="130" spans="2:14" x14ac:dyDescent="0.35">
      <c r="B130" s="3">
        <v>43593</v>
      </c>
      <c r="C130" s="4">
        <v>384639</v>
      </c>
      <c r="D130" s="5">
        <v>0.17</v>
      </c>
      <c r="E130" s="4">
        <v>35</v>
      </c>
      <c r="F130" s="4">
        <v>20</v>
      </c>
      <c r="G130" s="4">
        <v>29</v>
      </c>
      <c r="H130" s="4">
        <v>390</v>
      </c>
      <c r="I130" s="4">
        <v>38</v>
      </c>
      <c r="J130" s="5">
        <v>0.91</v>
      </c>
      <c r="K130" s="11">
        <f>'Session Details'!L130</f>
        <v>0.25249996634245347</v>
      </c>
      <c r="L130" s="11">
        <f>'Session Details'!M130</f>
        <v>0.37999992705558661</v>
      </c>
      <c r="M130" s="11">
        <f>'Session Details'!N130</f>
        <v>0.71540018656588511</v>
      </c>
      <c r="N130" s="11">
        <f>'Session Details'!O130</f>
        <v>0.85280002453247739</v>
      </c>
    </row>
    <row r="131" spans="2:14" x14ac:dyDescent="0.35">
      <c r="B131" s="3">
        <v>43594</v>
      </c>
      <c r="C131" s="4">
        <v>403290</v>
      </c>
      <c r="D131" s="5">
        <v>0.18</v>
      </c>
      <c r="E131" s="4">
        <v>32</v>
      </c>
      <c r="F131" s="4">
        <v>19</v>
      </c>
      <c r="G131" s="4">
        <v>26</v>
      </c>
      <c r="H131" s="4">
        <v>385</v>
      </c>
      <c r="I131" s="4">
        <v>40</v>
      </c>
      <c r="J131" s="5">
        <v>0.95</v>
      </c>
      <c r="K131" s="11">
        <f>'Session Details'!L131</f>
        <v>0.24249998338540821</v>
      </c>
      <c r="L131" s="11">
        <f>'Session Details'!M131</f>
        <v>0.40399995223610397</v>
      </c>
      <c r="M131" s="11">
        <f>'Session Details'!N131</f>
        <v>0.72999993216456105</v>
      </c>
      <c r="N131" s="11">
        <f>'Session Details'!O131</f>
        <v>0.80359979211290156</v>
      </c>
    </row>
    <row r="132" spans="2:14" x14ac:dyDescent="0.35">
      <c r="B132" s="3">
        <v>43595</v>
      </c>
      <c r="C132" s="4">
        <v>406517</v>
      </c>
      <c r="D132" s="5">
        <v>0.19</v>
      </c>
      <c r="E132" s="4">
        <v>40</v>
      </c>
      <c r="F132" s="4">
        <v>21</v>
      </c>
      <c r="G132" s="4">
        <v>25</v>
      </c>
      <c r="H132" s="4">
        <v>377</v>
      </c>
      <c r="I132" s="4">
        <v>39</v>
      </c>
      <c r="J132" s="5">
        <v>0.92</v>
      </c>
      <c r="K132" s="11">
        <f>'Session Details'!L132</f>
        <v>0.247499978638382</v>
      </c>
      <c r="L132" s="11">
        <f>'Session Details'!M132</f>
        <v>0.41599987724860416</v>
      </c>
      <c r="M132" s="11">
        <f>'Session Details'!N132</f>
        <v>0.72999987090444352</v>
      </c>
      <c r="N132" s="11">
        <f>'Session Details'!O132</f>
        <v>0.84460024897004593</v>
      </c>
    </row>
    <row r="133" spans="2:14" x14ac:dyDescent="0.35">
      <c r="B133" s="3">
        <v>43596</v>
      </c>
      <c r="C133" s="4">
        <v>398563</v>
      </c>
      <c r="D133" s="5">
        <v>0.17</v>
      </c>
      <c r="E133" s="4">
        <v>39</v>
      </c>
      <c r="F133" s="4">
        <v>17</v>
      </c>
      <c r="G133" s="4">
        <v>28</v>
      </c>
      <c r="H133" s="4">
        <v>367</v>
      </c>
      <c r="I133" s="4">
        <v>33</v>
      </c>
      <c r="J133" s="5">
        <v>0.91</v>
      </c>
      <c r="K133" s="11">
        <f>'Session Details'!L133</f>
        <v>0.22049998531259976</v>
      </c>
      <c r="L133" s="11">
        <f>'Session Details'!M133</f>
        <v>0.33659999011504677</v>
      </c>
      <c r="M133" s="11">
        <f>'Session Details'!N133</f>
        <v>0.6527998022578505</v>
      </c>
      <c r="N133" s="11">
        <f>'Session Details'!O133</f>
        <v>0.75660009772580161</v>
      </c>
    </row>
    <row r="134" spans="2:14" x14ac:dyDescent="0.35">
      <c r="B134" s="3">
        <v>43597</v>
      </c>
      <c r="C134" s="4">
        <v>398790</v>
      </c>
      <c r="D134" s="5">
        <v>0.17</v>
      </c>
      <c r="E134" s="4">
        <v>34</v>
      </c>
      <c r="F134" s="4">
        <v>22</v>
      </c>
      <c r="G134" s="4">
        <v>27</v>
      </c>
      <c r="H134" s="4">
        <v>350</v>
      </c>
      <c r="I134" s="4">
        <v>30</v>
      </c>
      <c r="J134" s="5">
        <v>0.94</v>
      </c>
      <c r="K134" s="11">
        <f>'Session Details'!L134</f>
        <v>0.20999999460666943</v>
      </c>
      <c r="L134" s="11">
        <f>'Session Details'!M134</f>
        <v>0.35359993657532435</v>
      </c>
      <c r="M134" s="11">
        <f>'Session Details'!N134</f>
        <v>0.65960003360000707</v>
      </c>
      <c r="N134" s="11">
        <f>'Session Details'!O134</f>
        <v>0.74879987054353048</v>
      </c>
    </row>
    <row r="135" spans="2:14" x14ac:dyDescent="0.35">
      <c r="B135" s="3">
        <v>43598</v>
      </c>
      <c r="C135" s="4">
        <v>385035</v>
      </c>
      <c r="D135" s="5">
        <v>0.17</v>
      </c>
      <c r="E135" s="4">
        <v>37</v>
      </c>
      <c r="F135" s="4">
        <v>19</v>
      </c>
      <c r="G135" s="4">
        <v>25</v>
      </c>
      <c r="H135" s="4">
        <v>395</v>
      </c>
      <c r="I135" s="4">
        <v>33</v>
      </c>
      <c r="J135" s="5">
        <v>0.93</v>
      </c>
      <c r="K135" s="11">
        <f>'Session Details'!L135</f>
        <v>0.2600000019185898</v>
      </c>
      <c r="L135" s="11">
        <f>'Session Details'!M135</f>
        <v>0.37999995572485062</v>
      </c>
      <c r="M135" s="11">
        <f>'Session Details'!N135</f>
        <v>0.69349990241988968</v>
      </c>
      <c r="N135" s="11">
        <f>'Session Details'!O135</f>
        <v>0.86099994189721685</v>
      </c>
    </row>
    <row r="136" spans="2:14" x14ac:dyDescent="0.35">
      <c r="B136" s="3">
        <v>43599</v>
      </c>
      <c r="C136" s="4">
        <v>387454</v>
      </c>
      <c r="D136" s="5">
        <v>0.17</v>
      </c>
      <c r="E136" s="4">
        <v>35</v>
      </c>
      <c r="F136" s="4">
        <v>20</v>
      </c>
      <c r="G136" s="4">
        <v>27</v>
      </c>
      <c r="H136" s="4">
        <v>389</v>
      </c>
      <c r="I136" s="4">
        <v>35</v>
      </c>
      <c r="J136" s="5">
        <v>0.91</v>
      </c>
      <c r="K136" s="11">
        <f>'Session Details'!L136</f>
        <v>0.24999996710988942</v>
      </c>
      <c r="L136" s="11">
        <f>'Session Details'!M136</f>
        <v>0.39999992983442151</v>
      </c>
      <c r="M136" s="11">
        <f>'Session Details'!N136</f>
        <v>0.75920002455795677</v>
      </c>
      <c r="N136" s="11">
        <f>'Session Details'!O136</f>
        <v>0.82820024502965828</v>
      </c>
    </row>
    <row r="137" spans="2:14" x14ac:dyDescent="0.35">
      <c r="B137" s="3">
        <v>43600</v>
      </c>
      <c r="C137" s="4">
        <v>381343</v>
      </c>
      <c r="D137" s="5">
        <v>0.17</v>
      </c>
      <c r="E137" s="4">
        <v>37</v>
      </c>
      <c r="F137" s="4">
        <v>20</v>
      </c>
      <c r="G137" s="4">
        <v>29</v>
      </c>
      <c r="H137" s="4">
        <v>399</v>
      </c>
      <c r="I137" s="4">
        <v>36</v>
      </c>
      <c r="J137" s="5">
        <v>0.95</v>
      </c>
      <c r="K137" s="11">
        <f>'Session Details'!L137</f>
        <v>0.24999998860243672</v>
      </c>
      <c r="L137" s="11">
        <f>'Session Details'!M137</f>
        <v>0.41999986140562418</v>
      </c>
      <c r="M137" s="11">
        <f>'Session Details'!N137</f>
        <v>0.71539991567970973</v>
      </c>
      <c r="N137" s="11">
        <f>'Session Details'!O137</f>
        <v>0.7790003240971709</v>
      </c>
    </row>
    <row r="138" spans="2:14" x14ac:dyDescent="0.35">
      <c r="B138" s="3">
        <v>43601</v>
      </c>
      <c r="C138" s="4">
        <v>382648</v>
      </c>
      <c r="D138" s="5">
        <v>0.17</v>
      </c>
      <c r="E138" s="4">
        <v>37</v>
      </c>
      <c r="F138" s="4">
        <v>22</v>
      </c>
      <c r="G138" s="4">
        <v>26</v>
      </c>
      <c r="H138" s="4">
        <v>390</v>
      </c>
      <c r="I138" s="4">
        <v>39</v>
      </c>
      <c r="J138" s="5">
        <v>0.93</v>
      </c>
      <c r="K138" s="11">
        <f>'Session Details'!L138</f>
        <v>0.25749996914432954</v>
      </c>
      <c r="L138" s="11">
        <f>'Session Details'!M138</f>
        <v>0.41599993215899572</v>
      </c>
      <c r="M138" s="11">
        <f>'Session Details'!N138</f>
        <v>0.74459999025069024</v>
      </c>
      <c r="N138" s="11">
        <f>'Session Details'!O138</f>
        <v>0.81999973813295945</v>
      </c>
    </row>
    <row r="139" spans="2:14" x14ac:dyDescent="0.35">
      <c r="B139" s="3">
        <v>43602</v>
      </c>
      <c r="C139" s="4">
        <v>391140</v>
      </c>
      <c r="D139" s="5">
        <v>0.18</v>
      </c>
      <c r="E139" s="4">
        <v>32</v>
      </c>
      <c r="F139" s="4">
        <v>17</v>
      </c>
      <c r="G139" s="4">
        <v>25</v>
      </c>
      <c r="H139" s="4">
        <v>378</v>
      </c>
      <c r="I139" s="4">
        <v>35</v>
      </c>
      <c r="J139" s="5">
        <v>0.91</v>
      </c>
      <c r="K139" s="11">
        <f>'Session Details'!L139</f>
        <v>0.25749998558028309</v>
      </c>
      <c r="L139" s="11">
        <f>'Session Details'!M139</f>
        <v>0.39199985543812416</v>
      </c>
      <c r="M139" s="11">
        <f>'Session Details'!N139</f>
        <v>0.71539994429878895</v>
      </c>
      <c r="N139" s="11">
        <f>'Session Details'!O139</f>
        <v>0.79540007074542451</v>
      </c>
    </row>
    <row r="140" spans="2:14" x14ac:dyDescent="0.35">
      <c r="B140" s="3">
        <v>43603</v>
      </c>
      <c r="C140" s="4">
        <v>389840</v>
      </c>
      <c r="D140" s="5">
        <v>0.17</v>
      </c>
      <c r="E140" s="4">
        <v>35</v>
      </c>
      <c r="F140" s="4">
        <v>22</v>
      </c>
      <c r="G140" s="4">
        <v>26</v>
      </c>
      <c r="H140" s="4">
        <v>377</v>
      </c>
      <c r="I140" s="4">
        <v>35</v>
      </c>
      <c r="J140" s="5">
        <v>0.93</v>
      </c>
      <c r="K140" s="11">
        <f>'Session Details'!L140</f>
        <v>0.20789999944307999</v>
      </c>
      <c r="L140" s="11">
        <f>'Session Details'!M140</f>
        <v>0.35699992467248337</v>
      </c>
      <c r="M140" s="11">
        <f>'Session Details'!N140</f>
        <v>0.64600012606063517</v>
      </c>
      <c r="N140" s="11">
        <f>'Session Details'!O140</f>
        <v>0.81119993606833252</v>
      </c>
    </row>
    <row r="141" spans="2:14" x14ac:dyDescent="0.35">
      <c r="B141" s="3">
        <v>43604</v>
      </c>
      <c r="C141" s="4">
        <v>397741</v>
      </c>
      <c r="D141" s="5">
        <v>0.19</v>
      </c>
      <c r="E141" s="4">
        <v>31</v>
      </c>
      <c r="F141" s="4">
        <v>20</v>
      </c>
      <c r="G141" s="4">
        <v>25</v>
      </c>
      <c r="H141" s="4">
        <v>398</v>
      </c>
      <c r="I141" s="4">
        <v>34</v>
      </c>
      <c r="J141" s="5">
        <v>0.92</v>
      </c>
      <c r="K141" s="11">
        <f>'Session Details'!L141</f>
        <v>0.19949998979510394</v>
      </c>
      <c r="L141" s="11">
        <f>'Session Details'!M141</f>
        <v>0.32639993704324449</v>
      </c>
      <c r="M141" s="11">
        <f>'Session Details'!N141</f>
        <v>0.67320011859652096</v>
      </c>
      <c r="N141" s="11">
        <f>'Session Details'!O141</f>
        <v>0.74879997444591684</v>
      </c>
    </row>
    <row r="142" spans="2:14" x14ac:dyDescent="0.35">
      <c r="B142" s="3">
        <v>43605</v>
      </c>
      <c r="C142" s="4">
        <v>409012</v>
      </c>
      <c r="D142" s="5">
        <v>0.19</v>
      </c>
      <c r="E142" s="4">
        <v>32</v>
      </c>
      <c r="F142" s="4">
        <v>22</v>
      </c>
      <c r="G142" s="4">
        <v>25</v>
      </c>
      <c r="H142" s="4">
        <v>379</v>
      </c>
      <c r="I142" s="4">
        <v>35</v>
      </c>
      <c r="J142" s="5">
        <v>0.93</v>
      </c>
      <c r="K142" s="11">
        <f>'Session Details'!L142</f>
        <v>0.24499996870649643</v>
      </c>
      <c r="L142" s="11">
        <f>'Session Details'!M142</f>
        <v>0.39199999270122271</v>
      </c>
      <c r="M142" s="11">
        <f>'Session Details'!N142</f>
        <v>0.71539981520314855</v>
      </c>
      <c r="N142" s="11">
        <f>'Session Details'!O142</f>
        <v>0.85280015511774698</v>
      </c>
    </row>
    <row r="143" spans="2:14" x14ac:dyDescent="0.35">
      <c r="B143" s="3">
        <v>43606</v>
      </c>
      <c r="C143" s="4">
        <v>397624</v>
      </c>
      <c r="D143" s="5">
        <v>0.18</v>
      </c>
      <c r="E143" s="4">
        <v>35</v>
      </c>
      <c r="F143" s="4">
        <v>21</v>
      </c>
      <c r="G143" s="4">
        <v>25</v>
      </c>
      <c r="H143" s="4">
        <v>380</v>
      </c>
      <c r="I143" s="4">
        <v>37</v>
      </c>
      <c r="J143" s="5">
        <v>0.94</v>
      </c>
      <c r="K143" s="11">
        <f>'Session Details'!L143</f>
        <v>0.24249997541224722</v>
      </c>
      <c r="L143" s="11">
        <f>'Session Details'!M143</f>
        <v>0.39599992478497353</v>
      </c>
      <c r="M143" s="11">
        <f>'Session Details'!N143</f>
        <v>0.7080999273304871</v>
      </c>
      <c r="N143" s="11">
        <f>'Session Details'!O143</f>
        <v>0.81179982854017207</v>
      </c>
    </row>
    <row r="144" spans="2:14" x14ac:dyDescent="0.35">
      <c r="B144" s="3">
        <v>43607</v>
      </c>
      <c r="C144" s="4">
        <v>387088</v>
      </c>
      <c r="D144" s="5">
        <v>0.18</v>
      </c>
      <c r="E144" s="4">
        <v>35</v>
      </c>
      <c r="F144" s="4">
        <v>17</v>
      </c>
      <c r="G144" s="4">
        <v>25</v>
      </c>
      <c r="H144" s="4">
        <v>398</v>
      </c>
      <c r="I144" s="4">
        <v>37</v>
      </c>
      <c r="J144" s="5">
        <v>0.94</v>
      </c>
      <c r="K144" s="11">
        <f>'Session Details'!L144</f>
        <v>0.25749999555495034</v>
      </c>
      <c r="L144" s="11">
        <f>'Session Details'!M144</f>
        <v>0.41999990439325391</v>
      </c>
      <c r="M144" s="11">
        <f>'Session Details'!N144</f>
        <v>0.76649986067885023</v>
      </c>
      <c r="N144" s="11">
        <f>'Session Details'!O144</f>
        <v>0.81179989704691846</v>
      </c>
    </row>
    <row r="145" spans="2:14" x14ac:dyDescent="0.35">
      <c r="B145" s="3">
        <v>43608</v>
      </c>
      <c r="C145" s="4">
        <v>388159</v>
      </c>
      <c r="D145" s="5">
        <v>0.17</v>
      </c>
      <c r="E145" s="4">
        <v>38</v>
      </c>
      <c r="F145" s="4">
        <v>22</v>
      </c>
      <c r="G145" s="4">
        <v>26</v>
      </c>
      <c r="H145" s="4">
        <v>391</v>
      </c>
      <c r="I145" s="4">
        <v>33</v>
      </c>
      <c r="J145" s="5">
        <v>0.93</v>
      </c>
      <c r="K145" s="11">
        <f>'Session Details'!L145</f>
        <v>0.25249997389135576</v>
      </c>
      <c r="L145" s="11">
        <f>'Session Details'!M145</f>
        <v>0.42000000376002117</v>
      </c>
      <c r="M145" s="11">
        <f>'Session Details'!N145</f>
        <v>0.72269978469402829</v>
      </c>
      <c r="N145" s="11">
        <f>'Session Details'!O145</f>
        <v>0.81180006850278064</v>
      </c>
    </row>
    <row r="146" spans="2:14" x14ac:dyDescent="0.35">
      <c r="B146" s="3">
        <v>43609</v>
      </c>
      <c r="C146" s="4">
        <v>403534</v>
      </c>
      <c r="D146" s="5">
        <v>0.17</v>
      </c>
      <c r="E146" s="4">
        <v>34</v>
      </c>
      <c r="F146" s="4">
        <v>22</v>
      </c>
      <c r="G146" s="4">
        <v>26</v>
      </c>
      <c r="H146" s="4">
        <v>386</v>
      </c>
      <c r="I146" s="4">
        <v>35</v>
      </c>
      <c r="J146" s="5">
        <v>0.92</v>
      </c>
      <c r="K146" s="11">
        <f>'Session Details'!L146</f>
        <v>0.23749998882374873</v>
      </c>
      <c r="L146" s="11">
        <f>'Session Details'!M146</f>
        <v>0.39199985543812416</v>
      </c>
      <c r="M146" s="11">
        <f>'Session Details'!N146</f>
        <v>0.72270016422253591</v>
      </c>
      <c r="N146" s="11">
        <f>'Session Details'!O146</f>
        <v>0.86100015148978237</v>
      </c>
    </row>
    <row r="147" spans="2:14" x14ac:dyDescent="0.35">
      <c r="B147" s="3">
        <v>43610</v>
      </c>
      <c r="C147" s="4">
        <v>398544</v>
      </c>
      <c r="D147" s="5">
        <v>0.19</v>
      </c>
      <c r="E147" s="4">
        <v>31</v>
      </c>
      <c r="F147" s="4">
        <v>19</v>
      </c>
      <c r="G147" s="4">
        <v>30</v>
      </c>
      <c r="H147" s="4">
        <v>396</v>
      </c>
      <c r="I147" s="4">
        <v>37</v>
      </c>
      <c r="J147" s="5">
        <v>0.95</v>
      </c>
      <c r="K147" s="11">
        <f>'Session Details'!L147</f>
        <v>0.21000000042432002</v>
      </c>
      <c r="L147" s="11">
        <f>'Session Details'!M147</f>
        <v>0.35360000161645716</v>
      </c>
      <c r="M147" s="11">
        <f>'Session Details'!N147</f>
        <v>0.70720000000000005</v>
      </c>
      <c r="N147" s="11">
        <f>'Session Details'!O147</f>
        <v>0.74879969295410476</v>
      </c>
    </row>
    <row r="148" spans="2:14" x14ac:dyDescent="0.35">
      <c r="B148" s="3">
        <v>43611</v>
      </c>
      <c r="C148" s="4">
        <v>401029</v>
      </c>
      <c r="D148" s="5">
        <v>0.18</v>
      </c>
      <c r="E148" s="4">
        <v>35</v>
      </c>
      <c r="F148" s="4">
        <v>18</v>
      </c>
      <c r="G148" s="4">
        <v>30</v>
      </c>
      <c r="H148" s="4">
        <v>354</v>
      </c>
      <c r="I148" s="4">
        <v>33</v>
      </c>
      <c r="J148" s="5">
        <v>0.91</v>
      </c>
      <c r="K148" s="11">
        <f>'Session Details'!L148</f>
        <v>0.2078999982984768</v>
      </c>
      <c r="L148" s="11">
        <f>'Session Details'!M148</f>
        <v>0.34339999722426545</v>
      </c>
      <c r="M148" s="11">
        <f>'Session Details'!N148</f>
        <v>0.67999980980954799</v>
      </c>
      <c r="N148" s="11">
        <f>'Session Details'!O148</f>
        <v>0.74100003845763895</v>
      </c>
    </row>
    <row r="149" spans="2:14" x14ac:dyDescent="0.35">
      <c r="B149" s="3">
        <v>43612</v>
      </c>
      <c r="C149" s="4">
        <v>384455</v>
      </c>
      <c r="D149" s="5">
        <v>0.17</v>
      </c>
      <c r="E149" s="4">
        <v>40</v>
      </c>
      <c r="F149" s="4">
        <v>18</v>
      </c>
      <c r="G149" s="4">
        <v>29</v>
      </c>
      <c r="H149" s="4">
        <v>396</v>
      </c>
      <c r="I149" s="4">
        <v>31</v>
      </c>
      <c r="J149" s="5">
        <v>0.91</v>
      </c>
      <c r="K149" s="11">
        <f>'Session Details'!L149</f>
        <v>0.2399999620237902</v>
      </c>
      <c r="L149" s="11">
        <f>'Session Details'!M149</f>
        <v>0.383999868665587</v>
      </c>
      <c r="M149" s="11">
        <f>'Session Details'!N149</f>
        <v>0.74459997167029368</v>
      </c>
      <c r="N149" s="11">
        <f>'Session Details'!O149</f>
        <v>0.77900019715201807</v>
      </c>
    </row>
    <row r="150" spans="2:14" x14ac:dyDescent="0.35">
      <c r="B150" s="3">
        <v>43613</v>
      </c>
      <c r="C150" s="4">
        <v>402546</v>
      </c>
      <c r="D150" s="5">
        <v>0.18</v>
      </c>
      <c r="E150" s="4">
        <v>39</v>
      </c>
      <c r="F150" s="4">
        <v>19</v>
      </c>
      <c r="G150" s="4">
        <v>25</v>
      </c>
      <c r="H150" s="4">
        <v>395</v>
      </c>
      <c r="I150" s="4">
        <v>35</v>
      </c>
      <c r="J150" s="5">
        <v>0.92</v>
      </c>
      <c r="K150" s="11">
        <f>'Session Details'!L150</f>
        <v>0.24249998915258872</v>
      </c>
      <c r="L150" s="11">
        <f>'Session Details'!M150</f>
        <v>0.38799984590421999</v>
      </c>
      <c r="M150" s="11">
        <f>'Session Details'!N150</f>
        <v>0.74460018474259559</v>
      </c>
      <c r="N150" s="11">
        <f>'Session Details'!O150</f>
        <v>0.778999648626991</v>
      </c>
    </row>
    <row r="151" spans="2:14" x14ac:dyDescent="0.35">
      <c r="B151" s="3">
        <v>43614</v>
      </c>
      <c r="C151" s="4">
        <v>405545</v>
      </c>
      <c r="D151" s="5">
        <v>0.18</v>
      </c>
      <c r="E151" s="4">
        <v>39</v>
      </c>
      <c r="F151" s="4">
        <v>18</v>
      </c>
      <c r="G151" s="4">
        <v>28</v>
      </c>
      <c r="H151" s="4">
        <v>352</v>
      </c>
      <c r="I151" s="4">
        <v>32</v>
      </c>
      <c r="J151" s="5">
        <v>0.93</v>
      </c>
      <c r="K151" s="11">
        <f>'Session Details'!L151</f>
        <v>0.25499997019117343</v>
      </c>
      <c r="L151" s="11">
        <f>'Session Details'!M151</f>
        <v>0.40799996198459426</v>
      </c>
      <c r="M151" s="11">
        <f>'Session Details'!N151</f>
        <v>0.71540015411148761</v>
      </c>
      <c r="N151" s="11">
        <f>'Session Details'!O151</f>
        <v>0.82819996027624287</v>
      </c>
    </row>
    <row r="152" spans="2:14" x14ac:dyDescent="0.35">
      <c r="B152" s="3">
        <v>43615</v>
      </c>
      <c r="C152" s="4">
        <v>389665</v>
      </c>
      <c r="D152" s="5">
        <v>0.19</v>
      </c>
      <c r="E152" s="4">
        <v>30</v>
      </c>
      <c r="F152" s="4">
        <v>18</v>
      </c>
      <c r="G152" s="4">
        <v>27</v>
      </c>
      <c r="H152" s="4">
        <v>379</v>
      </c>
      <c r="I152" s="4">
        <v>38</v>
      </c>
      <c r="J152" s="5">
        <v>0.91</v>
      </c>
      <c r="K152" s="11">
        <f>'Session Details'!L152</f>
        <v>0.25249999220936281</v>
      </c>
      <c r="L152" s="11">
        <f>'Session Details'!M152</f>
        <v>0.39199991452978861</v>
      </c>
      <c r="M152" s="11">
        <f>'Session Details'!N152</f>
        <v>0.73730009031589894</v>
      </c>
      <c r="N152" s="11">
        <f>'Session Details'!O152</f>
        <v>0.80360004027945786</v>
      </c>
    </row>
    <row r="153" spans="2:14" x14ac:dyDescent="0.35">
      <c r="B153" s="3">
        <v>43616</v>
      </c>
      <c r="C153" s="4">
        <v>384789</v>
      </c>
      <c r="D153" s="5">
        <v>0.18</v>
      </c>
      <c r="E153" s="4">
        <v>34</v>
      </c>
      <c r="F153" s="4">
        <v>19</v>
      </c>
      <c r="G153" s="4">
        <v>30</v>
      </c>
      <c r="H153" s="4">
        <v>381</v>
      </c>
      <c r="I153" s="4">
        <v>31</v>
      </c>
      <c r="J153" s="5">
        <v>0.95</v>
      </c>
      <c r="K153" s="11">
        <f>'Session Details'!L153</f>
        <v>0.23999998211799797</v>
      </c>
      <c r="L153" s="11">
        <f>'Session Details'!M153</f>
        <v>0.41199986737514172</v>
      </c>
      <c r="M153" s="11">
        <f>'Session Details'!N153</f>
        <v>0.72270000614874907</v>
      </c>
      <c r="N153" s="11">
        <f>'Session Details'!O153</f>
        <v>0.81180000387865803</v>
      </c>
    </row>
    <row r="154" spans="2:14" x14ac:dyDescent="0.35">
      <c r="B154" s="3">
        <v>43617</v>
      </c>
      <c r="C154" s="4">
        <v>406453</v>
      </c>
      <c r="D154" s="5">
        <v>0.17</v>
      </c>
      <c r="E154" s="4">
        <v>34</v>
      </c>
      <c r="F154" s="4">
        <v>21</v>
      </c>
      <c r="G154" s="4">
        <v>26</v>
      </c>
      <c r="H154" s="4">
        <v>358</v>
      </c>
      <c r="I154" s="4">
        <v>36</v>
      </c>
      <c r="J154" s="5">
        <v>0.93</v>
      </c>
      <c r="K154" s="11">
        <f>'Session Details'!L154</f>
        <v>0.2183999945164799</v>
      </c>
      <c r="L154" s="11">
        <f>'Session Details'!M154</f>
        <v>0.35019994943153632</v>
      </c>
      <c r="M154" s="11">
        <f>'Session Details'!N154</f>
        <v>0.65959991777444316</v>
      </c>
      <c r="N154" s="11">
        <f>'Session Details'!O154</f>
        <v>0.75660015174861195</v>
      </c>
    </row>
    <row r="155" spans="2:14" x14ac:dyDescent="0.35">
      <c r="B155" s="3">
        <v>43618</v>
      </c>
      <c r="C155" s="4">
        <v>405943</v>
      </c>
      <c r="D155" s="5">
        <v>0.18</v>
      </c>
      <c r="E155" s="4">
        <v>31</v>
      </c>
      <c r="F155" s="4">
        <v>19</v>
      </c>
      <c r="G155" s="4">
        <v>29</v>
      </c>
      <c r="H155" s="4">
        <v>366</v>
      </c>
      <c r="I155" s="4">
        <v>37</v>
      </c>
      <c r="J155" s="5">
        <v>0.93</v>
      </c>
      <c r="K155" s="11">
        <f>'Session Details'!L155</f>
        <v>0.2099999958661608</v>
      </c>
      <c r="L155" s="11">
        <f>'Session Details'!M155</f>
        <v>0.33319991312375863</v>
      </c>
      <c r="M155" s="11">
        <f>'Session Details'!N155</f>
        <v>0.71400002756996372</v>
      </c>
      <c r="N155" s="11">
        <f>'Session Details'!O155</f>
        <v>0.78780009846415233</v>
      </c>
    </row>
    <row r="156" spans="2:14" x14ac:dyDescent="0.35">
      <c r="B156" s="3">
        <v>43619</v>
      </c>
      <c r="C156" s="4">
        <v>400538</v>
      </c>
      <c r="D156" s="5">
        <v>0.18</v>
      </c>
      <c r="E156" s="4">
        <v>30</v>
      </c>
      <c r="F156" s="4">
        <v>19</v>
      </c>
      <c r="G156" s="4">
        <v>29</v>
      </c>
      <c r="H156" s="4">
        <v>389</v>
      </c>
      <c r="I156" s="4">
        <v>36</v>
      </c>
      <c r="J156" s="5">
        <v>0.95</v>
      </c>
      <c r="K156" s="11">
        <f>'Session Details'!L156</f>
        <v>0.24999996511655004</v>
      </c>
      <c r="L156" s="11">
        <f>'Session Details'!M156</f>
        <v>0.39999992558196301</v>
      </c>
      <c r="M156" s="11">
        <f>'Session Details'!N156</f>
        <v>0.70079990102399237</v>
      </c>
      <c r="N156" s="11">
        <f>'Session Details'!O156</f>
        <v>0.78720023680404794</v>
      </c>
    </row>
    <row r="157" spans="2:14" x14ac:dyDescent="0.35">
      <c r="B157" s="3">
        <v>43620</v>
      </c>
      <c r="C157" s="4">
        <v>395075</v>
      </c>
      <c r="D157" s="5">
        <v>0.17</v>
      </c>
      <c r="E157" s="4">
        <v>30</v>
      </c>
      <c r="F157" s="4">
        <v>17</v>
      </c>
      <c r="G157" s="4">
        <v>25</v>
      </c>
      <c r="H157" s="4">
        <v>389</v>
      </c>
      <c r="I157" s="4">
        <v>33</v>
      </c>
      <c r="J157" s="5">
        <v>0.95</v>
      </c>
      <c r="K157" s="11">
        <f>'Session Details'!L157</f>
        <v>0.2574999798827477</v>
      </c>
      <c r="L157" s="11">
        <f>'Session Details'!M157</f>
        <v>0.3959999173608385</v>
      </c>
      <c r="M157" s="11">
        <f>'Session Details'!N157</f>
        <v>0.75190008382464868</v>
      </c>
      <c r="N157" s="11">
        <f>'Session Details'!O157</f>
        <v>0.81180001959128845</v>
      </c>
    </row>
    <row r="158" spans="2:14" x14ac:dyDescent="0.35">
      <c r="B158" s="3">
        <v>43621</v>
      </c>
      <c r="C158" s="4">
        <v>389074</v>
      </c>
      <c r="D158" s="5">
        <v>0.18</v>
      </c>
      <c r="E158" s="4">
        <v>30</v>
      </c>
      <c r="F158" s="4">
        <v>21</v>
      </c>
      <c r="G158" s="4">
        <v>30</v>
      </c>
      <c r="H158" s="4">
        <v>375</v>
      </c>
      <c r="I158" s="4">
        <v>36</v>
      </c>
      <c r="J158" s="5">
        <v>0.94</v>
      </c>
      <c r="K158" s="11">
        <f>'Session Details'!L158</f>
        <v>0.24750000670575076</v>
      </c>
      <c r="L158" s="11">
        <f>'Session Details'!M158</f>
        <v>0.39199984538390581</v>
      </c>
      <c r="M158" s="11">
        <f>'Session Details'!N158</f>
        <v>0.70809998590008594</v>
      </c>
      <c r="N158" s="11">
        <f>'Session Details'!O158</f>
        <v>0.81179993713953658</v>
      </c>
    </row>
    <row r="159" spans="2:14" x14ac:dyDescent="0.35">
      <c r="B159" s="3">
        <v>43622</v>
      </c>
      <c r="C159" s="4">
        <v>402050</v>
      </c>
      <c r="D159" s="5">
        <v>0.17</v>
      </c>
      <c r="E159" s="4">
        <v>40</v>
      </c>
      <c r="F159" s="4">
        <v>18</v>
      </c>
      <c r="G159" s="4">
        <v>30</v>
      </c>
      <c r="H159" s="4">
        <v>379</v>
      </c>
      <c r="I159" s="4">
        <v>38</v>
      </c>
      <c r="J159" s="5">
        <v>0.95</v>
      </c>
      <c r="K159" s="11">
        <f>'Session Details'!L159</f>
        <v>0.25999997317699697</v>
      </c>
      <c r="L159" s="11">
        <f>'Session Details'!M159</f>
        <v>0.39999996561153101</v>
      </c>
      <c r="M159" s="11">
        <f>'Session Details'!N159</f>
        <v>0.75919988342308009</v>
      </c>
      <c r="N159" s="11">
        <f>'Session Details'!O159</f>
        <v>0.83639994496575365</v>
      </c>
    </row>
    <row r="160" spans="2:14" x14ac:dyDescent="0.35">
      <c r="B160" s="3">
        <v>43623</v>
      </c>
      <c r="C160" s="4">
        <v>390178</v>
      </c>
      <c r="D160" s="5">
        <v>0.19</v>
      </c>
      <c r="E160" s="4">
        <v>35</v>
      </c>
      <c r="F160" s="4">
        <v>21</v>
      </c>
      <c r="G160" s="4">
        <v>25</v>
      </c>
      <c r="H160" s="4">
        <v>391</v>
      </c>
      <c r="I160" s="4">
        <v>35</v>
      </c>
      <c r="J160" s="5">
        <v>0.95</v>
      </c>
      <c r="K160" s="11">
        <f>'Session Details'!L160</f>
        <v>0.25999999050594758</v>
      </c>
      <c r="L160" s="11">
        <f>'Session Details'!M160</f>
        <v>0.41599999853937647</v>
      </c>
      <c r="M160" s="11">
        <f>'Session Details'!N160</f>
        <v>0.7007999634844122</v>
      </c>
      <c r="N160" s="11">
        <f>'Session Details'!O160</f>
        <v>0.84459949472618889</v>
      </c>
    </row>
    <row r="161" spans="2:14" x14ac:dyDescent="0.35">
      <c r="B161" s="3">
        <v>43624</v>
      </c>
      <c r="C161" s="4">
        <v>407570</v>
      </c>
      <c r="D161" s="5">
        <v>0.19</v>
      </c>
      <c r="E161" s="4">
        <v>35</v>
      </c>
      <c r="F161" s="4">
        <v>17</v>
      </c>
      <c r="G161" s="4">
        <v>29</v>
      </c>
      <c r="H161" s="4">
        <v>388</v>
      </c>
      <c r="I161" s="4">
        <v>30</v>
      </c>
      <c r="J161" s="5">
        <v>0.93</v>
      </c>
      <c r="K161" s="11">
        <f>'Session Details'!L161</f>
        <v>0.20159999951225532</v>
      </c>
      <c r="L161" s="11">
        <f>'Session Details'!M161</f>
        <v>0.32299999360263154</v>
      </c>
      <c r="M161" s="11">
        <f>'Session Details'!N161</f>
        <v>0.69359971450414726</v>
      </c>
      <c r="N161" s="11">
        <f>'Session Details'!O161</f>
        <v>0.7409999517152257</v>
      </c>
    </row>
    <row r="162" spans="2:14" x14ac:dyDescent="0.35">
      <c r="B162" s="3">
        <v>43625</v>
      </c>
      <c r="C162" s="4">
        <v>400094</v>
      </c>
      <c r="D162" s="5">
        <v>0.18</v>
      </c>
      <c r="E162" s="4">
        <v>35</v>
      </c>
      <c r="F162" s="4">
        <v>22</v>
      </c>
      <c r="G162" s="4">
        <v>26</v>
      </c>
      <c r="H162" s="4">
        <v>364</v>
      </c>
      <c r="I162" s="4">
        <v>34</v>
      </c>
      <c r="J162" s="5">
        <v>0.95</v>
      </c>
      <c r="K162" s="11">
        <f>'Session Details'!L162</f>
        <v>0.21839999108927985</v>
      </c>
      <c r="L162" s="11">
        <f>'Session Details'!M162</f>
        <v>0.33999998571999918</v>
      </c>
      <c r="M162" s="11">
        <f>'Session Details'!N162</f>
        <v>0.64599996459999642</v>
      </c>
      <c r="N162" s="11">
        <f>'Session Details'!O162</f>
        <v>0.76440011832819166</v>
      </c>
    </row>
    <row r="163" spans="2:14" x14ac:dyDescent="0.35">
      <c r="B163" s="3">
        <v>43626</v>
      </c>
      <c r="C163" s="4">
        <v>392606</v>
      </c>
      <c r="D163" s="5">
        <v>0.17</v>
      </c>
      <c r="E163" s="4">
        <v>37</v>
      </c>
      <c r="F163" s="4">
        <v>21</v>
      </c>
      <c r="G163" s="4">
        <v>30</v>
      </c>
      <c r="H163" s="4">
        <v>397</v>
      </c>
      <c r="I163" s="4">
        <v>35</v>
      </c>
      <c r="J163" s="5">
        <v>0.91</v>
      </c>
      <c r="K163" s="11">
        <f>'Session Details'!L163</f>
        <v>0.24249998164992312</v>
      </c>
      <c r="L163" s="11">
        <f>'Session Details'!M163</f>
        <v>0.41599990524746672</v>
      </c>
      <c r="M163" s="11">
        <f>'Session Details'!N163</f>
        <v>0.74460005251376904</v>
      </c>
      <c r="N163" s="11">
        <f>'Session Details'!O163</f>
        <v>0.79540014178060903</v>
      </c>
    </row>
    <row r="164" spans="2:14" x14ac:dyDescent="0.35">
      <c r="B164" s="3">
        <v>43627</v>
      </c>
      <c r="C164" s="4">
        <v>390751</v>
      </c>
      <c r="D164" s="5">
        <v>0.17</v>
      </c>
      <c r="E164" s="4">
        <v>31</v>
      </c>
      <c r="F164" s="4">
        <v>17</v>
      </c>
      <c r="G164" s="4">
        <v>26</v>
      </c>
      <c r="H164" s="4">
        <v>354</v>
      </c>
      <c r="I164" s="4">
        <v>31</v>
      </c>
      <c r="J164" s="5">
        <v>0.94</v>
      </c>
      <c r="K164" s="11">
        <f>'Session Details'!L164</f>
        <v>0.2574999798827477</v>
      </c>
      <c r="L164" s="11">
        <f>'Session Details'!M164</f>
        <v>0.40799995694430241</v>
      </c>
      <c r="M164" s="11">
        <f>'Session Details'!N164</f>
        <v>0.71539978349599498</v>
      </c>
      <c r="N164" s="11">
        <f>'Session Details'!O164</f>
        <v>0.77900015524246669</v>
      </c>
    </row>
    <row r="165" spans="2:14" x14ac:dyDescent="0.35">
      <c r="B165" s="3">
        <v>43628</v>
      </c>
      <c r="C165" s="4">
        <v>398995</v>
      </c>
      <c r="D165" s="5">
        <v>0.17</v>
      </c>
      <c r="E165" s="4">
        <v>36</v>
      </c>
      <c r="F165" s="4">
        <v>21</v>
      </c>
      <c r="G165" s="4">
        <v>30</v>
      </c>
      <c r="H165" s="4">
        <v>400</v>
      </c>
      <c r="I165" s="4">
        <v>32</v>
      </c>
      <c r="J165" s="5">
        <v>0.95</v>
      </c>
      <c r="K165" s="11">
        <f>'Session Details'!L165</f>
        <v>0.26249996979645729</v>
      </c>
      <c r="L165" s="11">
        <f>'Session Details'!M165</f>
        <v>0.42000003820897847</v>
      </c>
      <c r="M165" s="11">
        <f>'Session Details'!N165</f>
        <v>0.76649974361943196</v>
      </c>
      <c r="N165" s="11">
        <f>'Session Details'!O165</f>
        <v>0.77900001672411312</v>
      </c>
    </row>
    <row r="166" spans="2:14" x14ac:dyDescent="0.35">
      <c r="B166" s="3">
        <v>43629</v>
      </c>
      <c r="C166" s="4">
        <v>407670</v>
      </c>
      <c r="D166" s="5">
        <v>0.17</v>
      </c>
      <c r="E166" s="4">
        <v>36</v>
      </c>
      <c r="F166" s="4">
        <v>17</v>
      </c>
      <c r="G166" s="4">
        <v>30</v>
      </c>
      <c r="H166" s="4">
        <v>399</v>
      </c>
      <c r="I166" s="4">
        <v>31</v>
      </c>
      <c r="J166" s="5">
        <v>0.92</v>
      </c>
      <c r="K166" s="11">
        <f>'Session Details'!L166</f>
        <v>0.25249998388384581</v>
      </c>
      <c r="L166" s="11">
        <f>'Session Details'!M166</f>
        <v>0.38399997228112481</v>
      </c>
      <c r="M166" s="11">
        <f>'Session Details'!N166</f>
        <v>0.75189971282886126</v>
      </c>
      <c r="N166" s="11">
        <f>'Session Details'!O166</f>
        <v>0.85280034864222176</v>
      </c>
    </row>
    <row r="167" spans="2:14" x14ac:dyDescent="0.35">
      <c r="B167" s="3">
        <v>43630</v>
      </c>
      <c r="C167" s="4">
        <v>404518</v>
      </c>
      <c r="D167" s="5">
        <v>0.18</v>
      </c>
      <c r="E167" s="4">
        <v>36</v>
      </c>
      <c r="F167" s="4">
        <v>20</v>
      </c>
      <c r="G167" s="4">
        <v>30</v>
      </c>
      <c r="H167" s="4">
        <v>393</v>
      </c>
      <c r="I167" s="4">
        <v>35</v>
      </c>
      <c r="J167" s="5">
        <v>0.94</v>
      </c>
      <c r="K167" s="11">
        <f>'Session Details'!L167</f>
        <v>0.25999997317699697</v>
      </c>
      <c r="L167" s="11">
        <f>'Session Details'!M167</f>
        <v>0.39200000412661629</v>
      </c>
      <c r="M167" s="11">
        <f>'Session Details'!N167</f>
        <v>0.72269998605161601</v>
      </c>
      <c r="N167" s="11">
        <f>'Session Details'!O167</f>
        <v>0.77899973052300386</v>
      </c>
    </row>
    <row r="168" spans="2:14" x14ac:dyDescent="0.35">
      <c r="B168" s="3">
        <v>43631</v>
      </c>
      <c r="C168" s="4">
        <v>407641</v>
      </c>
      <c r="D168" s="5">
        <v>0.17</v>
      </c>
      <c r="E168" s="4">
        <v>38</v>
      </c>
      <c r="F168" s="4">
        <v>22</v>
      </c>
      <c r="G168" s="4">
        <v>27</v>
      </c>
      <c r="H168" s="4">
        <v>357</v>
      </c>
      <c r="I168" s="4">
        <v>30</v>
      </c>
      <c r="J168" s="5">
        <v>0.91</v>
      </c>
      <c r="K168" s="11">
        <f>'Session Details'!L168</f>
        <v>0.19949999609593452</v>
      </c>
      <c r="L168" s="11">
        <f>'Session Details'!M168</f>
        <v>0.3536000090232857</v>
      </c>
      <c r="M168" s="11">
        <f>'Session Details'!N168</f>
        <v>0.67320000000000002</v>
      </c>
      <c r="N168" s="11">
        <f>'Session Details'!O168</f>
        <v>0.76439979113775902</v>
      </c>
    </row>
    <row r="169" spans="2:14" x14ac:dyDescent="0.35">
      <c r="B169" s="3">
        <v>43632</v>
      </c>
      <c r="C169" s="4">
        <v>386588</v>
      </c>
      <c r="D169" s="5">
        <v>0.19</v>
      </c>
      <c r="E169" s="4">
        <v>31</v>
      </c>
      <c r="F169" s="4">
        <v>21</v>
      </c>
      <c r="G169" s="4">
        <v>27</v>
      </c>
      <c r="H169" s="4">
        <v>385</v>
      </c>
      <c r="I169" s="4">
        <v>34</v>
      </c>
      <c r="J169" s="5">
        <v>0.93</v>
      </c>
      <c r="K169" s="11">
        <f>'Session Details'!L169</f>
        <v>0.20159999842751997</v>
      </c>
      <c r="L169" s="11">
        <f>'Session Details'!M169</f>
        <v>0.34679992533666482</v>
      </c>
      <c r="M169" s="11">
        <f>'Session Details'!N169</f>
        <v>0.66640010246061665</v>
      </c>
      <c r="N169" s="11">
        <f>'Session Details'!O169</f>
        <v>0.79559977499648427</v>
      </c>
    </row>
    <row r="170" spans="2:14" x14ac:dyDescent="0.35">
      <c r="B170" s="3">
        <v>43633</v>
      </c>
      <c r="C170" s="4">
        <v>388917</v>
      </c>
      <c r="D170" s="5">
        <v>0.17</v>
      </c>
      <c r="E170" s="4">
        <v>30</v>
      </c>
      <c r="F170" s="4">
        <v>18</v>
      </c>
      <c r="G170" s="4">
        <v>26</v>
      </c>
      <c r="H170" s="4">
        <v>350</v>
      </c>
      <c r="I170" s="4">
        <v>32</v>
      </c>
      <c r="J170" s="5">
        <v>0.93</v>
      </c>
      <c r="K170" s="11">
        <f>'Session Details'!L170</f>
        <v>0.26249995904548801</v>
      </c>
      <c r="L170" s="11">
        <f>'Session Details'!M170</f>
        <v>0.37999990891968116</v>
      </c>
      <c r="M170" s="11">
        <f>'Session Details'!N170</f>
        <v>0.71540012321589952</v>
      </c>
      <c r="N170" s="11">
        <f>'Session Details'!O170</f>
        <v>0.84460017434303392</v>
      </c>
    </row>
    <row r="171" spans="2:14" x14ac:dyDescent="0.35">
      <c r="B171" s="3">
        <v>43634</v>
      </c>
      <c r="C171" s="4">
        <v>398356</v>
      </c>
      <c r="D171" s="5">
        <v>0.19</v>
      </c>
      <c r="E171" s="4">
        <v>40</v>
      </c>
      <c r="F171" s="4">
        <v>19</v>
      </c>
      <c r="G171" s="4">
        <v>25</v>
      </c>
      <c r="H171" s="4">
        <v>397</v>
      </c>
      <c r="I171" s="4">
        <v>40</v>
      </c>
      <c r="J171" s="5">
        <v>0.93</v>
      </c>
      <c r="K171" s="11">
        <f>'Session Details'!L171</f>
        <v>0.26249996439730333</v>
      </c>
      <c r="L171" s="11">
        <f>'Session Details'!M171</f>
        <v>0.37999995298182909</v>
      </c>
      <c r="M171" s="11">
        <f>'Session Details'!N171</f>
        <v>0.75190011968695791</v>
      </c>
      <c r="N171" s="11">
        <f>'Session Details'!O171</f>
        <v>0.795399812275986</v>
      </c>
    </row>
    <row r="172" spans="2:14" x14ac:dyDescent="0.35">
      <c r="B172" s="3">
        <v>43635</v>
      </c>
      <c r="C172" s="4">
        <v>406848</v>
      </c>
      <c r="D172" s="5">
        <v>0.18</v>
      </c>
      <c r="E172" s="4">
        <v>32</v>
      </c>
      <c r="F172" s="4">
        <v>19</v>
      </c>
      <c r="G172" s="4">
        <v>27</v>
      </c>
      <c r="H172" s="4">
        <v>370</v>
      </c>
      <c r="I172" s="4">
        <v>39</v>
      </c>
      <c r="J172" s="5">
        <v>0.94</v>
      </c>
      <c r="K172" s="11">
        <f>'Session Details'!L172</f>
        <v>0.23749997009257129</v>
      </c>
      <c r="L172" s="11">
        <f>'Session Details'!M172</f>
        <v>0.40799996198459426</v>
      </c>
      <c r="M172" s="11">
        <f>'Session Details'!N172</f>
        <v>0.70809989107839844</v>
      </c>
      <c r="N172" s="11">
        <f>'Session Details'!O172</f>
        <v>0.85280028422268062</v>
      </c>
    </row>
    <row r="173" spans="2:14" x14ac:dyDescent="0.35">
      <c r="B173" s="3">
        <v>43636</v>
      </c>
      <c r="C173" s="4">
        <v>381025</v>
      </c>
      <c r="D173" s="5">
        <v>0.17</v>
      </c>
      <c r="E173" s="4">
        <v>34</v>
      </c>
      <c r="F173" s="4">
        <v>19</v>
      </c>
      <c r="G173" s="4">
        <v>25</v>
      </c>
      <c r="H173" s="4">
        <v>393</v>
      </c>
      <c r="I173" s="4">
        <v>38</v>
      </c>
      <c r="J173" s="5">
        <v>0.91</v>
      </c>
      <c r="K173" s="11">
        <f>'Session Details'!L173</f>
        <v>0.24749993876841234</v>
      </c>
      <c r="L173" s="11">
        <f>'Session Details'!M173</f>
        <v>0.41200006808459433</v>
      </c>
      <c r="M173" s="11">
        <f>'Session Details'!N173</f>
        <v>0.70079927134584841</v>
      </c>
      <c r="N173" s="11">
        <f>'Session Details'!O173</f>
        <v>0.84460000438711946</v>
      </c>
    </row>
    <row r="174" spans="2:14" x14ac:dyDescent="0.35">
      <c r="B174" s="3">
        <v>43637</v>
      </c>
      <c r="C174" s="4">
        <v>382419</v>
      </c>
      <c r="D174" s="5">
        <v>0.17</v>
      </c>
      <c r="E174" s="4">
        <v>36</v>
      </c>
      <c r="F174" s="4">
        <v>17</v>
      </c>
      <c r="G174" s="4">
        <v>30</v>
      </c>
      <c r="H174" s="4">
        <v>362</v>
      </c>
      <c r="I174" s="4">
        <v>36</v>
      </c>
      <c r="J174" s="5">
        <v>0.95</v>
      </c>
      <c r="K174" s="11">
        <f>'Session Details'!L174</f>
        <v>0.24249998338540821</v>
      </c>
      <c r="L174" s="11">
        <f>'Session Details'!M174</f>
        <v>0.41200001331124969</v>
      </c>
      <c r="M174" s="11">
        <f>'Session Details'!N174</f>
        <v>0.76649961086831953</v>
      </c>
      <c r="N174" s="11">
        <f>'Session Details'!O174</f>
        <v>0.82819987838146936</v>
      </c>
    </row>
    <row r="175" spans="2:14" x14ac:dyDescent="0.35">
      <c r="B175" s="3">
        <v>43638</v>
      </c>
      <c r="C175" s="4">
        <v>389769</v>
      </c>
      <c r="D175" s="5">
        <v>0.17</v>
      </c>
      <c r="E175" s="4">
        <v>36</v>
      </c>
      <c r="F175" s="4">
        <v>21</v>
      </c>
      <c r="G175" s="4">
        <v>26</v>
      </c>
      <c r="H175" s="4">
        <v>366</v>
      </c>
      <c r="I175" s="4">
        <v>36</v>
      </c>
      <c r="J175" s="5">
        <v>0.93</v>
      </c>
      <c r="K175" s="11">
        <f>'Session Details'!L175</f>
        <v>0.20789999944307999</v>
      </c>
      <c r="L175" s="11">
        <f>'Session Details'!M175</f>
        <v>0.32299999817842423</v>
      </c>
      <c r="M175" s="11">
        <f>'Session Details'!N175</f>
        <v>0.7072000180465714</v>
      </c>
      <c r="N175" s="11">
        <f>'Session Details'!O175</f>
        <v>0.74099962473027492</v>
      </c>
    </row>
    <row r="176" spans="2:14" x14ac:dyDescent="0.35">
      <c r="B176" s="3">
        <v>43639</v>
      </c>
      <c r="C176" s="4">
        <v>382119</v>
      </c>
      <c r="D176" s="5">
        <v>0.18</v>
      </c>
      <c r="E176" s="4">
        <v>33</v>
      </c>
      <c r="F176" s="4">
        <v>21</v>
      </c>
      <c r="G176" s="4">
        <v>27</v>
      </c>
      <c r="H176" s="4">
        <v>393</v>
      </c>
      <c r="I176" s="4">
        <v>40</v>
      </c>
      <c r="J176" s="5">
        <v>0.91</v>
      </c>
      <c r="K176" s="11">
        <f>'Session Details'!L176</f>
        <v>0.20369997899550371</v>
      </c>
      <c r="L176" s="11">
        <f>'Session Details'!M176</f>
        <v>0.35360000090194504</v>
      </c>
      <c r="M176" s="11">
        <f>'Session Details'!N176</f>
        <v>0.65959992130937628</v>
      </c>
      <c r="N176" s="11">
        <f>'Session Details'!O176</f>
        <v>0.80340016193549169</v>
      </c>
    </row>
    <row r="177" spans="2:14" x14ac:dyDescent="0.35">
      <c r="B177" s="3">
        <v>43640</v>
      </c>
      <c r="C177" s="4">
        <v>382070</v>
      </c>
      <c r="D177" s="5">
        <v>0.19</v>
      </c>
      <c r="E177" s="4">
        <v>32</v>
      </c>
      <c r="F177" s="4">
        <v>22</v>
      </c>
      <c r="G177" s="4">
        <v>30</v>
      </c>
      <c r="H177" s="4">
        <v>391</v>
      </c>
      <c r="I177" s="4">
        <v>31</v>
      </c>
      <c r="J177" s="5">
        <v>0.93</v>
      </c>
      <c r="K177" s="11">
        <f>'Session Details'!L177</f>
        <v>0.2374999606493316</v>
      </c>
      <c r="L177" s="11">
        <f>'Session Details'!M177</f>
        <v>0.40400003165364579</v>
      </c>
      <c r="M177" s="11">
        <f>'Session Details'!N177</f>
        <v>0.7153997619121073</v>
      </c>
      <c r="N177" s="11">
        <f>'Session Details'!O177</f>
        <v>0.8445999780959943</v>
      </c>
    </row>
    <row r="178" spans="2:14" x14ac:dyDescent="0.35">
      <c r="B178" s="3">
        <v>43641</v>
      </c>
      <c r="C178" s="4">
        <v>399302</v>
      </c>
      <c r="D178" s="5">
        <v>0.17</v>
      </c>
      <c r="E178" s="4">
        <v>33</v>
      </c>
      <c r="F178" s="4">
        <v>21</v>
      </c>
      <c r="G178" s="4">
        <v>28</v>
      </c>
      <c r="H178" s="4">
        <v>359</v>
      </c>
      <c r="I178" s="4">
        <v>34</v>
      </c>
      <c r="J178" s="5">
        <v>0.95</v>
      </c>
      <c r="K178" s="11">
        <f>'Session Details'!L178</f>
        <v>0.24999997786242595</v>
      </c>
      <c r="L178" s="11">
        <f>'Session Details'!M178</f>
        <v>0.39599997024709788</v>
      </c>
      <c r="M178" s="11">
        <f>'Session Details'!N178</f>
        <v>0.72999981663824565</v>
      </c>
      <c r="N178" s="11">
        <f>'Session Details'!O178</f>
        <v>0.77900032592207769</v>
      </c>
    </row>
    <row r="179" spans="2:14" x14ac:dyDescent="0.35">
      <c r="B179" s="3">
        <v>43642</v>
      </c>
      <c r="C179" s="4">
        <v>390068</v>
      </c>
      <c r="D179" s="5">
        <v>0.18</v>
      </c>
      <c r="E179" s="4">
        <v>38</v>
      </c>
      <c r="F179" s="4">
        <v>22</v>
      </c>
      <c r="G179" s="4">
        <v>30</v>
      </c>
      <c r="H179" s="4">
        <v>365</v>
      </c>
      <c r="I179" s="4">
        <v>31</v>
      </c>
      <c r="J179" s="5">
        <v>0.92</v>
      </c>
      <c r="K179" s="11">
        <f>'Session Details'!L179</f>
        <v>0.2574999798827477</v>
      </c>
      <c r="L179" s="11">
        <f>'Session Details'!M179</f>
        <v>0.3879998909718626</v>
      </c>
      <c r="M179" s="11">
        <f>'Session Details'!N179</f>
        <v>0.72270000250573629</v>
      </c>
      <c r="N179" s="11">
        <f>'Session Details'!O179</f>
        <v>0.81999972757813244</v>
      </c>
    </row>
    <row r="180" spans="2:14" x14ac:dyDescent="0.35">
      <c r="B180" s="3">
        <v>43643</v>
      </c>
      <c r="C180" s="4">
        <v>399922</v>
      </c>
      <c r="D180" s="5">
        <v>0.19</v>
      </c>
      <c r="E180" s="4">
        <v>31</v>
      </c>
      <c r="F180" s="4">
        <v>17</v>
      </c>
      <c r="G180" s="4">
        <v>30</v>
      </c>
      <c r="H180" s="4">
        <v>355</v>
      </c>
      <c r="I180" s="4">
        <v>35</v>
      </c>
      <c r="J180" s="5">
        <v>0.91</v>
      </c>
      <c r="K180" s="11">
        <f>'Session Details'!L180</f>
        <v>0.2574999798827477</v>
      </c>
      <c r="L180" s="11">
        <f>'Session Details'!M180</f>
        <v>0.3879998909718626</v>
      </c>
      <c r="M180" s="11">
        <f>'Session Details'!N180</f>
        <v>0.75189988509409045</v>
      </c>
      <c r="N180" s="11">
        <f>'Session Details'!O180</f>
        <v>0.78720007141156867</v>
      </c>
    </row>
    <row r="181" spans="2:14" x14ac:dyDescent="0.35">
      <c r="B181" s="3">
        <v>43644</v>
      </c>
      <c r="C181" s="4">
        <v>401728</v>
      </c>
      <c r="D181" s="5">
        <v>0.17</v>
      </c>
      <c r="E181" s="4">
        <v>31</v>
      </c>
      <c r="F181" s="4">
        <v>18</v>
      </c>
      <c r="G181" s="4">
        <v>25</v>
      </c>
      <c r="H181" s="4">
        <v>400</v>
      </c>
      <c r="I181" s="4">
        <v>37</v>
      </c>
      <c r="J181" s="5">
        <v>0.92</v>
      </c>
      <c r="K181" s="11">
        <f>'Session Details'!L181</f>
        <v>0.25249996558284826</v>
      </c>
      <c r="L181" s="11">
        <f>'Session Details'!M181</f>
        <v>0.38400005210315308</v>
      </c>
      <c r="M181" s="11">
        <f>'Session Details'!N181</f>
        <v>0.70809978101365623</v>
      </c>
      <c r="N181" s="11">
        <f>'Session Details'!O181</f>
        <v>0.84459983821893003</v>
      </c>
    </row>
    <row r="182" spans="2:14" x14ac:dyDescent="0.35">
      <c r="B182" s="3">
        <v>43645</v>
      </c>
      <c r="C182" s="4">
        <v>397499</v>
      </c>
      <c r="D182" s="5">
        <v>0.18</v>
      </c>
      <c r="E182" s="4">
        <v>38</v>
      </c>
      <c r="F182" s="4">
        <v>22</v>
      </c>
      <c r="G182" s="4">
        <v>29</v>
      </c>
      <c r="H182" s="4">
        <v>374</v>
      </c>
      <c r="I182" s="4">
        <v>35</v>
      </c>
      <c r="J182" s="5">
        <v>0.92</v>
      </c>
      <c r="K182" s="11">
        <f>'Session Details'!L182</f>
        <v>0.2141999822642397</v>
      </c>
      <c r="L182" s="11">
        <f>'Session Details'!M182</f>
        <v>0.35020003502000352</v>
      </c>
      <c r="M182" s="11">
        <f>'Session Details'!N182</f>
        <v>0.65279982866933184</v>
      </c>
      <c r="N182" s="11">
        <f>'Session Details'!O182</f>
        <v>0.75659998119071525</v>
      </c>
    </row>
    <row r="183" spans="2:14" x14ac:dyDescent="0.35">
      <c r="B183" s="3">
        <v>43646</v>
      </c>
      <c r="C183" s="4">
        <v>389825</v>
      </c>
      <c r="D183" s="5">
        <v>0.19</v>
      </c>
      <c r="E183" s="4">
        <v>36</v>
      </c>
      <c r="F183" s="4">
        <v>22</v>
      </c>
      <c r="G183" s="4">
        <v>29</v>
      </c>
      <c r="H183" s="4">
        <v>376</v>
      </c>
      <c r="I183" s="4">
        <v>38</v>
      </c>
      <c r="J183" s="5">
        <v>0.91</v>
      </c>
      <c r="K183" s="11">
        <f>'Session Details'!L183</f>
        <v>0.19949999948854286</v>
      </c>
      <c r="L183" s="11">
        <f>'Session Details'!M183</f>
        <v>0.35699999829086998</v>
      </c>
      <c r="M183" s="11">
        <f>'Session Details'!N183</f>
        <v>0.65959970930427403</v>
      </c>
      <c r="N183" s="11">
        <f>'Session Details'!O183</f>
        <v>0.81899992257964616</v>
      </c>
    </row>
    <row r="184" spans="2:14" x14ac:dyDescent="0.35">
      <c r="B184" s="3">
        <v>43647</v>
      </c>
      <c r="C184" s="4">
        <v>409263</v>
      </c>
      <c r="D184" s="5">
        <v>0.17</v>
      </c>
      <c r="E184" s="4">
        <v>31</v>
      </c>
      <c r="F184" s="4">
        <v>20</v>
      </c>
      <c r="G184" s="4">
        <v>26</v>
      </c>
      <c r="H184" s="4">
        <v>386</v>
      </c>
      <c r="I184" s="4">
        <v>36</v>
      </c>
      <c r="J184" s="5">
        <v>0.93</v>
      </c>
      <c r="K184" s="11">
        <f>'Session Details'!L184</f>
        <v>0.24249997686064484</v>
      </c>
      <c r="L184" s="11">
        <f>'Session Details'!M184</f>
        <v>0.4200000383598112</v>
      </c>
      <c r="M184" s="11">
        <f>'Session Details'!N184</f>
        <v>0.72269969019888647</v>
      </c>
      <c r="N184" s="11">
        <f>'Session Details'!O184</f>
        <v>0.82000010110188415</v>
      </c>
    </row>
    <row r="185" spans="2:14" x14ac:dyDescent="0.35">
      <c r="B185" s="3">
        <v>43648</v>
      </c>
      <c r="C185" s="4">
        <v>404436</v>
      </c>
      <c r="D185" s="5">
        <v>0.17</v>
      </c>
      <c r="E185" s="4">
        <v>34</v>
      </c>
      <c r="F185" s="4">
        <v>19</v>
      </c>
      <c r="G185" s="4">
        <v>25</v>
      </c>
      <c r="H185" s="4">
        <v>376</v>
      </c>
      <c r="I185" s="4">
        <v>38</v>
      </c>
      <c r="J185" s="5">
        <v>0.94</v>
      </c>
      <c r="K185" s="11">
        <f>'Session Details'!L185</f>
        <v>0.23999999452916962</v>
      </c>
      <c r="L185" s="11">
        <f>'Session Details'!M185</f>
        <v>0.39999996200812155</v>
      </c>
      <c r="M185" s="11">
        <f>'Session Details'!N185</f>
        <v>0.75189971282886126</v>
      </c>
      <c r="N185" s="11">
        <f>'Session Details'!O185</f>
        <v>0.82820022927015668</v>
      </c>
    </row>
    <row r="186" spans="2:14" x14ac:dyDescent="0.35">
      <c r="B186" s="3">
        <v>43649</v>
      </c>
      <c r="C186" s="4">
        <v>390781</v>
      </c>
      <c r="D186" s="5">
        <v>0.17</v>
      </c>
      <c r="E186" s="4">
        <v>39</v>
      </c>
      <c r="F186" s="4">
        <v>20</v>
      </c>
      <c r="G186" s="4">
        <v>30</v>
      </c>
      <c r="H186" s="4">
        <v>385</v>
      </c>
      <c r="I186" s="4">
        <v>35</v>
      </c>
      <c r="J186" s="5">
        <v>0.94</v>
      </c>
      <c r="K186" s="11">
        <f>'Session Details'!L186</f>
        <v>0.26249996219249577</v>
      </c>
      <c r="L186" s="11">
        <f>'Session Details'!M186</f>
        <v>0.39599990850958855</v>
      </c>
      <c r="M186" s="11">
        <f>'Session Details'!N186</f>
        <v>0.75189986220326255</v>
      </c>
      <c r="N186" s="11">
        <f>'Session Details'!O186</f>
        <v>0.8446003898635478</v>
      </c>
    </row>
    <row r="187" spans="2:14" x14ac:dyDescent="0.35">
      <c r="B187" s="3">
        <v>43650</v>
      </c>
      <c r="C187" s="4">
        <v>400441</v>
      </c>
      <c r="D187" s="5">
        <v>0.18</v>
      </c>
      <c r="E187" s="4">
        <v>36</v>
      </c>
      <c r="F187" s="4">
        <v>20</v>
      </c>
      <c r="G187" s="4">
        <v>26</v>
      </c>
      <c r="H187" s="4">
        <v>382</v>
      </c>
      <c r="I187" s="4">
        <v>37</v>
      </c>
      <c r="J187" s="5">
        <v>0.91</v>
      </c>
      <c r="K187" s="11">
        <f>'Session Details'!L187</f>
        <v>0.2574999798827477</v>
      </c>
      <c r="L187" s="11">
        <f>'Session Details'!M187</f>
        <v>0.41199997013879036</v>
      </c>
      <c r="M187" s="11">
        <f>'Session Details'!N187</f>
        <v>0.69349992752133061</v>
      </c>
      <c r="N187" s="11">
        <f>'Session Details'!O187</f>
        <v>0.81999972049268632</v>
      </c>
    </row>
    <row r="188" spans="2:14" x14ac:dyDescent="0.35">
      <c r="B188" s="3">
        <v>43651</v>
      </c>
      <c r="C188" s="4">
        <v>380485</v>
      </c>
      <c r="D188" s="5">
        <v>0.19</v>
      </c>
      <c r="E188" s="4">
        <v>40</v>
      </c>
      <c r="F188" s="4">
        <v>19</v>
      </c>
      <c r="G188" s="4">
        <v>27</v>
      </c>
      <c r="H188" s="4">
        <v>380</v>
      </c>
      <c r="I188" s="4">
        <v>34</v>
      </c>
      <c r="J188" s="5">
        <v>0.92</v>
      </c>
      <c r="K188" s="11">
        <f>'Session Details'!L188</f>
        <v>0.23749995940667931</v>
      </c>
      <c r="L188" s="11">
        <f>'Session Details'!M188</f>
        <v>0.41599996244878035</v>
      </c>
      <c r="M188" s="11">
        <f>'Session Details'!N188</f>
        <v>0.7664999173366811</v>
      </c>
      <c r="N188" s="11">
        <f>'Session Details'!O188</f>
        <v>0.80360017280829477</v>
      </c>
    </row>
    <row r="189" spans="2:14" x14ac:dyDescent="0.35">
      <c r="B189" s="3">
        <v>43652</v>
      </c>
      <c r="C189" s="4">
        <v>385998</v>
      </c>
      <c r="D189" s="5">
        <v>0.18</v>
      </c>
      <c r="E189" s="4">
        <v>35</v>
      </c>
      <c r="F189" s="4">
        <v>22</v>
      </c>
      <c r="G189" s="4">
        <v>26</v>
      </c>
      <c r="H189" s="4">
        <v>373</v>
      </c>
      <c r="I189" s="4">
        <v>39</v>
      </c>
      <c r="J189" s="5">
        <v>0.94</v>
      </c>
      <c r="K189" s="11">
        <f>'Session Details'!L189</f>
        <v>0.20789999944307999</v>
      </c>
      <c r="L189" s="11">
        <f>'Session Details'!M189</f>
        <v>0.34339993264455626</v>
      </c>
      <c r="M189" s="11">
        <f>'Session Details'!N189</f>
        <v>0.68000007488750491</v>
      </c>
      <c r="N189" s="11">
        <f>'Session Details'!O189</f>
        <v>0.80339967209188035</v>
      </c>
    </row>
    <row r="190" spans="2:14" x14ac:dyDescent="0.35">
      <c r="B190" s="3">
        <v>43653</v>
      </c>
      <c r="C190" s="4">
        <v>402638</v>
      </c>
      <c r="D190" s="5">
        <v>0.18</v>
      </c>
      <c r="E190" s="4">
        <v>32</v>
      </c>
      <c r="F190" s="4">
        <v>21</v>
      </c>
      <c r="G190" s="4">
        <v>28</v>
      </c>
      <c r="H190" s="4">
        <v>352</v>
      </c>
      <c r="I190" s="4">
        <v>32</v>
      </c>
      <c r="J190" s="5">
        <v>0.94</v>
      </c>
      <c r="K190" s="11">
        <f>'Session Details'!L190</f>
        <v>0.2099999958661608</v>
      </c>
      <c r="L190" s="11">
        <f>'Session Details'!M190</f>
        <v>0.34339999750657313</v>
      </c>
      <c r="M190" s="11">
        <f>'Session Details'!N190</f>
        <v>0.67999983439827982</v>
      </c>
      <c r="N190" s="11">
        <f>'Session Details'!O190</f>
        <v>0.76440011745735736</v>
      </c>
    </row>
    <row r="191" spans="2:14" x14ac:dyDescent="0.35">
      <c r="B191" s="3">
        <v>43654</v>
      </c>
      <c r="C191" s="4">
        <v>389876</v>
      </c>
      <c r="D191" s="5">
        <v>0.18</v>
      </c>
      <c r="E191" s="4">
        <v>40</v>
      </c>
      <c r="F191" s="4">
        <v>19</v>
      </c>
      <c r="G191" s="4">
        <v>28</v>
      </c>
      <c r="H191" s="4">
        <v>388</v>
      </c>
      <c r="I191" s="4">
        <v>34</v>
      </c>
      <c r="J191" s="5">
        <v>0.92</v>
      </c>
      <c r="K191" s="11">
        <f>'Session Details'!L191</f>
        <v>0.2474999639383427</v>
      </c>
      <c r="L191" s="11">
        <f>'Session Details'!M191</f>
        <v>0.38399993165690244</v>
      </c>
      <c r="M191" s="11">
        <f>'Session Details'!N191</f>
        <v>0.75919979631538481</v>
      </c>
      <c r="N191" s="11">
        <f>'Session Details'!O191</f>
        <v>0.83639998437154062</v>
      </c>
    </row>
    <row r="192" spans="2:14" x14ac:dyDescent="0.35">
      <c r="B192" s="3">
        <v>43655</v>
      </c>
      <c r="C192" s="4">
        <v>386858</v>
      </c>
      <c r="D192" s="5">
        <v>0.17</v>
      </c>
      <c r="E192" s="4">
        <v>39</v>
      </c>
      <c r="F192" s="4">
        <v>22</v>
      </c>
      <c r="G192" s="4">
        <v>27</v>
      </c>
      <c r="H192" s="4">
        <v>388</v>
      </c>
      <c r="I192" s="4">
        <v>32</v>
      </c>
      <c r="J192" s="5">
        <v>0.91</v>
      </c>
      <c r="K192" s="11">
        <f>'Session Details'!L192</f>
        <v>0.24749996787732534</v>
      </c>
      <c r="L192" s="11">
        <f>'Session Details'!M192</f>
        <v>0.39599999503879751</v>
      </c>
      <c r="M192" s="11">
        <f>'Session Details'!N192</f>
        <v>0.73730011785540739</v>
      </c>
      <c r="N192" s="11">
        <f>'Session Details'!O192</f>
        <v>0.81999947809928619</v>
      </c>
    </row>
    <row r="193" spans="2:14" x14ac:dyDescent="0.35">
      <c r="B193" s="3">
        <v>43656</v>
      </c>
      <c r="C193" s="4">
        <v>388864</v>
      </c>
      <c r="D193" s="5">
        <v>0.19</v>
      </c>
      <c r="E193" s="4">
        <v>40</v>
      </c>
      <c r="F193" s="4">
        <v>22</v>
      </c>
      <c r="G193" s="4">
        <v>29</v>
      </c>
      <c r="H193" s="4">
        <v>382</v>
      </c>
      <c r="I193" s="4">
        <v>35</v>
      </c>
      <c r="J193" s="5">
        <v>0.94</v>
      </c>
      <c r="K193" s="11">
        <f>'Session Details'!L193</f>
        <v>0.25499996557501758</v>
      </c>
      <c r="L193" s="11">
        <f>'Session Details'!M193</f>
        <v>0.41199989612742755</v>
      </c>
      <c r="M193" s="11">
        <f>'Session Details'!N193</f>
        <v>0.75920021839091978</v>
      </c>
      <c r="N193" s="11">
        <f>'Session Details'!O193</f>
        <v>0.82820005728992274</v>
      </c>
    </row>
    <row r="194" spans="2:14" x14ac:dyDescent="0.35">
      <c r="B194" s="3">
        <v>43657</v>
      </c>
      <c r="C194" s="4">
        <v>387491</v>
      </c>
      <c r="D194" s="5">
        <v>0.19</v>
      </c>
      <c r="E194" s="4">
        <v>32</v>
      </c>
      <c r="F194" s="4">
        <v>20</v>
      </c>
      <c r="G194" s="4">
        <v>27</v>
      </c>
      <c r="H194" s="4">
        <v>384</v>
      </c>
      <c r="I194" s="4">
        <v>38</v>
      </c>
      <c r="J194" s="5">
        <v>0.91</v>
      </c>
      <c r="K194" s="11">
        <f>'Session Details'!L194</f>
        <v>0.24749998453500385</v>
      </c>
      <c r="L194" s="11">
        <f>'Session Details'!M194</f>
        <v>0.40399989401068276</v>
      </c>
      <c r="M194" s="11">
        <f>'Session Details'!N194</f>
        <v>0.74460008158894708</v>
      </c>
      <c r="N194" s="11">
        <f>'Session Details'!O194</f>
        <v>0.83639961967637511</v>
      </c>
    </row>
    <row r="195" spans="2:14" x14ac:dyDescent="0.35">
      <c r="B195" s="3">
        <v>43658</v>
      </c>
      <c r="C195" s="4">
        <v>390416</v>
      </c>
      <c r="D195" s="5">
        <v>0.18</v>
      </c>
      <c r="E195" s="4">
        <v>37</v>
      </c>
      <c r="F195" s="4">
        <v>21</v>
      </c>
      <c r="G195" s="4">
        <v>27</v>
      </c>
      <c r="H195" s="4">
        <v>380</v>
      </c>
      <c r="I195" s="4">
        <v>33</v>
      </c>
      <c r="J195" s="5">
        <v>0.95</v>
      </c>
      <c r="K195" s="11">
        <f>'Session Details'!L195</f>
        <v>0.24750000551594573</v>
      </c>
      <c r="L195" s="11">
        <f>'Session Details'!M195</f>
        <v>0.4119999069774653</v>
      </c>
      <c r="M195" s="11">
        <f>'Session Details'!N195</f>
        <v>0.75189986904591677</v>
      </c>
      <c r="N195" s="11">
        <f>'Session Details'!O195</f>
        <v>0.86100015577191236</v>
      </c>
    </row>
    <row r="196" spans="2:14" x14ac:dyDescent="0.35">
      <c r="B196" s="3">
        <v>43659</v>
      </c>
      <c r="C196" s="4">
        <v>397033</v>
      </c>
      <c r="D196" s="5">
        <v>0.17</v>
      </c>
      <c r="E196" s="4">
        <v>34</v>
      </c>
      <c r="F196" s="4">
        <v>19</v>
      </c>
      <c r="G196" s="4">
        <v>27</v>
      </c>
      <c r="H196" s="4">
        <v>387</v>
      </c>
      <c r="I196" s="4">
        <v>34</v>
      </c>
      <c r="J196" s="5">
        <v>0.91</v>
      </c>
      <c r="K196" s="11">
        <f>'Session Details'!L196</f>
        <v>0.22050000278460005</v>
      </c>
      <c r="L196" s="11">
        <f>'Session Details'!M196</f>
        <v>0.35019998605805708</v>
      </c>
      <c r="M196" s="11">
        <f>'Session Details'!N196</f>
        <v>0.6935998310612963</v>
      </c>
      <c r="N196" s="11">
        <f>'Session Details'!O196</f>
        <v>0.79560005440350179</v>
      </c>
    </row>
    <row r="197" spans="2:14" x14ac:dyDescent="0.35">
      <c r="B197" s="3">
        <v>43660</v>
      </c>
      <c r="C197" s="4">
        <v>395422</v>
      </c>
      <c r="D197" s="5">
        <v>0.17</v>
      </c>
      <c r="E197" s="4">
        <v>38</v>
      </c>
      <c r="F197" s="4">
        <v>22</v>
      </c>
      <c r="G197" s="4">
        <v>26</v>
      </c>
      <c r="H197" s="4">
        <v>399</v>
      </c>
      <c r="I197" s="4">
        <v>35</v>
      </c>
      <c r="J197" s="5">
        <v>0.92</v>
      </c>
      <c r="K197" s="11">
        <f>'Session Details'!L197</f>
        <v>0.21419999832923997</v>
      </c>
      <c r="L197" s="11">
        <f>'Session Details'!M197</f>
        <v>0.35019996708833251</v>
      </c>
      <c r="M197" s="11">
        <f>'Session Details'!N197</f>
        <v>0.70039983109649617</v>
      </c>
      <c r="N197" s="11">
        <f>'Session Details'!O197</f>
        <v>0.79559988569525597</v>
      </c>
    </row>
    <row r="198" spans="2:14" x14ac:dyDescent="0.35">
      <c r="B198" s="3">
        <v>43661</v>
      </c>
      <c r="C198" s="4">
        <v>392725</v>
      </c>
      <c r="D198" s="5">
        <v>0.18</v>
      </c>
      <c r="E198" s="4">
        <v>39</v>
      </c>
      <c r="F198" s="4">
        <v>22</v>
      </c>
      <c r="G198" s="4">
        <v>27</v>
      </c>
      <c r="H198" s="4">
        <v>353</v>
      </c>
      <c r="I198" s="4">
        <v>32</v>
      </c>
      <c r="J198" s="5">
        <v>0.94</v>
      </c>
      <c r="K198" s="11">
        <f>'Session Details'!L198</f>
        <v>0.25999998046526801</v>
      </c>
      <c r="L198" s="11">
        <f>'Session Details'!M198</f>
        <v>0.39999996422209988</v>
      </c>
      <c r="M198" s="11">
        <f>'Session Details'!N198</f>
        <v>0.71539974874967405</v>
      </c>
      <c r="N198" s="11">
        <f>'Session Details'!O198</f>
        <v>0.8118002358021712</v>
      </c>
    </row>
    <row r="199" spans="2:14" x14ac:dyDescent="0.35">
      <c r="B199" s="3">
        <v>43662</v>
      </c>
      <c r="C199" s="4">
        <v>387617</v>
      </c>
      <c r="D199" s="5">
        <v>0.17</v>
      </c>
      <c r="E199" s="4">
        <v>38</v>
      </c>
      <c r="F199" s="4">
        <v>20</v>
      </c>
      <c r="G199" s="4">
        <v>30</v>
      </c>
      <c r="H199" s="4">
        <v>458</v>
      </c>
      <c r="I199" s="4">
        <v>40</v>
      </c>
      <c r="J199" s="5">
        <v>0.95</v>
      </c>
      <c r="K199" s="11">
        <f>'Session Details'!L199</f>
        <v>9.9999985459109E-2</v>
      </c>
      <c r="L199" s="11">
        <f>'Session Details'!M199</f>
        <v>0.39599989724435536</v>
      </c>
      <c r="M199" s="11">
        <f>'Session Details'!N199</f>
        <v>0.72999953488713665</v>
      </c>
      <c r="N199" s="11">
        <f>'Session Details'!O199</f>
        <v>0.83640055397760615</v>
      </c>
    </row>
    <row r="200" spans="2:14" x14ac:dyDescent="0.35">
      <c r="B200" s="3">
        <v>43663</v>
      </c>
      <c r="C200" s="4">
        <v>386795</v>
      </c>
      <c r="D200" s="5">
        <v>0.18</v>
      </c>
      <c r="E200" s="4">
        <v>30</v>
      </c>
      <c r="F200" s="4">
        <v>17</v>
      </c>
      <c r="G200" s="4">
        <v>29</v>
      </c>
      <c r="H200" s="4">
        <v>387</v>
      </c>
      <c r="I200" s="4">
        <v>36</v>
      </c>
      <c r="J200" s="5">
        <v>0.93</v>
      </c>
      <c r="K200" s="11">
        <f>'Session Details'!L200</f>
        <v>0.24499995744219102</v>
      </c>
      <c r="L200" s="11">
        <f>'Session Details'!M200</f>
        <v>0.39200006074942001</v>
      </c>
      <c r="M200" s="11">
        <f>'Session Details'!N200</f>
        <v>0.75189987195357011</v>
      </c>
      <c r="N200" s="11">
        <f>'Session Details'!O200</f>
        <v>0.82820015715776318</v>
      </c>
    </row>
    <row r="201" spans="2:14" x14ac:dyDescent="0.35">
      <c r="B201" s="3">
        <v>43664</v>
      </c>
      <c r="C201" s="4">
        <v>395874</v>
      </c>
      <c r="D201" s="5">
        <v>0.17</v>
      </c>
      <c r="E201" s="4">
        <v>36</v>
      </c>
      <c r="F201" s="4">
        <v>18</v>
      </c>
      <c r="G201" s="4">
        <v>29</v>
      </c>
      <c r="H201" s="4">
        <v>372</v>
      </c>
      <c r="I201" s="4">
        <v>37</v>
      </c>
      <c r="J201" s="5">
        <v>0.94</v>
      </c>
      <c r="K201" s="11">
        <f>'Session Details'!L201</f>
        <v>0.25999997201116104</v>
      </c>
      <c r="L201" s="11">
        <f>'Session Details'!M201</f>
        <v>0.38399996666341402</v>
      </c>
      <c r="M201" s="11">
        <f>'Session Details'!N201</f>
        <v>0.76650009223991056</v>
      </c>
      <c r="N201" s="11">
        <f>'Session Details'!O201</f>
        <v>0.85279994808902737</v>
      </c>
    </row>
    <row r="202" spans="2:14" x14ac:dyDescent="0.35">
      <c r="B202" s="3">
        <v>43665</v>
      </c>
      <c r="C202" s="4">
        <v>387761</v>
      </c>
      <c r="D202" s="5">
        <v>0.19</v>
      </c>
      <c r="E202" s="4">
        <v>32</v>
      </c>
      <c r="F202" s="4">
        <v>19</v>
      </c>
      <c r="G202" s="4">
        <v>30</v>
      </c>
      <c r="H202" s="4">
        <v>388</v>
      </c>
      <c r="I202" s="4">
        <v>40</v>
      </c>
      <c r="J202" s="5">
        <v>0.94</v>
      </c>
      <c r="K202" s="11">
        <f>'Session Details'!L202</f>
        <v>0.25999996280887561</v>
      </c>
      <c r="L202" s="11">
        <f>'Session Details'!M202</f>
        <v>0.41599998501456315</v>
      </c>
      <c r="M202" s="11">
        <f>'Session Details'!N202</f>
        <v>0.72999973392334128</v>
      </c>
      <c r="N202" s="11">
        <f>'Session Details'!O202</f>
        <v>0.83640008523428211</v>
      </c>
    </row>
    <row r="203" spans="2:14" x14ac:dyDescent="0.35">
      <c r="B203" s="3">
        <v>43666</v>
      </c>
      <c r="C203" s="4">
        <v>406137</v>
      </c>
      <c r="D203" s="5">
        <v>0.17</v>
      </c>
      <c r="E203" s="4">
        <v>34</v>
      </c>
      <c r="F203" s="4">
        <v>22</v>
      </c>
      <c r="G203" s="4">
        <v>30</v>
      </c>
      <c r="H203" s="4">
        <v>358</v>
      </c>
      <c r="I203" s="4">
        <v>37</v>
      </c>
      <c r="J203" s="5">
        <v>0.95</v>
      </c>
      <c r="K203" s="11">
        <f>'Session Details'!L203</f>
        <v>0.20999999707476361</v>
      </c>
      <c r="L203" s="11">
        <f>'Session Details'!M203</f>
        <v>0.35699992467248337</v>
      </c>
      <c r="M203" s="11">
        <f>'Session Details'!N203</f>
        <v>0.64600012606063517</v>
      </c>
      <c r="N203" s="11">
        <f>'Session Details'!O203</f>
        <v>0.803399900943085</v>
      </c>
    </row>
    <row r="204" spans="2:14" x14ac:dyDescent="0.35">
      <c r="B204" s="3">
        <v>43667</v>
      </c>
      <c r="C204" s="4">
        <v>386278</v>
      </c>
      <c r="D204" s="5">
        <v>0.19</v>
      </c>
      <c r="E204" s="4">
        <v>35</v>
      </c>
      <c r="F204" s="4">
        <v>22</v>
      </c>
      <c r="G204" s="4">
        <v>28</v>
      </c>
      <c r="H204" s="4">
        <v>396</v>
      </c>
      <c r="I204" s="4">
        <v>34</v>
      </c>
      <c r="J204" s="5">
        <v>0.93</v>
      </c>
      <c r="K204" s="11">
        <f>'Session Details'!L204</f>
        <v>0.2141999921538765</v>
      </c>
      <c r="L204" s="11">
        <f>'Session Details'!M204</f>
        <v>0.3229999293894707</v>
      </c>
      <c r="M204" s="11">
        <f>'Session Details'!N204</f>
        <v>0.65279988340880124</v>
      </c>
      <c r="N204" s="11">
        <f>'Session Details'!O204</f>
        <v>0.80339997497498794</v>
      </c>
    </row>
    <row r="205" spans="2:14" x14ac:dyDescent="0.35">
      <c r="B205" s="3">
        <v>43668</v>
      </c>
      <c r="C205" s="4">
        <v>385427</v>
      </c>
      <c r="D205" s="5">
        <v>0.19</v>
      </c>
      <c r="E205" s="4">
        <v>33</v>
      </c>
      <c r="F205" s="4">
        <v>17</v>
      </c>
      <c r="G205" s="4">
        <v>28</v>
      </c>
      <c r="H205" s="4">
        <v>372</v>
      </c>
      <c r="I205" s="4">
        <v>32</v>
      </c>
      <c r="J205" s="5">
        <v>0.94</v>
      </c>
      <c r="K205" s="11">
        <f>'Session Details'!L205</f>
        <v>0.24749998453500385</v>
      </c>
      <c r="L205" s="11">
        <f>'Session Details'!M205</f>
        <v>0.39999992483027147</v>
      </c>
      <c r="M205" s="11">
        <f>'Session Details'!N205</f>
        <v>0.7300001503394854</v>
      </c>
      <c r="N205" s="11">
        <f>'Session Details'!O205</f>
        <v>0.82819984592780227</v>
      </c>
    </row>
    <row r="206" spans="2:14" x14ac:dyDescent="0.35">
      <c r="B206" s="3">
        <v>43669</v>
      </c>
      <c r="C206" s="4">
        <v>390237</v>
      </c>
      <c r="D206" s="5">
        <v>0.19</v>
      </c>
      <c r="E206" s="4">
        <v>32</v>
      </c>
      <c r="F206" s="4">
        <v>18</v>
      </c>
      <c r="G206" s="4">
        <v>25</v>
      </c>
      <c r="H206" s="4">
        <v>382</v>
      </c>
      <c r="I206" s="4">
        <v>35</v>
      </c>
      <c r="J206" s="5">
        <v>0.93</v>
      </c>
      <c r="K206" s="11">
        <f>'Session Details'!L206</f>
        <v>0.2374999606493316</v>
      </c>
      <c r="L206" s="11">
        <f>'Session Details'!M206</f>
        <v>0.3959999683463542</v>
      </c>
      <c r="M206" s="11">
        <f>'Session Details'!N206</f>
        <v>0.75190004321402437</v>
      </c>
      <c r="N206" s="11">
        <f>'Session Details'!O206</f>
        <v>0.77899966247013397</v>
      </c>
    </row>
    <row r="207" spans="2:14" x14ac:dyDescent="0.35">
      <c r="B207" s="3">
        <v>43670</v>
      </c>
      <c r="C207" s="4">
        <v>393045</v>
      </c>
      <c r="D207" s="5">
        <v>0.19</v>
      </c>
      <c r="E207" s="4">
        <v>39</v>
      </c>
      <c r="F207" s="4">
        <v>22</v>
      </c>
      <c r="G207" s="4">
        <v>29</v>
      </c>
      <c r="H207" s="4">
        <v>360</v>
      </c>
      <c r="I207" s="4">
        <v>31</v>
      </c>
      <c r="J207" s="5">
        <v>0.93</v>
      </c>
      <c r="K207" s="11">
        <f>'Session Details'!L207</f>
        <v>0.25500000843419685</v>
      </c>
      <c r="L207" s="11">
        <f>'Session Details'!M207</f>
        <v>0.39200000143028241</v>
      </c>
      <c r="M207" s="11">
        <f>'Session Details'!N207</f>
        <v>0.70079960813181219</v>
      </c>
      <c r="N207" s="11">
        <f>'Session Details'!O207</f>
        <v>0.84460042107181321</v>
      </c>
    </row>
    <row r="208" spans="2:14" x14ac:dyDescent="0.35">
      <c r="B208" s="3">
        <v>43671</v>
      </c>
      <c r="C208" s="4">
        <v>392465</v>
      </c>
      <c r="D208" s="5">
        <v>0.19</v>
      </c>
      <c r="E208" s="4">
        <v>31</v>
      </c>
      <c r="F208" s="4">
        <v>21</v>
      </c>
      <c r="G208" s="4">
        <v>27</v>
      </c>
      <c r="H208" s="4">
        <v>373</v>
      </c>
      <c r="I208" s="4">
        <v>37</v>
      </c>
      <c r="J208" s="5">
        <v>0.94</v>
      </c>
      <c r="K208" s="11">
        <f>'Session Details'!L208</f>
        <v>0.2624999678888657</v>
      </c>
      <c r="L208" s="11">
        <f>'Session Details'!M208</f>
        <v>0.39199994239036767</v>
      </c>
      <c r="M208" s="11">
        <f>'Session Details'!N208</f>
        <v>0.74459980272993875</v>
      </c>
      <c r="N208" s="11">
        <f>'Session Details'!O208</f>
        <v>0.8200002656934694</v>
      </c>
    </row>
    <row r="209" spans="2:14" x14ac:dyDescent="0.35">
      <c r="B209" s="3">
        <v>43672</v>
      </c>
      <c r="C209" s="4">
        <v>401514</v>
      </c>
      <c r="D209" s="5">
        <v>0.19</v>
      </c>
      <c r="E209" s="4">
        <v>32</v>
      </c>
      <c r="F209" s="4">
        <v>17</v>
      </c>
      <c r="G209" s="4">
        <v>25</v>
      </c>
      <c r="H209" s="4">
        <v>388</v>
      </c>
      <c r="I209" s="4">
        <v>39</v>
      </c>
      <c r="J209" s="5">
        <v>0.91</v>
      </c>
      <c r="K209" s="11">
        <f>'Session Details'!L209</f>
        <v>0.25249997389135576</v>
      </c>
      <c r="L209" s="11">
        <f>'Session Details'!M209</f>
        <v>0.387999967663818</v>
      </c>
      <c r="M209" s="11">
        <f>'Session Details'!N209</f>
        <v>0.75919969687249556</v>
      </c>
      <c r="N209" s="11">
        <f>'Session Details'!O209</f>
        <v>0.79540032549382522</v>
      </c>
    </row>
    <row r="210" spans="2:14" x14ac:dyDescent="0.35">
      <c r="B210" s="3">
        <v>43673</v>
      </c>
      <c r="C210" s="4">
        <v>392433</v>
      </c>
      <c r="D210" s="5">
        <v>0.17</v>
      </c>
      <c r="E210" s="4">
        <v>38</v>
      </c>
      <c r="F210" s="4">
        <v>19</v>
      </c>
      <c r="G210" s="4">
        <v>29</v>
      </c>
      <c r="H210" s="4">
        <v>382</v>
      </c>
      <c r="I210" s="4">
        <v>32</v>
      </c>
      <c r="J210" s="5">
        <v>0.95</v>
      </c>
      <c r="K210" s="11">
        <f>'Session Details'!L210</f>
        <v>0.21419998997543982</v>
      </c>
      <c r="L210" s="11">
        <f>'Session Details'!M210</f>
        <v>0.32979993310719574</v>
      </c>
      <c r="M210" s="11">
        <f>'Session Details'!N210</f>
        <v>0.6799999873862913</v>
      </c>
      <c r="N210" s="11">
        <f>'Session Details'!O210</f>
        <v>0.78779985382937356</v>
      </c>
    </row>
    <row r="211" spans="2:14" x14ac:dyDescent="0.35">
      <c r="B211" s="3">
        <v>43674</v>
      </c>
      <c r="C211" s="4">
        <v>395692</v>
      </c>
      <c r="D211" s="5">
        <v>0.17</v>
      </c>
      <c r="E211" s="4">
        <v>40</v>
      </c>
      <c r="F211" s="4">
        <v>18</v>
      </c>
      <c r="G211" s="4">
        <v>26</v>
      </c>
      <c r="H211" s="4">
        <v>375</v>
      </c>
      <c r="I211" s="4">
        <v>31</v>
      </c>
      <c r="J211" s="5">
        <v>0.91</v>
      </c>
      <c r="K211" s="11">
        <f>'Session Details'!L211</f>
        <v>0.2015999886824669</v>
      </c>
      <c r="L211" s="11">
        <f>'Session Details'!M211</f>
        <v>0.35019992527009847</v>
      </c>
      <c r="M211" s="11">
        <f>'Session Details'!N211</f>
        <v>0.65959989629663851</v>
      </c>
      <c r="N211" s="11">
        <f>'Session Details'!O211</f>
        <v>0.8190003407783456</v>
      </c>
    </row>
    <row r="212" spans="2:14" x14ac:dyDescent="0.35">
      <c r="B212" s="3">
        <v>43675</v>
      </c>
      <c r="C212" s="4">
        <v>391474</v>
      </c>
      <c r="D212" s="5">
        <v>0.17</v>
      </c>
      <c r="E212" s="4">
        <v>35</v>
      </c>
      <c r="F212" s="4">
        <v>22</v>
      </c>
      <c r="G212" s="4">
        <v>25</v>
      </c>
      <c r="H212" s="4">
        <v>388</v>
      </c>
      <c r="I212" s="4">
        <v>38</v>
      </c>
      <c r="J212" s="5">
        <v>0.92</v>
      </c>
      <c r="K212" s="11">
        <f>'Session Details'!L212</f>
        <v>0.25749999988372185</v>
      </c>
      <c r="L212" s="11">
        <f>'Session Details'!M212</f>
        <v>0.39999996387474435</v>
      </c>
      <c r="M212" s="11">
        <f>'Session Details'!N212</f>
        <v>0.70079976807583777</v>
      </c>
      <c r="N212" s="11">
        <f>'Session Details'!O212</f>
        <v>0.83640015387262212</v>
      </c>
    </row>
    <row r="213" spans="2:14" x14ac:dyDescent="0.35">
      <c r="B213" s="3">
        <v>43676</v>
      </c>
      <c r="C213" s="4">
        <v>399345</v>
      </c>
      <c r="D213" s="5">
        <v>0.19</v>
      </c>
      <c r="E213" s="4">
        <v>34</v>
      </c>
      <c r="F213" s="4">
        <v>18</v>
      </c>
      <c r="G213" s="4">
        <v>29</v>
      </c>
      <c r="H213" s="4">
        <v>365</v>
      </c>
      <c r="I213" s="4">
        <v>39</v>
      </c>
      <c r="J213" s="5">
        <v>0.92</v>
      </c>
      <c r="K213" s="11">
        <f>'Session Details'!L213</f>
        <v>0.24999997601762725</v>
      </c>
      <c r="L213" s="11">
        <f>'Session Details'!M213</f>
        <v>0.39199997851179197</v>
      </c>
      <c r="M213" s="11">
        <f>'Session Details'!N213</f>
        <v>0.69349984607229853</v>
      </c>
      <c r="N213" s="11">
        <f>'Session Details'!O213</f>
        <v>0.85279998532043788</v>
      </c>
    </row>
    <row r="214" spans="2:14" x14ac:dyDescent="0.35">
      <c r="B214" s="3">
        <v>43677</v>
      </c>
      <c r="C214" s="4">
        <v>390149</v>
      </c>
      <c r="D214" s="5">
        <v>0.17</v>
      </c>
      <c r="E214" s="4">
        <v>33</v>
      </c>
      <c r="F214" s="4">
        <v>18</v>
      </c>
      <c r="G214" s="4">
        <v>29</v>
      </c>
      <c r="H214" s="4">
        <v>365</v>
      </c>
      <c r="I214" s="4">
        <v>39</v>
      </c>
      <c r="J214" s="5">
        <v>0.95</v>
      </c>
      <c r="K214" s="11">
        <f>'Session Details'!L214</f>
        <v>0.25</v>
      </c>
      <c r="L214" s="11">
        <f>'Session Details'!M214</f>
        <v>0.39599997496519718</v>
      </c>
      <c r="M214" s="11">
        <f>'Session Details'!N214</f>
        <v>0.69349975638028516</v>
      </c>
      <c r="N214" s="11">
        <f>'Session Details'!O214</f>
        <v>0.86099974800864976</v>
      </c>
    </row>
    <row r="215" spans="2:14" x14ac:dyDescent="0.35">
      <c r="B215" s="3">
        <v>43678</v>
      </c>
      <c r="C215" s="4">
        <v>386768</v>
      </c>
      <c r="D215" s="5">
        <v>0.19</v>
      </c>
      <c r="E215" s="4">
        <v>32</v>
      </c>
      <c r="F215" s="4">
        <v>20</v>
      </c>
      <c r="G215" s="4">
        <v>25</v>
      </c>
      <c r="H215" s="4">
        <v>384</v>
      </c>
      <c r="I215" s="4">
        <v>37</v>
      </c>
      <c r="J215" s="5">
        <v>0.94</v>
      </c>
      <c r="K215" s="11">
        <f>'Session Details'!L215</f>
        <v>0.25749998182982631</v>
      </c>
      <c r="L215" s="11">
        <f>'Session Details'!M215</f>
        <v>0.40799998737740967</v>
      </c>
      <c r="M215" s="11">
        <f>'Session Details'!N215</f>
        <v>0.75189966209132131</v>
      </c>
      <c r="N215" s="11">
        <f>'Session Details'!O215</f>
        <v>0.86099997542664763</v>
      </c>
    </row>
    <row r="216" spans="2:14" x14ac:dyDescent="0.35">
      <c r="B216" s="3">
        <v>43679</v>
      </c>
      <c r="C216" s="4">
        <v>387112</v>
      </c>
      <c r="D216" s="5">
        <v>0.17</v>
      </c>
      <c r="E216" s="4">
        <v>37</v>
      </c>
      <c r="F216" s="4">
        <v>21</v>
      </c>
      <c r="G216" s="4">
        <v>26</v>
      </c>
      <c r="H216" s="4">
        <v>384</v>
      </c>
      <c r="I216" s="4">
        <v>37</v>
      </c>
      <c r="J216" s="5">
        <v>0.93</v>
      </c>
      <c r="K216" s="11">
        <f>'Session Details'!L216</f>
        <v>0.25499996557501758</v>
      </c>
      <c r="L216" s="11">
        <f>'Session Details'!M216</f>
        <v>0.38800000068789781</v>
      </c>
      <c r="M216" s="11">
        <f>'Session Details'!N216</f>
        <v>0.7007999028432963</v>
      </c>
      <c r="N216" s="11">
        <f>'Session Details'!O216</f>
        <v>0.83639964101146724</v>
      </c>
    </row>
    <row r="217" spans="2:14" x14ac:dyDescent="0.35">
      <c r="B217" s="3">
        <v>43680</v>
      </c>
      <c r="C217" s="4">
        <v>409781</v>
      </c>
      <c r="D217" s="5">
        <v>0.19</v>
      </c>
      <c r="E217" s="4">
        <v>30</v>
      </c>
      <c r="F217" s="4">
        <v>19</v>
      </c>
      <c r="G217" s="4">
        <v>27</v>
      </c>
      <c r="H217" s="4">
        <v>358</v>
      </c>
      <c r="I217" s="4">
        <v>31</v>
      </c>
      <c r="J217" s="5">
        <v>0.92</v>
      </c>
      <c r="K217" s="11">
        <f>'Session Details'!L217</f>
        <v>0.19949999391247838</v>
      </c>
      <c r="L217" s="11">
        <f>'Session Details'!M217</f>
        <v>0.35019999867330898</v>
      </c>
      <c r="M217" s="11">
        <f>'Session Details'!N217</f>
        <v>0.70719981815771027</v>
      </c>
      <c r="N217" s="11">
        <f>'Session Details'!O217</f>
        <v>0.79559995214524992</v>
      </c>
    </row>
    <row r="218" spans="2:14" x14ac:dyDescent="0.35">
      <c r="B218" s="3">
        <v>43681</v>
      </c>
      <c r="C218" s="4">
        <v>388262</v>
      </c>
      <c r="D218" s="5">
        <v>0.18</v>
      </c>
      <c r="E218" s="4">
        <v>35</v>
      </c>
      <c r="F218" s="4">
        <v>22</v>
      </c>
      <c r="G218" s="4">
        <v>30</v>
      </c>
      <c r="H218" s="4">
        <v>369</v>
      </c>
      <c r="I218" s="4">
        <v>39</v>
      </c>
      <c r="J218" s="5">
        <v>0.95</v>
      </c>
      <c r="K218" s="11">
        <f>'Session Details'!L218</f>
        <v>0.20579999229404558</v>
      </c>
      <c r="L218" s="11">
        <f>'Session Details'!M218</f>
        <v>0.3229999213567637</v>
      </c>
      <c r="M218" s="11">
        <f>'Session Details'!N218</f>
        <v>0.70720009684388774</v>
      </c>
      <c r="N218" s="11">
        <f>'Session Details'!O218</f>
        <v>0.81119995976907833</v>
      </c>
    </row>
    <row r="219" spans="2:14" x14ac:dyDescent="0.35">
      <c r="B219" s="3">
        <v>43682</v>
      </c>
      <c r="C219" s="4">
        <v>403716</v>
      </c>
      <c r="D219" s="5">
        <v>0.17</v>
      </c>
      <c r="E219" s="4">
        <v>39</v>
      </c>
      <c r="F219" s="4">
        <v>22</v>
      </c>
      <c r="G219" s="4">
        <v>25</v>
      </c>
      <c r="H219" s="4">
        <v>389</v>
      </c>
      <c r="I219" s="4">
        <v>36</v>
      </c>
      <c r="J219" s="5">
        <v>0.92</v>
      </c>
      <c r="K219" s="11">
        <f>'Session Details'!L219</f>
        <v>0.25</v>
      </c>
      <c r="L219" s="11">
        <f>'Session Details'!M219</f>
        <v>0.39599997496519718</v>
      </c>
      <c r="M219" s="11">
        <f>'Session Details'!N219</f>
        <v>0.70079976807583777</v>
      </c>
      <c r="N219" s="11">
        <f>'Session Details'!O219</f>
        <v>0.77900012436103883</v>
      </c>
    </row>
    <row r="220" spans="2:14" x14ac:dyDescent="0.35">
      <c r="B220" s="3">
        <v>43683</v>
      </c>
      <c r="C220" s="4">
        <v>398247</v>
      </c>
      <c r="D220" s="5">
        <v>0.17</v>
      </c>
      <c r="E220" s="4">
        <v>31</v>
      </c>
      <c r="F220" s="4">
        <v>18</v>
      </c>
      <c r="G220" s="4">
        <v>29</v>
      </c>
      <c r="H220" s="4">
        <v>398</v>
      </c>
      <c r="I220" s="4">
        <v>32</v>
      </c>
      <c r="J220" s="5">
        <v>0.95</v>
      </c>
      <c r="K220" s="11">
        <f>'Session Details'!L220</f>
        <v>0.23999999291597632</v>
      </c>
      <c r="L220" s="11">
        <f>'Session Details'!M220</f>
        <v>0.39199999704832339</v>
      </c>
      <c r="M220" s="11">
        <f>'Session Details'!N220</f>
        <v>0.72269957936725315</v>
      </c>
      <c r="N220" s="11">
        <f>'Session Details'!O220</f>
        <v>0.79540002344268912</v>
      </c>
    </row>
    <row r="221" spans="2:14" x14ac:dyDescent="0.35">
      <c r="B221" s="3">
        <v>43684</v>
      </c>
      <c r="C221" s="4">
        <v>395396</v>
      </c>
      <c r="D221" s="5">
        <v>0.19</v>
      </c>
      <c r="E221" s="4">
        <v>34</v>
      </c>
      <c r="F221" s="4">
        <v>22</v>
      </c>
      <c r="G221" s="4">
        <v>29</v>
      </c>
      <c r="H221" s="4">
        <v>366</v>
      </c>
      <c r="I221" s="4">
        <v>37</v>
      </c>
      <c r="J221" s="5">
        <v>0.91</v>
      </c>
      <c r="K221" s="11">
        <f>'Session Details'!L221</f>
        <v>0.23749999667936389</v>
      </c>
      <c r="L221" s="11">
        <f>'Session Details'!M221</f>
        <v>0.39599991275465435</v>
      </c>
      <c r="M221" s="11">
        <f>'Session Details'!N221</f>
        <v>0.70079973034757292</v>
      </c>
      <c r="N221" s="11">
        <f>'Session Details'!O221</f>
        <v>0.79539985893258991</v>
      </c>
    </row>
    <row r="222" spans="2:14" x14ac:dyDescent="0.35">
      <c r="B222" s="3">
        <v>43685</v>
      </c>
      <c r="C222" s="4">
        <v>395163</v>
      </c>
      <c r="D222" s="5">
        <v>0.18</v>
      </c>
      <c r="E222" s="4">
        <v>32</v>
      </c>
      <c r="F222" s="4">
        <v>17</v>
      </c>
      <c r="G222" s="4">
        <v>29</v>
      </c>
      <c r="H222" s="4">
        <v>367</v>
      </c>
      <c r="I222" s="4">
        <v>37</v>
      </c>
      <c r="J222" s="5">
        <v>0.92</v>
      </c>
      <c r="K222" s="11">
        <f>'Session Details'!L222</f>
        <v>0.25249999448405425</v>
      </c>
      <c r="L222" s="11">
        <f>'Session Details'!M222</f>
        <v>0.41199988678420213</v>
      </c>
      <c r="M222" s="11">
        <f>'Session Details'!N222</f>
        <v>0.70080004278698171</v>
      </c>
      <c r="N222" s="11">
        <f>'Session Details'!O222</f>
        <v>0.8117995676184937</v>
      </c>
    </row>
    <row r="223" spans="2:14" x14ac:dyDescent="0.35">
      <c r="B223" s="3">
        <v>43686</v>
      </c>
      <c r="C223" s="4">
        <v>402090</v>
      </c>
      <c r="D223" s="5">
        <v>0.17</v>
      </c>
      <c r="E223" s="4">
        <v>32</v>
      </c>
      <c r="F223" s="4">
        <v>21</v>
      </c>
      <c r="G223" s="4">
        <v>30</v>
      </c>
      <c r="H223" s="4">
        <v>353</v>
      </c>
      <c r="I223" s="4">
        <v>34</v>
      </c>
      <c r="J223" s="5">
        <v>0.93</v>
      </c>
      <c r="K223" s="11">
        <f>'Session Details'!L223</f>
        <v>0.24749998162581355</v>
      </c>
      <c r="L223" s="11">
        <f>'Session Details'!M223</f>
        <v>0.37999993917756986</v>
      </c>
      <c r="M223" s="11">
        <f>'Session Details'!N223</f>
        <v>0.7372997849559555</v>
      </c>
      <c r="N223" s="11">
        <f>'Session Details'!O223</f>
        <v>0.84459999591363466</v>
      </c>
    </row>
    <row r="224" spans="2:14" x14ac:dyDescent="0.35">
      <c r="B224" s="3">
        <v>43687</v>
      </c>
      <c r="C224" s="4">
        <v>398762</v>
      </c>
      <c r="D224" s="5">
        <v>0.19</v>
      </c>
      <c r="E224" s="4">
        <v>30</v>
      </c>
      <c r="F224" s="4">
        <v>22</v>
      </c>
      <c r="G224" s="4">
        <v>27</v>
      </c>
      <c r="H224" s="4">
        <v>352</v>
      </c>
      <c r="I224" s="4">
        <v>30</v>
      </c>
      <c r="J224" s="5">
        <v>0.93</v>
      </c>
      <c r="K224" s="11">
        <f>'Session Details'!L224</f>
        <v>0.2015999883475198</v>
      </c>
      <c r="L224" s="11">
        <f>'Session Details'!M224</f>
        <v>0.353600026520002</v>
      </c>
      <c r="M224" s="11">
        <f>'Session Details'!N224</f>
        <v>0.70039993990384619</v>
      </c>
      <c r="N224" s="11">
        <f>'Session Details'!O224</f>
        <v>0.81119990252821728</v>
      </c>
    </row>
    <row r="225" spans="2:14" x14ac:dyDescent="0.35">
      <c r="B225" s="3">
        <v>43688</v>
      </c>
      <c r="C225" s="4">
        <v>383675</v>
      </c>
      <c r="D225" s="5">
        <v>0.19</v>
      </c>
      <c r="E225" s="4">
        <v>34</v>
      </c>
      <c r="F225" s="4">
        <v>29</v>
      </c>
      <c r="G225" s="4">
        <v>27</v>
      </c>
      <c r="H225" s="4">
        <v>396</v>
      </c>
      <c r="I225" s="4">
        <v>31</v>
      </c>
      <c r="J225" s="5">
        <v>0.95</v>
      </c>
      <c r="K225" s="11">
        <f>'Session Details'!L225</f>
        <v>0.22049999823831426</v>
      </c>
      <c r="L225" s="11">
        <f>'Session Details'!M225</f>
        <v>0.32639992099153153</v>
      </c>
      <c r="M225" s="11">
        <f>'Session Details'!N225</f>
        <v>0.32639989286683241</v>
      </c>
      <c r="N225" s="11">
        <f>'Session Details'!O225</f>
        <v>0.74099989162325142</v>
      </c>
    </row>
    <row r="226" spans="2:14" x14ac:dyDescent="0.35">
      <c r="B226" s="3">
        <v>43689</v>
      </c>
      <c r="C226" s="4">
        <v>390603</v>
      </c>
      <c r="D226" s="5">
        <v>0.18</v>
      </c>
      <c r="E226" s="4">
        <v>36</v>
      </c>
      <c r="F226" s="4">
        <v>21</v>
      </c>
      <c r="G226" s="4">
        <v>30</v>
      </c>
      <c r="H226" s="4">
        <v>382</v>
      </c>
      <c r="I226" s="4">
        <v>37</v>
      </c>
      <c r="J226" s="5">
        <v>0.91</v>
      </c>
      <c r="K226" s="11">
        <f>'Session Details'!L226</f>
        <v>0.24999998788259084</v>
      </c>
      <c r="L226" s="11">
        <f>'Session Details'!M226</f>
        <v>0.39999996122428877</v>
      </c>
      <c r="M226" s="11">
        <f>'Session Details'!N226</f>
        <v>0.70079979759076794</v>
      </c>
      <c r="N226" s="11">
        <f>'Session Details'!O226</f>
        <v>0.86100039215604907</v>
      </c>
    </row>
    <row r="227" spans="2:14" x14ac:dyDescent="0.35">
      <c r="B227" s="3">
        <v>43690</v>
      </c>
      <c r="C227" s="4">
        <v>400629</v>
      </c>
      <c r="D227" s="5">
        <v>0.19</v>
      </c>
      <c r="E227" s="4">
        <v>30</v>
      </c>
      <c r="F227" s="4">
        <v>19</v>
      </c>
      <c r="G227" s="4">
        <v>25</v>
      </c>
      <c r="H227" s="4">
        <v>382</v>
      </c>
      <c r="I227" s="4">
        <v>32</v>
      </c>
      <c r="J227" s="5">
        <v>0.93</v>
      </c>
      <c r="K227" s="11">
        <f>'Session Details'!L227</f>
        <v>0.25499996498573574</v>
      </c>
      <c r="L227" s="11">
        <f>'Session Details'!M227</f>
        <v>0.41599998796178772</v>
      </c>
      <c r="M227" s="11">
        <f>'Session Details'!N227</f>
        <v>0.70079995514608273</v>
      </c>
      <c r="N227" s="11">
        <f>'Session Details'!O227</f>
        <v>0.86099995741677238</v>
      </c>
    </row>
    <row r="228" spans="2:14" x14ac:dyDescent="0.35">
      <c r="B228" s="3">
        <v>43691</v>
      </c>
      <c r="C228" s="4">
        <v>398528</v>
      </c>
      <c r="D228" s="5">
        <v>0.17</v>
      </c>
      <c r="E228" s="4">
        <v>32</v>
      </c>
      <c r="F228" s="4">
        <v>17</v>
      </c>
      <c r="G228" s="4">
        <v>25</v>
      </c>
      <c r="H228" s="4">
        <v>372</v>
      </c>
      <c r="I228" s="4">
        <v>40</v>
      </c>
      <c r="J228" s="5">
        <v>0.91</v>
      </c>
      <c r="K228" s="11">
        <f>'Session Details'!L228</f>
        <v>0.24249998915258872</v>
      </c>
      <c r="L228" s="11">
        <f>'Session Details'!M228</f>
        <v>0.39199994595693022</v>
      </c>
      <c r="M228" s="11">
        <f>'Session Details'!N228</f>
        <v>0.72269993684292888</v>
      </c>
      <c r="N228" s="11">
        <f>'Session Details'!O228</f>
        <v>0.86100020816456213</v>
      </c>
    </row>
    <row r="229" spans="2:14" x14ac:dyDescent="0.35">
      <c r="B229" s="3">
        <v>43692</v>
      </c>
      <c r="C229" s="4">
        <v>384154</v>
      </c>
      <c r="D229" s="5">
        <v>0.17</v>
      </c>
      <c r="E229" s="4">
        <v>36</v>
      </c>
      <c r="F229" s="4">
        <v>21</v>
      </c>
      <c r="G229" s="4">
        <v>28</v>
      </c>
      <c r="H229" s="4">
        <v>362</v>
      </c>
      <c r="I229" s="4">
        <v>30</v>
      </c>
      <c r="J229" s="5">
        <v>0.92</v>
      </c>
      <c r="K229" s="11">
        <f>'Session Details'!L229</f>
        <v>0.25999998267570379</v>
      </c>
      <c r="L229" s="11">
        <f>'Session Details'!M229</f>
        <v>0.39199992705559011</v>
      </c>
      <c r="M229" s="11">
        <f>'Session Details'!N229</f>
        <v>0.7227000780563303</v>
      </c>
      <c r="N229" s="11">
        <f>'Session Details'!O229</f>
        <v>0.8035995575755287</v>
      </c>
    </row>
    <row r="230" spans="2:14" x14ac:dyDescent="0.35">
      <c r="B230" s="3">
        <v>43693</v>
      </c>
      <c r="C230" s="4">
        <v>405920</v>
      </c>
      <c r="D230" s="5">
        <v>0.19</v>
      </c>
      <c r="E230" s="4">
        <v>35</v>
      </c>
      <c r="F230" s="4">
        <v>17</v>
      </c>
      <c r="G230" s="4">
        <v>29</v>
      </c>
      <c r="H230" s="4">
        <v>351</v>
      </c>
      <c r="I230" s="4">
        <v>40</v>
      </c>
      <c r="J230" s="5">
        <v>0.95</v>
      </c>
      <c r="K230" s="11">
        <f>'Session Details'!L230</f>
        <v>0.2574999672273538</v>
      </c>
      <c r="L230" s="11">
        <f>'Session Details'!M230</f>
        <v>0.41600001459755453</v>
      </c>
      <c r="M230" s="11">
        <f>'Session Details'!N230</f>
        <v>0.69350005307403961</v>
      </c>
      <c r="N230" s="11">
        <f>'Session Details'!O230</f>
        <v>0.79539993611900839</v>
      </c>
    </row>
    <row r="231" spans="2:14" x14ac:dyDescent="0.35">
      <c r="B231" s="3">
        <v>43694</v>
      </c>
      <c r="C231" s="4">
        <v>408856</v>
      </c>
      <c r="D231" s="5">
        <v>0.17</v>
      </c>
      <c r="E231" s="4">
        <v>35</v>
      </c>
      <c r="F231" s="4">
        <v>17</v>
      </c>
      <c r="G231" s="4">
        <v>29</v>
      </c>
      <c r="H231" s="4">
        <v>371</v>
      </c>
      <c r="I231" s="4">
        <v>39</v>
      </c>
      <c r="J231" s="5">
        <v>0.94</v>
      </c>
      <c r="K231" s="11">
        <f>'Session Details'!L231</f>
        <v>0.21629999910035999</v>
      </c>
      <c r="L231" s="11">
        <f>'Session Details'!M231</f>
        <v>0.33660000718951472</v>
      </c>
      <c r="M231" s="11">
        <f>'Session Details'!N231</f>
        <v>0.69359988231832892</v>
      </c>
      <c r="N231" s="11">
        <f>'Session Details'!O231</f>
        <v>0.78780011079317225</v>
      </c>
    </row>
    <row r="232" spans="2:14" x14ac:dyDescent="0.35">
      <c r="B232" s="3">
        <v>43695</v>
      </c>
      <c r="C232" s="4">
        <v>390612</v>
      </c>
      <c r="D232" s="5">
        <v>0.17</v>
      </c>
      <c r="E232" s="4">
        <v>38</v>
      </c>
      <c r="F232" s="4">
        <v>20</v>
      </c>
      <c r="G232" s="4">
        <v>30</v>
      </c>
      <c r="H232" s="4">
        <v>380</v>
      </c>
      <c r="I232" s="4">
        <v>40</v>
      </c>
      <c r="J232" s="5">
        <v>0.94</v>
      </c>
      <c r="K232" s="11">
        <f>'Session Details'!L232</f>
        <v>0.20999999823550097</v>
      </c>
      <c r="L232" s="11">
        <f>'Session Details'!M232</f>
        <v>0.32979999403431276</v>
      </c>
      <c r="M232" s="11">
        <f>'Session Details'!N232</f>
        <v>0.64599989044809281</v>
      </c>
      <c r="N232" s="11">
        <f>'Session Details'!O232</f>
        <v>0.77999991126364998</v>
      </c>
    </row>
    <row r="233" spans="2:14" x14ac:dyDescent="0.35">
      <c r="B233" s="3">
        <v>43696</v>
      </c>
      <c r="C233" s="4">
        <v>408028</v>
      </c>
      <c r="D233" s="5">
        <v>0.18</v>
      </c>
      <c r="E233" s="4">
        <v>35</v>
      </c>
      <c r="F233" s="4">
        <v>20</v>
      </c>
      <c r="G233" s="4">
        <v>30</v>
      </c>
      <c r="H233" s="4">
        <v>388</v>
      </c>
      <c r="I233" s="4">
        <v>32</v>
      </c>
      <c r="J233" s="5">
        <v>0.93</v>
      </c>
      <c r="K233" s="11">
        <f>'Session Details'!L233</f>
        <v>0.23749998813243445</v>
      </c>
      <c r="L233" s="11">
        <f>'Session Details'!M233</f>
        <v>0.40799982890717257</v>
      </c>
      <c r="M233" s="11">
        <f>'Session Details'!N233</f>
        <v>0.75189991363249575</v>
      </c>
      <c r="N233" s="11">
        <f>'Session Details'!O233</f>
        <v>0.80359986343817846</v>
      </c>
    </row>
    <row r="234" spans="2:14" x14ac:dyDescent="0.35">
      <c r="B234" s="3">
        <v>43697</v>
      </c>
      <c r="C234" s="4">
        <v>383876</v>
      </c>
      <c r="D234" s="5">
        <v>0.18</v>
      </c>
      <c r="E234" s="4">
        <v>35</v>
      </c>
      <c r="F234" s="4">
        <v>22</v>
      </c>
      <c r="G234" s="4">
        <v>30</v>
      </c>
      <c r="H234" s="4">
        <v>351</v>
      </c>
      <c r="I234" s="4">
        <v>38</v>
      </c>
      <c r="J234" s="5">
        <v>0.92</v>
      </c>
      <c r="K234" s="11">
        <f>'Session Details'!L234</f>
        <v>0.26249996979645729</v>
      </c>
      <c r="L234" s="11">
        <f>'Session Details'!M234</f>
        <v>0.39999989579369516</v>
      </c>
      <c r="M234" s="11">
        <f>'Session Details'!N234</f>
        <v>0.74460026668137136</v>
      </c>
      <c r="N234" s="11">
        <f>'Session Details'!O234</f>
        <v>0.81179959717908734</v>
      </c>
    </row>
    <row r="235" spans="2:14" x14ac:dyDescent="0.35">
      <c r="B235" s="3">
        <v>43698</v>
      </c>
      <c r="C235" s="4">
        <v>390911</v>
      </c>
      <c r="D235" s="5">
        <v>0.19</v>
      </c>
      <c r="E235" s="4">
        <v>36</v>
      </c>
      <c r="F235" s="4">
        <v>18</v>
      </c>
      <c r="G235" s="4">
        <v>28</v>
      </c>
      <c r="H235" s="4">
        <v>382</v>
      </c>
      <c r="I235" s="4">
        <v>32</v>
      </c>
      <c r="J235" s="5">
        <v>0.93</v>
      </c>
      <c r="K235" s="11">
        <f>'Session Details'!L235</f>
        <v>0.25</v>
      </c>
      <c r="L235" s="11">
        <f>'Session Details'!M235</f>
        <v>0.40399984621478252</v>
      </c>
      <c r="M235" s="11">
        <f>'Session Details'!N235</f>
        <v>0.70810010738057783</v>
      </c>
      <c r="N235" s="11">
        <f>'Session Details'!O235</f>
        <v>0.8445996882067387</v>
      </c>
    </row>
    <row r="236" spans="2:14" x14ac:dyDescent="0.35">
      <c r="B236" s="3">
        <v>43699</v>
      </c>
      <c r="C236" s="4">
        <v>382072</v>
      </c>
      <c r="D236" s="5">
        <v>0.19</v>
      </c>
      <c r="E236" s="4">
        <v>36</v>
      </c>
      <c r="F236" s="4">
        <v>18</v>
      </c>
      <c r="G236" s="4">
        <v>29</v>
      </c>
      <c r="H236" s="4">
        <v>395</v>
      </c>
      <c r="I236" s="4">
        <v>37</v>
      </c>
      <c r="J236" s="5">
        <v>0.95</v>
      </c>
      <c r="K236" s="11">
        <f>'Session Details'!L236</f>
        <v>0.24999998860243672</v>
      </c>
      <c r="L236" s="11">
        <f>'Session Details'!M236</f>
        <v>0.39999996352779582</v>
      </c>
      <c r="M236" s="11">
        <f>'Session Details'!N236</f>
        <v>0.7372998074723347</v>
      </c>
      <c r="N236" s="11">
        <f>'Session Details'!O236</f>
        <v>0.86100006739915325</v>
      </c>
    </row>
    <row r="237" spans="2:14" x14ac:dyDescent="0.35">
      <c r="B237" s="3">
        <v>43700</v>
      </c>
      <c r="C237" s="4">
        <v>403634</v>
      </c>
      <c r="D237" s="5">
        <v>0.19</v>
      </c>
      <c r="E237" s="4">
        <v>39</v>
      </c>
      <c r="F237" s="4">
        <v>21</v>
      </c>
      <c r="G237" s="4">
        <v>27</v>
      </c>
      <c r="H237" s="4">
        <v>352</v>
      </c>
      <c r="I237" s="4">
        <v>34</v>
      </c>
      <c r="J237" s="5">
        <v>0.93</v>
      </c>
      <c r="K237" s="11">
        <f>'Session Details'!L237</f>
        <v>0.2600000019185898</v>
      </c>
      <c r="L237" s="11">
        <f>'Session Details'!M237</f>
        <v>0.3959998878362882</v>
      </c>
      <c r="M237" s="11">
        <f>'Session Details'!N237</f>
        <v>0.70809978309642896</v>
      </c>
      <c r="N237" s="11">
        <f>'Session Details'!O237</f>
        <v>0.85280034737070642</v>
      </c>
    </row>
    <row r="238" spans="2:14" x14ac:dyDescent="0.35">
      <c r="B238" s="3">
        <v>43701</v>
      </c>
      <c r="C238" s="4">
        <v>380313</v>
      </c>
      <c r="D238" s="5">
        <v>0.19</v>
      </c>
      <c r="E238" s="4">
        <v>36</v>
      </c>
      <c r="F238" s="4">
        <v>18</v>
      </c>
      <c r="G238" s="4">
        <v>29</v>
      </c>
      <c r="H238" s="4">
        <v>377</v>
      </c>
      <c r="I238" s="4">
        <v>31</v>
      </c>
      <c r="J238" s="5">
        <v>0.94</v>
      </c>
      <c r="K238" s="11">
        <f>'Session Details'!L238</f>
        <v>0.21629998125035968</v>
      </c>
      <c r="L238" s="11">
        <f>'Session Details'!M238</f>
        <v>0.35019996210815141</v>
      </c>
      <c r="M238" s="11">
        <f>'Session Details'!N238</f>
        <v>0.64599990135731722</v>
      </c>
      <c r="N238" s="11">
        <f>'Session Details'!O238</f>
        <v>0.77220020277492463</v>
      </c>
    </row>
    <row r="239" spans="2:14" x14ac:dyDescent="0.35">
      <c r="B239" s="3">
        <v>43702</v>
      </c>
      <c r="C239" s="4">
        <v>388418</v>
      </c>
      <c r="D239" s="5">
        <v>0.19</v>
      </c>
      <c r="E239" s="4">
        <v>31</v>
      </c>
      <c r="F239" s="4">
        <v>18</v>
      </c>
      <c r="G239" s="4">
        <v>27</v>
      </c>
      <c r="H239" s="4">
        <v>367</v>
      </c>
      <c r="I239" s="4">
        <v>33</v>
      </c>
      <c r="J239" s="5">
        <v>0.95</v>
      </c>
      <c r="K239" s="11">
        <f>'Session Details'!L239</f>
        <v>0.20999999707476361</v>
      </c>
      <c r="L239" s="11">
        <f>'Session Details'!M239</f>
        <v>0.35699992467248337</v>
      </c>
      <c r="M239" s="11">
        <f>'Session Details'!N239</f>
        <v>0.68679995077632339</v>
      </c>
      <c r="N239" s="11">
        <f>'Session Details'!O239</f>
        <v>0.78000001748074499</v>
      </c>
    </row>
    <row r="240" spans="2:14" x14ac:dyDescent="0.35">
      <c r="B240" s="3">
        <v>43703</v>
      </c>
      <c r="C240" s="4">
        <v>392670</v>
      </c>
      <c r="D240" s="5">
        <v>0.17</v>
      </c>
      <c r="E240" s="4">
        <v>32</v>
      </c>
      <c r="F240" s="4">
        <v>20</v>
      </c>
      <c r="G240" s="4">
        <v>30</v>
      </c>
      <c r="H240" s="4">
        <v>369</v>
      </c>
      <c r="I240" s="4">
        <v>30</v>
      </c>
      <c r="J240" s="5">
        <v>0.94</v>
      </c>
      <c r="K240" s="11">
        <f>'Session Details'!L240</f>
        <v>0.24249997541224722</v>
      </c>
      <c r="L240" s="11">
        <f>'Session Details'!M240</f>
        <v>0.399999963129889</v>
      </c>
      <c r="M240" s="11">
        <f>'Session Details'!N240</f>
        <v>0.72269986943370734</v>
      </c>
      <c r="N240" s="11">
        <f>'Session Details'!O240</f>
        <v>0.80359977271843164</v>
      </c>
    </row>
    <row r="241" spans="2:14" x14ac:dyDescent="0.35">
      <c r="B241" s="3">
        <v>43704</v>
      </c>
      <c r="C241" s="4">
        <v>405258</v>
      </c>
      <c r="D241" s="5">
        <v>0.19</v>
      </c>
      <c r="E241" s="4">
        <v>39</v>
      </c>
      <c r="F241" s="4">
        <v>22</v>
      </c>
      <c r="G241" s="4">
        <v>29</v>
      </c>
      <c r="H241" s="4">
        <v>361</v>
      </c>
      <c r="I241" s="4">
        <v>37</v>
      </c>
      <c r="J241" s="5">
        <v>0.94</v>
      </c>
      <c r="K241" s="11">
        <f>'Session Details'!L241</f>
        <v>0.23999999808141018</v>
      </c>
      <c r="L241" s="11">
        <f>'Session Details'!M241</f>
        <v>0.39199988008813524</v>
      </c>
      <c r="M241" s="11">
        <f>'Session Details'!N241</f>
        <v>0.73730014683089973</v>
      </c>
      <c r="N241" s="11">
        <f>'Session Details'!O241</f>
        <v>0.79539957266434791</v>
      </c>
    </row>
    <row r="242" spans="2:14" x14ac:dyDescent="0.35">
      <c r="B242" s="3">
        <v>43705</v>
      </c>
      <c r="C242" s="4">
        <v>400562</v>
      </c>
      <c r="D242" s="5">
        <v>0.19</v>
      </c>
      <c r="E242" s="4">
        <v>31</v>
      </c>
      <c r="F242" s="4">
        <v>19</v>
      </c>
      <c r="G242" s="4">
        <v>28</v>
      </c>
      <c r="H242" s="4">
        <v>382</v>
      </c>
      <c r="I242" s="4">
        <v>40</v>
      </c>
      <c r="J242" s="5">
        <v>0.95</v>
      </c>
      <c r="K242" s="11">
        <f>'Session Details'!L242</f>
        <v>0.25500000843419685</v>
      </c>
      <c r="L242" s="11">
        <f>'Session Details'!M242</f>
        <v>0.41199999785457642</v>
      </c>
      <c r="M242" s="11">
        <f>'Session Details'!N242</f>
        <v>0.73729973442571728</v>
      </c>
      <c r="N242" s="11">
        <f>'Session Details'!O242</f>
        <v>0.83639982743429764</v>
      </c>
    </row>
    <row r="243" spans="2:14" x14ac:dyDescent="0.35">
      <c r="B243" s="3">
        <v>43706</v>
      </c>
      <c r="C243" s="4">
        <v>386473</v>
      </c>
      <c r="D243" s="5">
        <v>0.17</v>
      </c>
      <c r="E243" s="4">
        <v>35</v>
      </c>
      <c r="F243" s="4">
        <v>22</v>
      </c>
      <c r="G243" s="4">
        <v>29</v>
      </c>
      <c r="H243" s="4">
        <v>362</v>
      </c>
      <c r="I243" s="4">
        <v>31</v>
      </c>
      <c r="J243" s="5">
        <v>0.92</v>
      </c>
      <c r="K243" s="11">
        <f>'Session Details'!L243</f>
        <v>0.24499998660902628</v>
      </c>
      <c r="L243" s="11">
        <f>'Session Details'!M243</f>
        <v>0.39199989720641165</v>
      </c>
      <c r="M243" s="11">
        <f>'Session Details'!N243</f>
        <v>0.76650009931419394</v>
      </c>
      <c r="N243" s="11">
        <f>'Session Details'!O243</f>
        <v>0.83639978554195338</v>
      </c>
    </row>
    <row r="244" spans="2:14" x14ac:dyDescent="0.35">
      <c r="B244" s="3">
        <v>43707</v>
      </c>
      <c r="C244" s="4">
        <v>382326</v>
      </c>
      <c r="D244" s="5">
        <v>0.19</v>
      </c>
      <c r="E244" s="4">
        <v>30</v>
      </c>
      <c r="F244" s="4">
        <v>20</v>
      </c>
      <c r="G244" s="4">
        <v>27</v>
      </c>
      <c r="H244" s="4">
        <v>389</v>
      </c>
      <c r="I244" s="4">
        <v>33</v>
      </c>
      <c r="J244" s="5">
        <v>0.91</v>
      </c>
      <c r="K244" s="11">
        <f>'Session Details'!L244</f>
        <v>0.24249998164992312</v>
      </c>
      <c r="L244" s="11">
        <f>'Session Details'!M244</f>
        <v>0.39999988719936513</v>
      </c>
      <c r="M244" s="11">
        <f>'Session Details'!N244</f>
        <v>0.71540015801493384</v>
      </c>
      <c r="N244" s="11">
        <f>'Session Details'!O244</f>
        <v>0.79539970265136961</v>
      </c>
    </row>
    <row r="245" spans="2:14" x14ac:dyDescent="0.35">
      <c r="B245" s="3">
        <v>43708</v>
      </c>
      <c r="C245" s="4">
        <v>391845</v>
      </c>
      <c r="D245" s="5">
        <v>0.19</v>
      </c>
      <c r="E245" s="4">
        <v>38</v>
      </c>
      <c r="F245" s="4">
        <v>19</v>
      </c>
      <c r="G245" s="4">
        <v>26</v>
      </c>
      <c r="H245" s="4">
        <v>372</v>
      </c>
      <c r="I245" s="4">
        <v>31</v>
      </c>
      <c r="J245" s="5">
        <v>0.95</v>
      </c>
      <c r="K245" s="11">
        <f>'Session Details'!L245</f>
        <v>0.20369998681919232</v>
      </c>
      <c r="L245" s="11">
        <f>'Session Details'!M245</f>
        <v>0.35359995287739177</v>
      </c>
      <c r="M245" s="11">
        <f>'Session Details'!N245</f>
        <v>0.66640005438400618</v>
      </c>
      <c r="N245" s="11">
        <f>'Session Details'!O245</f>
        <v>0.76440006616917255</v>
      </c>
    </row>
    <row r="246" spans="2:14" x14ac:dyDescent="0.35">
      <c r="B246" s="3">
        <v>43709</v>
      </c>
      <c r="C246" s="4">
        <v>407821</v>
      </c>
      <c r="D246" s="5">
        <v>0.18</v>
      </c>
      <c r="E246" s="4">
        <v>35</v>
      </c>
      <c r="F246" s="4">
        <v>22</v>
      </c>
      <c r="G246" s="4">
        <v>29</v>
      </c>
      <c r="H246" s="4">
        <v>385</v>
      </c>
      <c r="I246" s="4">
        <v>31</v>
      </c>
      <c r="J246" s="5">
        <v>0.94</v>
      </c>
      <c r="K246" s="11">
        <f>'Session Details'!L246</f>
        <v>0.21629999092748003</v>
      </c>
      <c r="L246" s="11">
        <f>'Session Details'!M246</f>
        <v>0.3535999444936509</v>
      </c>
      <c r="M246" s="11">
        <f>'Session Details'!N246</f>
        <v>0.68000003679101417</v>
      </c>
      <c r="N246" s="11">
        <f>'Session Details'!O246</f>
        <v>0.74879989611949505</v>
      </c>
    </row>
    <row r="247" spans="2:14" x14ac:dyDescent="0.35">
      <c r="B247" s="3">
        <v>43710</v>
      </c>
      <c r="C247" s="4">
        <v>389944</v>
      </c>
      <c r="D247" s="5">
        <v>0.17</v>
      </c>
      <c r="E247" s="4">
        <v>31</v>
      </c>
      <c r="F247" s="4">
        <v>22</v>
      </c>
      <c r="G247" s="4">
        <v>28</v>
      </c>
      <c r="H247" s="4">
        <v>364</v>
      </c>
      <c r="I247" s="4">
        <v>32</v>
      </c>
      <c r="J247" s="5">
        <v>0.92</v>
      </c>
      <c r="K247" s="11">
        <f>'Session Details'!L247</f>
        <v>0.24249996941219715</v>
      </c>
      <c r="L247" s="11">
        <f>'Session Details'!M247</f>
        <v>0.41199997757594925</v>
      </c>
      <c r="M247" s="11">
        <f>'Session Details'!N247</f>
        <v>0.7445998451455228</v>
      </c>
      <c r="N247" s="11">
        <f>'Session Details'!O247</f>
        <v>0.78720029144104153</v>
      </c>
    </row>
    <row r="248" spans="2:14" x14ac:dyDescent="0.35">
      <c r="B248" s="3">
        <v>43711</v>
      </c>
      <c r="C248" s="4">
        <v>402082</v>
      </c>
      <c r="D248" s="5">
        <v>0.18</v>
      </c>
      <c r="E248" s="4">
        <v>38</v>
      </c>
      <c r="F248" s="4">
        <v>17</v>
      </c>
      <c r="G248" s="4">
        <v>30</v>
      </c>
      <c r="H248" s="4">
        <v>351</v>
      </c>
      <c r="I248" s="4">
        <v>32</v>
      </c>
      <c r="J248" s="5">
        <v>0.95</v>
      </c>
      <c r="K248" s="11">
        <f>'Session Details'!L248</f>
        <v>0.25249997409903835</v>
      </c>
      <c r="L248" s="11">
        <f>'Session Details'!M248</f>
        <v>0.37999987024311704</v>
      </c>
      <c r="M248" s="11">
        <f>'Session Details'!N248</f>
        <v>0.6935000177654399</v>
      </c>
      <c r="N248" s="11">
        <f>'Session Details'!O248</f>
        <v>0.77899985627824531</v>
      </c>
    </row>
    <row r="249" spans="2:14" x14ac:dyDescent="0.35">
      <c r="B249" s="3">
        <v>43712</v>
      </c>
      <c r="C249" s="4">
        <v>384229</v>
      </c>
      <c r="D249" s="5">
        <v>0.19</v>
      </c>
      <c r="E249" s="4">
        <v>39</v>
      </c>
      <c r="F249" s="4">
        <v>20</v>
      </c>
      <c r="G249" s="4">
        <v>26</v>
      </c>
      <c r="H249" s="4">
        <v>361</v>
      </c>
      <c r="I249" s="4">
        <v>34</v>
      </c>
      <c r="J249" s="5">
        <v>0.93</v>
      </c>
      <c r="K249" s="11">
        <f>'Session Details'!L249</f>
        <v>0.25</v>
      </c>
      <c r="L249" s="11">
        <f>'Session Details'!M249</f>
        <v>0.40399984621478252</v>
      </c>
      <c r="M249" s="11">
        <f>'Session Details'!N249</f>
        <v>0.69350015536101739</v>
      </c>
      <c r="N249" s="11">
        <f>'Session Details'!O249</f>
        <v>0.83639957543849119</v>
      </c>
    </row>
    <row r="250" spans="2:14" x14ac:dyDescent="0.35">
      <c r="B250" s="3">
        <v>43713</v>
      </c>
      <c r="C250" s="4">
        <v>386978</v>
      </c>
      <c r="D250" s="5">
        <v>0.17</v>
      </c>
      <c r="E250" s="4">
        <v>32</v>
      </c>
      <c r="F250" s="4">
        <v>22</v>
      </c>
      <c r="G250" s="4">
        <v>26</v>
      </c>
      <c r="H250" s="4">
        <v>368</v>
      </c>
      <c r="I250" s="4">
        <v>31</v>
      </c>
      <c r="J250" s="5">
        <v>0.93</v>
      </c>
      <c r="K250" s="11">
        <f>'Session Details'!L250</f>
        <v>0.25499997019117343</v>
      </c>
      <c r="L250" s="11">
        <f>'Session Details'!M250</f>
        <v>0.40799996198459426</v>
      </c>
      <c r="M250" s="11">
        <f>'Session Details'!N250</f>
        <v>0.74459980861850328</v>
      </c>
      <c r="N250" s="11">
        <f>'Session Details'!O250</f>
        <v>0.80360036589287742</v>
      </c>
    </row>
    <row r="251" spans="2:14" x14ac:dyDescent="0.35">
      <c r="B251" s="3">
        <v>43714</v>
      </c>
      <c r="C251" s="4">
        <v>396745</v>
      </c>
      <c r="D251" s="5">
        <v>0.18</v>
      </c>
      <c r="E251" s="4">
        <v>33</v>
      </c>
      <c r="F251" s="4">
        <v>17</v>
      </c>
      <c r="G251" s="4">
        <v>30</v>
      </c>
      <c r="H251" s="4">
        <v>377</v>
      </c>
      <c r="I251" s="4">
        <v>34</v>
      </c>
      <c r="J251" s="5">
        <v>0.92</v>
      </c>
      <c r="K251" s="11">
        <f>'Session Details'!L251</f>
        <v>0.25249999448405425</v>
      </c>
      <c r="L251" s="11">
        <f>'Session Details'!M251</f>
        <v>0.3959999870827613</v>
      </c>
      <c r="M251" s="11">
        <f>'Session Details'!N251</f>
        <v>0.70080003607309793</v>
      </c>
      <c r="N251" s="11">
        <f>'Session Details'!O251</f>
        <v>0.84459935369802874</v>
      </c>
    </row>
    <row r="252" spans="2:14" x14ac:dyDescent="0.35">
      <c r="B252" s="3">
        <v>43715</v>
      </c>
      <c r="C252" s="4">
        <v>407003</v>
      </c>
      <c r="D252" s="5">
        <v>0.17</v>
      </c>
      <c r="E252" s="4">
        <v>34</v>
      </c>
      <c r="F252" s="4">
        <v>18</v>
      </c>
      <c r="G252" s="4">
        <v>26</v>
      </c>
      <c r="H252" s="4">
        <v>385</v>
      </c>
      <c r="I252" s="4">
        <v>37</v>
      </c>
      <c r="J252" s="5">
        <v>0.95</v>
      </c>
      <c r="K252" s="11">
        <f>'Session Details'!L252</f>
        <v>0.19949999293139989</v>
      </c>
      <c r="L252" s="11">
        <f>'Session Details'!M252</f>
        <v>0.3366000177157904</v>
      </c>
      <c r="M252" s="11">
        <f>'Session Details'!N252</f>
        <v>0.64600000000000002</v>
      </c>
      <c r="N252" s="11">
        <f>'Session Details'!O252</f>
        <v>0.74099969879666805</v>
      </c>
    </row>
    <row r="253" spans="2:14" x14ac:dyDescent="0.35">
      <c r="B253" s="3">
        <v>43716</v>
      </c>
      <c r="C253" s="4">
        <v>385901</v>
      </c>
      <c r="D253" s="5">
        <v>0.18</v>
      </c>
      <c r="E253" s="4">
        <v>35</v>
      </c>
      <c r="F253" s="4">
        <v>18</v>
      </c>
      <c r="G253" s="4">
        <v>30</v>
      </c>
      <c r="H253" s="4">
        <v>382</v>
      </c>
      <c r="I253" s="4">
        <v>34</v>
      </c>
      <c r="J253" s="5">
        <v>0.91</v>
      </c>
      <c r="K253" s="11">
        <f>'Session Details'!L253</f>
        <v>0.21419999832923997</v>
      </c>
      <c r="L253" s="11">
        <f>'Session Details'!M253</f>
        <v>0.34339999191833315</v>
      </c>
      <c r="M253" s="11">
        <f>'Session Details'!N253</f>
        <v>0.67319989677731973</v>
      </c>
      <c r="N253" s="11">
        <f>'Session Details'!O253</f>
        <v>0.79560015745522372</v>
      </c>
    </row>
    <row r="254" spans="2:14" x14ac:dyDescent="0.35">
      <c r="B254" s="3">
        <v>43717</v>
      </c>
      <c r="C254" s="4">
        <v>407716</v>
      </c>
      <c r="D254" s="5">
        <v>0.18</v>
      </c>
      <c r="E254" s="4">
        <v>35</v>
      </c>
      <c r="F254" s="4">
        <v>21</v>
      </c>
      <c r="G254" s="4">
        <v>26</v>
      </c>
      <c r="H254" s="4">
        <v>370</v>
      </c>
      <c r="I254" s="4">
        <v>38</v>
      </c>
      <c r="J254" s="5">
        <v>0.94</v>
      </c>
      <c r="K254" s="11">
        <f>'Session Details'!L254</f>
        <v>0.24749997006999935</v>
      </c>
      <c r="L254" s="11">
        <f>'Session Details'!M254</f>
        <v>0.41999995907007964</v>
      </c>
      <c r="M254" s="11">
        <f>'Session Details'!N254</f>
        <v>0.75189998569224503</v>
      </c>
      <c r="N254" s="11">
        <f>'Session Details'!O254</f>
        <v>0.83640003369806182</v>
      </c>
    </row>
    <row r="255" spans="2:14" x14ac:dyDescent="0.35">
      <c r="B255" s="3">
        <v>43718</v>
      </c>
      <c r="C255" s="4">
        <v>397777</v>
      </c>
      <c r="D255" s="5">
        <v>0.18</v>
      </c>
      <c r="E255" s="4">
        <v>35</v>
      </c>
      <c r="F255" s="4">
        <v>18</v>
      </c>
      <c r="G255" s="4">
        <v>27</v>
      </c>
      <c r="H255" s="4">
        <v>399</v>
      </c>
      <c r="I255" s="4">
        <v>37</v>
      </c>
      <c r="J255" s="5">
        <v>0.91</v>
      </c>
      <c r="K255" s="11">
        <f>'Session Details'!L255</f>
        <v>0.24499996870649643</v>
      </c>
      <c r="L255" s="11">
        <f>'Session Details'!M255</f>
        <v>0.38799989781711819</v>
      </c>
      <c r="M255" s="11">
        <f>'Session Details'!N255</f>
        <v>0.70810009297478393</v>
      </c>
      <c r="N255" s="11">
        <f>'Session Details'!O255</f>
        <v>0.7872001710841261</v>
      </c>
    </row>
    <row r="256" spans="2:14" x14ac:dyDescent="0.35">
      <c r="B256" s="3">
        <v>43719</v>
      </c>
      <c r="C256" s="4">
        <v>393437</v>
      </c>
      <c r="D256" s="5">
        <v>0.18</v>
      </c>
      <c r="E256" s="4">
        <v>40</v>
      </c>
      <c r="F256" s="4">
        <v>17</v>
      </c>
      <c r="G256" s="4">
        <v>26</v>
      </c>
      <c r="H256" s="4">
        <v>387</v>
      </c>
      <c r="I256" s="4">
        <v>31</v>
      </c>
      <c r="J256" s="5">
        <v>0.94</v>
      </c>
      <c r="K256" s="11">
        <f>'Session Details'!L256</f>
        <v>0.2399999620237902</v>
      </c>
      <c r="L256" s="11">
        <f>'Session Details'!M256</f>
        <v>0.39199999367063071</v>
      </c>
      <c r="M256" s="11">
        <f>'Session Details'!N256</f>
        <v>0.75919988778286385</v>
      </c>
      <c r="N256" s="11">
        <f>'Session Details'!O256</f>
        <v>0.82819975847995231</v>
      </c>
    </row>
    <row r="257" spans="2:14" x14ac:dyDescent="0.35">
      <c r="B257" s="3">
        <v>43720</v>
      </c>
      <c r="C257" s="4">
        <v>406634</v>
      </c>
      <c r="D257" s="5">
        <v>0.18</v>
      </c>
      <c r="E257" s="4">
        <v>34</v>
      </c>
      <c r="F257" s="4">
        <v>20</v>
      </c>
      <c r="G257" s="4">
        <v>25</v>
      </c>
      <c r="H257" s="4">
        <v>368</v>
      </c>
      <c r="I257" s="4">
        <v>36</v>
      </c>
      <c r="J257" s="5">
        <v>0.91</v>
      </c>
      <c r="K257" s="11">
        <f>'Session Details'!L257</f>
        <v>0.24750000551594573</v>
      </c>
      <c r="L257" s="11">
        <f>'Session Details'!M257</f>
        <v>0.39199986821807581</v>
      </c>
      <c r="M257" s="11">
        <f>'Session Details'!N257</f>
        <v>0.75919979631538481</v>
      </c>
      <c r="N257" s="11">
        <f>'Session Details'!O257</f>
        <v>0.852800098980243</v>
      </c>
    </row>
    <row r="258" spans="2:14" x14ac:dyDescent="0.35">
      <c r="B258" s="3">
        <v>43721</v>
      </c>
      <c r="C258" s="4">
        <v>392550</v>
      </c>
      <c r="D258" s="5">
        <v>0.19</v>
      </c>
      <c r="E258" s="4">
        <v>30</v>
      </c>
      <c r="F258" s="4">
        <v>19</v>
      </c>
      <c r="G258" s="4">
        <v>29</v>
      </c>
      <c r="H258" s="4">
        <v>384</v>
      </c>
      <c r="I258" s="4">
        <v>32</v>
      </c>
      <c r="J258" s="5">
        <v>0.92</v>
      </c>
      <c r="K258" s="11">
        <f>'Session Details'!L258</f>
        <v>0.26249996327270986</v>
      </c>
      <c r="L258" s="11">
        <f>'Session Details'!M258</f>
        <v>0.387999948545242</v>
      </c>
      <c r="M258" s="11">
        <f>'Session Details'!N258</f>
        <v>0.69350003832067608</v>
      </c>
      <c r="N258" s="11">
        <f>'Session Details'!O258</f>
        <v>0.84460015720283266</v>
      </c>
    </row>
    <row r="259" spans="2:14" x14ac:dyDescent="0.35">
      <c r="B259" s="3">
        <v>43722</v>
      </c>
      <c r="C259" s="4">
        <v>406604</v>
      </c>
      <c r="D259" s="5">
        <v>0.17</v>
      </c>
      <c r="E259" s="4">
        <v>64</v>
      </c>
      <c r="F259" s="4">
        <v>22</v>
      </c>
      <c r="G259" s="4">
        <v>30</v>
      </c>
      <c r="H259" s="4">
        <v>378</v>
      </c>
      <c r="I259" s="4">
        <v>35</v>
      </c>
      <c r="J259" s="5">
        <v>0.93</v>
      </c>
      <c r="K259" s="11">
        <f>'Session Details'!L259</f>
        <v>0.20999999707476361</v>
      </c>
      <c r="L259" s="11">
        <f>'Session Details'!M259</f>
        <v>0.14959991230719827</v>
      </c>
      <c r="M259" s="11">
        <f>'Session Details'!N259</f>
        <v>0.67319985703572605</v>
      </c>
      <c r="N259" s="11">
        <f>'Session Details'!O259</f>
        <v>0.74100054261668924</v>
      </c>
    </row>
    <row r="260" spans="2:14" x14ac:dyDescent="0.35">
      <c r="B260" s="3">
        <v>43723</v>
      </c>
      <c r="C260" s="4">
        <v>393532</v>
      </c>
      <c r="D260" s="5">
        <v>0.19</v>
      </c>
      <c r="E260" s="4">
        <v>31</v>
      </c>
      <c r="F260" s="4">
        <v>18</v>
      </c>
      <c r="G260" s="4">
        <v>29</v>
      </c>
      <c r="H260" s="4">
        <v>385</v>
      </c>
      <c r="I260" s="4">
        <v>38</v>
      </c>
      <c r="J260" s="5">
        <v>0.94</v>
      </c>
      <c r="K260" s="11">
        <f>'Session Details'!L260</f>
        <v>0.20580000066181561</v>
      </c>
      <c r="L260" s="11">
        <f>'Session Details'!M260</f>
        <v>0.35359993105955989</v>
      </c>
      <c r="M260" s="11">
        <f>'Session Details'!N260</f>
        <v>0.69359989966314639</v>
      </c>
      <c r="N260" s="11">
        <f>'Session Details'!O260</f>
        <v>0.79559992321311956</v>
      </c>
    </row>
    <row r="261" spans="2:14" x14ac:dyDescent="0.35">
      <c r="B261" s="3">
        <v>43724</v>
      </c>
      <c r="C261" s="4">
        <v>398745</v>
      </c>
      <c r="D261" s="5">
        <v>0.19</v>
      </c>
      <c r="E261" s="4">
        <v>33</v>
      </c>
      <c r="F261" s="4">
        <v>21</v>
      </c>
      <c r="G261" s="4">
        <v>25</v>
      </c>
      <c r="H261" s="4">
        <v>367</v>
      </c>
      <c r="I261" s="4">
        <v>32</v>
      </c>
      <c r="J261" s="5">
        <v>0.95</v>
      </c>
      <c r="K261" s="11">
        <f>'Session Details'!L261</f>
        <v>0.24749997249348119</v>
      </c>
      <c r="L261" s="11">
        <f>'Session Details'!M261</f>
        <v>0.38400000470008649</v>
      </c>
      <c r="M261" s="11">
        <f>'Session Details'!N261</f>
        <v>0.73730005125419784</v>
      </c>
      <c r="N261" s="11">
        <f>'Session Details'!O261</f>
        <v>0.80359947956331457</v>
      </c>
    </row>
    <row r="262" spans="2:14" x14ac:dyDescent="0.35">
      <c r="B262" s="3">
        <v>43725</v>
      </c>
      <c r="C262" s="4">
        <v>388146</v>
      </c>
      <c r="D262" s="5">
        <v>0.17</v>
      </c>
      <c r="E262" s="4">
        <v>32</v>
      </c>
      <c r="F262" s="4">
        <v>18</v>
      </c>
      <c r="G262" s="4">
        <v>29</v>
      </c>
      <c r="H262" s="4">
        <v>382</v>
      </c>
      <c r="I262" s="4">
        <v>30</v>
      </c>
      <c r="J262" s="5">
        <v>0.94</v>
      </c>
      <c r="K262" s="11">
        <f>'Session Details'!L262</f>
        <v>0.23749998882374873</v>
      </c>
      <c r="L262" s="11">
        <f>'Session Details'!M262</f>
        <v>0.41200002861120461</v>
      </c>
      <c r="M262" s="11">
        <f>'Session Details'!N262</f>
        <v>0.72269967968647564</v>
      </c>
      <c r="N262" s="11">
        <f>'Session Details'!O262</f>
        <v>0.86099984827795484</v>
      </c>
    </row>
    <row r="263" spans="2:14" x14ac:dyDescent="0.35">
      <c r="B263" s="3">
        <v>43726</v>
      </c>
      <c r="C263" s="4">
        <v>406545</v>
      </c>
      <c r="D263" s="5">
        <v>0.18</v>
      </c>
      <c r="E263" s="4">
        <v>32</v>
      </c>
      <c r="F263" s="4">
        <v>20</v>
      </c>
      <c r="G263" s="4">
        <v>28</v>
      </c>
      <c r="H263" s="4">
        <v>377</v>
      </c>
      <c r="I263" s="4">
        <v>35</v>
      </c>
      <c r="J263" s="5">
        <v>0.93</v>
      </c>
      <c r="K263" s="11">
        <f>'Session Details'!L263</f>
        <v>0.26249996104681417</v>
      </c>
      <c r="L263" s="11">
        <f>'Session Details'!M263</f>
        <v>0.37999993975682667</v>
      </c>
      <c r="M263" s="11">
        <f>'Session Details'!N263</f>
        <v>0.70079980752023296</v>
      </c>
      <c r="N263" s="11">
        <f>'Session Details'!O263</f>
        <v>0.79540028902887894</v>
      </c>
    </row>
    <row r="264" spans="2:14" x14ac:dyDescent="0.35">
      <c r="B264" s="3">
        <v>43727</v>
      </c>
      <c r="C264" s="4">
        <v>406600</v>
      </c>
      <c r="D264" s="5">
        <v>0.19</v>
      </c>
      <c r="E264" s="4">
        <v>33</v>
      </c>
      <c r="F264" s="4">
        <v>21</v>
      </c>
      <c r="G264" s="4">
        <v>30</v>
      </c>
      <c r="H264" s="4">
        <v>351</v>
      </c>
      <c r="I264" s="4">
        <v>34</v>
      </c>
      <c r="J264" s="5">
        <v>0.95</v>
      </c>
      <c r="K264" s="11">
        <f>'Session Details'!L264</f>
        <v>0.2374999606493316</v>
      </c>
      <c r="L264" s="11">
        <f>'Session Details'!M264</f>
        <v>0.4080000633072916</v>
      </c>
      <c r="M264" s="11">
        <f>'Session Details'!N264</f>
        <v>0.74460001881374493</v>
      </c>
      <c r="N264" s="11">
        <f>'Session Details'!O264</f>
        <v>0.81999993487908673</v>
      </c>
    </row>
    <row r="265" spans="2:14" x14ac:dyDescent="0.35">
      <c r="B265" s="3">
        <v>43728</v>
      </c>
      <c r="C265" s="4">
        <v>407858</v>
      </c>
      <c r="D265" s="5">
        <v>0.19</v>
      </c>
      <c r="E265" s="4">
        <v>39</v>
      </c>
      <c r="F265" s="4">
        <v>21</v>
      </c>
      <c r="G265" s="4">
        <v>27</v>
      </c>
      <c r="H265" s="4">
        <v>383</v>
      </c>
      <c r="I265" s="4">
        <v>35</v>
      </c>
      <c r="J265" s="5">
        <v>0.93</v>
      </c>
      <c r="K265" s="11">
        <f>'Session Details'!L265</f>
        <v>0.23999998496452074</v>
      </c>
      <c r="L265" s="11">
        <f>'Session Details'!M265</f>
        <v>0.39999996084510364</v>
      </c>
      <c r="M265" s="11">
        <f>'Session Details'!N265</f>
        <v>0.73729998575740507</v>
      </c>
      <c r="N265" s="11">
        <f>'Session Details'!O265</f>
        <v>0.8199999070648627</v>
      </c>
    </row>
    <row r="266" spans="2:14" x14ac:dyDescent="0.35">
      <c r="B266" s="3">
        <v>43729</v>
      </c>
      <c r="C266" s="4">
        <v>388449</v>
      </c>
      <c r="D266" s="5">
        <v>0.17</v>
      </c>
      <c r="E266" s="4">
        <v>37</v>
      </c>
      <c r="F266" s="4">
        <v>20</v>
      </c>
      <c r="G266" s="4">
        <v>25</v>
      </c>
      <c r="H266" s="4">
        <v>372</v>
      </c>
      <c r="I266" s="4">
        <v>31</v>
      </c>
      <c r="J266" s="5">
        <v>0.91</v>
      </c>
      <c r="K266" s="11">
        <f>'Session Details'!L266</f>
        <v>0.2015999970903771</v>
      </c>
      <c r="L266" s="11">
        <f>'Session Details'!M266</f>
        <v>0.34339995882183544</v>
      </c>
      <c r="M266" s="11">
        <f>'Session Details'!N266</f>
        <v>0.6459998200646323</v>
      </c>
      <c r="N266" s="11">
        <f>'Session Details'!O266</f>
        <v>0.74880007644541036</v>
      </c>
    </row>
    <row r="267" spans="2:14" x14ac:dyDescent="0.35">
      <c r="B267" s="3">
        <v>43730</v>
      </c>
      <c r="C267" s="4">
        <v>401959</v>
      </c>
      <c r="D267" s="5">
        <v>0.19</v>
      </c>
      <c r="E267" s="4">
        <v>31</v>
      </c>
      <c r="F267" s="4">
        <v>20</v>
      </c>
      <c r="G267" s="4">
        <v>25</v>
      </c>
      <c r="H267" s="4">
        <v>366</v>
      </c>
      <c r="I267" s="4">
        <v>31</v>
      </c>
      <c r="J267" s="5">
        <v>0.95</v>
      </c>
      <c r="K267" s="11">
        <f>'Session Details'!L267</f>
        <v>0.20579998337975972</v>
      </c>
      <c r="L267" s="11">
        <f>'Session Details'!M267</f>
        <v>0.35699998599183536</v>
      </c>
      <c r="M267" s="11">
        <f>'Session Details'!N267</f>
        <v>0.71399996076144201</v>
      </c>
      <c r="N267" s="11">
        <f>'Session Details'!O267</f>
        <v>0.78780002522978465</v>
      </c>
    </row>
    <row r="268" spans="2:14" x14ac:dyDescent="0.35">
      <c r="B268" s="3">
        <v>43731</v>
      </c>
      <c r="C268" s="4">
        <v>405567</v>
      </c>
      <c r="D268" s="5">
        <v>0.19</v>
      </c>
      <c r="E268" s="4">
        <v>35</v>
      </c>
      <c r="F268" s="4">
        <v>22</v>
      </c>
      <c r="G268" s="4">
        <v>27</v>
      </c>
      <c r="H268" s="4">
        <v>359</v>
      </c>
      <c r="I268" s="4">
        <v>31</v>
      </c>
      <c r="J268" s="5">
        <v>0.91</v>
      </c>
      <c r="K268" s="11">
        <f>'Session Details'!L268</f>
        <v>0.25249999448405425</v>
      </c>
      <c r="L268" s="11">
        <f>'Session Details'!M268</f>
        <v>0.41599986170956232</v>
      </c>
      <c r="M268" s="11">
        <f>'Session Details'!N268</f>
        <v>0.69349996187111895</v>
      </c>
      <c r="N268" s="11">
        <f>'Session Details'!O268</f>
        <v>0.80360025916493061</v>
      </c>
    </row>
    <row r="269" spans="2:14" x14ac:dyDescent="0.35">
      <c r="B269" s="3">
        <v>43732</v>
      </c>
      <c r="C269" s="4">
        <v>388298</v>
      </c>
      <c r="D269" s="5">
        <v>0.19</v>
      </c>
      <c r="E269" s="4">
        <v>38</v>
      </c>
      <c r="F269" s="4">
        <v>17</v>
      </c>
      <c r="G269" s="4">
        <v>30</v>
      </c>
      <c r="H269" s="4">
        <v>398</v>
      </c>
      <c r="I269" s="4">
        <v>35</v>
      </c>
      <c r="J269" s="5">
        <v>0.95</v>
      </c>
      <c r="K269" s="11">
        <f>'Session Details'!L269</f>
        <v>0.25999998267570379</v>
      </c>
      <c r="L269" s="11">
        <f>'Session Details'!M269</f>
        <v>0.39199992705559011</v>
      </c>
      <c r="M269" s="11">
        <f>'Session Details'!N269</f>
        <v>0.7227000780563303</v>
      </c>
      <c r="N269" s="11">
        <f>'Session Details'!O269</f>
        <v>0.82819967034796671</v>
      </c>
    </row>
    <row r="270" spans="2:14" x14ac:dyDescent="0.35">
      <c r="B270" s="3">
        <v>43733</v>
      </c>
      <c r="C270" s="4">
        <v>391681</v>
      </c>
      <c r="D270" s="5">
        <v>0.17</v>
      </c>
      <c r="E270" s="4">
        <v>32</v>
      </c>
      <c r="F270" s="4">
        <v>21</v>
      </c>
      <c r="G270" s="4">
        <v>28</v>
      </c>
      <c r="H270" s="4">
        <v>388</v>
      </c>
      <c r="I270" s="4">
        <v>37</v>
      </c>
      <c r="J270" s="5">
        <v>0.91</v>
      </c>
      <c r="K270" s="11">
        <f>'Session Details'!L270</f>
        <v>0.26249996887185933</v>
      </c>
      <c r="L270" s="11">
        <f>'Session Details'!M270</f>
        <v>0.40799994988172983</v>
      </c>
      <c r="M270" s="11">
        <f>'Session Details'!N270</f>
        <v>0.76649989821918674</v>
      </c>
      <c r="N270" s="11">
        <f>'Session Details'!O270</f>
        <v>0.80360023031583716</v>
      </c>
    </row>
    <row r="271" spans="2:14" x14ac:dyDescent="0.35">
      <c r="B271" s="3">
        <v>43734</v>
      </c>
      <c r="C271" s="4">
        <v>400929</v>
      </c>
      <c r="D271" s="5">
        <v>0.19</v>
      </c>
      <c r="E271" s="4">
        <v>30</v>
      </c>
      <c r="F271" s="4">
        <v>18</v>
      </c>
      <c r="G271" s="4">
        <v>28</v>
      </c>
      <c r="H271" s="4">
        <v>394</v>
      </c>
      <c r="I271" s="4">
        <v>35</v>
      </c>
      <c r="J271" s="5">
        <v>0.91</v>
      </c>
      <c r="K271" s="11">
        <f>'Session Details'!L271</f>
        <v>0.24249997541224722</v>
      </c>
      <c r="L271" s="11">
        <f>'Session Details'!M271</f>
        <v>0.40800003981971988</v>
      </c>
      <c r="M271" s="11">
        <f>'Session Details'!N271</f>
        <v>0.74459995255684708</v>
      </c>
      <c r="N271" s="11">
        <f>'Session Details'!O271</f>
        <v>0.81179965168423418</v>
      </c>
    </row>
    <row r="272" spans="2:14" x14ac:dyDescent="0.35">
      <c r="B272" s="3">
        <v>43735</v>
      </c>
      <c r="C272" s="4">
        <v>400010</v>
      </c>
      <c r="D272" s="5">
        <v>0.19</v>
      </c>
      <c r="E272" s="4">
        <v>37</v>
      </c>
      <c r="F272" s="4">
        <v>21</v>
      </c>
      <c r="G272" s="4">
        <v>29</v>
      </c>
      <c r="H272" s="4">
        <v>393</v>
      </c>
      <c r="I272" s="4">
        <v>38</v>
      </c>
      <c r="J272" s="5">
        <v>0.92</v>
      </c>
      <c r="K272" s="11">
        <f>'Session Details'!L272</f>
        <v>0.24249996858309167</v>
      </c>
      <c r="L272" s="11">
        <f>'Session Details'!M272</f>
        <v>0.38800003006450418</v>
      </c>
      <c r="M272" s="11">
        <f>'Session Details'!N272</f>
        <v>0.75190005959272022</v>
      </c>
      <c r="N272" s="11">
        <f>'Session Details'!O272</f>
        <v>0.81179947442785039</v>
      </c>
    </row>
    <row r="273" spans="2:14" x14ac:dyDescent="0.35">
      <c r="B273" s="3">
        <v>43736</v>
      </c>
      <c r="C273" s="4">
        <v>406277</v>
      </c>
      <c r="D273" s="5">
        <v>0.19</v>
      </c>
      <c r="E273" s="4">
        <v>38</v>
      </c>
      <c r="F273" s="4">
        <v>17</v>
      </c>
      <c r="G273" s="4">
        <v>30</v>
      </c>
      <c r="H273" s="4">
        <v>397</v>
      </c>
      <c r="I273" s="4">
        <v>36</v>
      </c>
      <c r="J273" s="5">
        <v>0.94</v>
      </c>
      <c r="K273" s="11">
        <f>'Session Details'!L273</f>
        <v>0.20999998749771406</v>
      </c>
      <c r="L273" s="11">
        <f>'Session Details'!M273</f>
        <v>0.33999995670203748</v>
      </c>
      <c r="M273" s="11">
        <f>'Session Details'!N273</f>
        <v>0.68</v>
      </c>
      <c r="N273" s="11">
        <f>'Session Details'!O273</f>
        <v>0.74100015122452068</v>
      </c>
    </row>
    <row r="274" spans="2:14" x14ac:dyDescent="0.35">
      <c r="B274" s="3">
        <v>43737</v>
      </c>
      <c r="C274" s="4">
        <v>400829</v>
      </c>
      <c r="D274" s="5">
        <v>0.18</v>
      </c>
      <c r="E274" s="4">
        <v>30</v>
      </c>
      <c r="F274" s="4">
        <v>22</v>
      </c>
      <c r="G274" s="4">
        <v>28</v>
      </c>
      <c r="H274" s="4">
        <v>360</v>
      </c>
      <c r="I274" s="4">
        <v>39</v>
      </c>
      <c r="J274" s="5">
        <v>0.91</v>
      </c>
      <c r="K274" s="11">
        <f>'Session Details'!L274</f>
        <v>0.20789999583306593</v>
      </c>
      <c r="L274" s="11">
        <f>'Session Details'!M274</f>
        <v>0.33659991315087495</v>
      </c>
      <c r="M274" s="11">
        <f>'Session Details'!N274</f>
        <v>0.65280010776475916</v>
      </c>
      <c r="N274" s="11">
        <f>'Session Details'!O274</f>
        <v>0.80339986356195692</v>
      </c>
    </row>
    <row r="275" spans="2:14" x14ac:dyDescent="0.35">
      <c r="B275" s="3">
        <v>43738</v>
      </c>
      <c r="C275" s="4">
        <v>392169</v>
      </c>
      <c r="D275" s="5">
        <v>0.18</v>
      </c>
      <c r="E275" s="4">
        <v>32</v>
      </c>
      <c r="F275" s="4">
        <v>18</v>
      </c>
      <c r="G275" s="4">
        <v>28</v>
      </c>
      <c r="H275" s="4">
        <v>359</v>
      </c>
      <c r="I275" s="4">
        <v>34</v>
      </c>
      <c r="J275" s="5">
        <v>0.91</v>
      </c>
      <c r="K275" s="11">
        <f>'Session Details'!L275</f>
        <v>0.24749997006999935</v>
      </c>
      <c r="L275" s="11">
        <f>'Session Details'!M275</f>
        <v>0.39999992558196301</v>
      </c>
      <c r="M275" s="11">
        <f>'Session Details'!N275</f>
        <v>0.72270020316127881</v>
      </c>
      <c r="N275" s="11">
        <f>'Session Details'!O275</f>
        <v>0.79539997309850519</v>
      </c>
    </row>
    <row r="276" spans="2:14" x14ac:dyDescent="0.35">
      <c r="B276" s="3">
        <v>43739</v>
      </c>
      <c r="C276" s="4">
        <v>383376</v>
      </c>
      <c r="D276" s="5">
        <v>0.17</v>
      </c>
      <c r="E276" s="4">
        <v>30</v>
      </c>
      <c r="F276" s="4">
        <v>21</v>
      </c>
      <c r="G276" s="4">
        <v>25</v>
      </c>
      <c r="H276" s="4">
        <v>394</v>
      </c>
      <c r="I276" s="4">
        <v>35</v>
      </c>
      <c r="J276" s="5">
        <v>0.92</v>
      </c>
      <c r="K276" s="11">
        <f>'Session Details'!L276</f>
        <v>0.24249998164992312</v>
      </c>
      <c r="L276" s="11">
        <f>'Session Details'!M276</f>
        <v>0.3919998781753144</v>
      </c>
      <c r="M276" s="11">
        <f>'Session Details'!N276</f>
        <v>0.70809997055288632</v>
      </c>
      <c r="N276" s="11">
        <f>'Session Details'!O276</f>
        <v>0.79539979206951783</v>
      </c>
    </row>
    <row r="277" spans="2:14" x14ac:dyDescent="0.35">
      <c r="B277" s="3">
        <v>43740</v>
      </c>
      <c r="C277" s="4">
        <v>384903</v>
      </c>
      <c r="D277" s="5">
        <v>0.19</v>
      </c>
      <c r="E277" s="4">
        <v>34</v>
      </c>
      <c r="F277" s="4">
        <v>19</v>
      </c>
      <c r="G277" s="4">
        <v>26</v>
      </c>
      <c r="H277" s="4">
        <v>380</v>
      </c>
      <c r="I277" s="4">
        <v>30</v>
      </c>
      <c r="J277" s="5">
        <v>0.94</v>
      </c>
      <c r="K277" s="11">
        <f>'Session Details'!L277</f>
        <v>0.24499995744219102</v>
      </c>
      <c r="L277" s="11">
        <f>'Session Details'!M277</f>
        <v>0.39600003037471004</v>
      </c>
      <c r="M277" s="11">
        <f>'Session Details'!N277</f>
        <v>0.700800020710028</v>
      </c>
      <c r="N277" s="11">
        <f>'Session Details'!O277</f>
        <v>0.7871997515444672</v>
      </c>
    </row>
    <row r="278" spans="2:14" x14ac:dyDescent="0.35">
      <c r="B278" s="3">
        <v>43741</v>
      </c>
      <c r="C278" s="4">
        <v>381179</v>
      </c>
      <c r="D278" s="5">
        <v>0.17</v>
      </c>
      <c r="E278" s="4">
        <v>37</v>
      </c>
      <c r="F278" s="4">
        <v>18</v>
      </c>
      <c r="G278" s="4">
        <v>28</v>
      </c>
      <c r="H278" s="4">
        <v>387</v>
      </c>
      <c r="I278" s="4">
        <v>33</v>
      </c>
      <c r="J278" s="5">
        <v>0.93</v>
      </c>
      <c r="K278" s="11">
        <f>'Session Details'!L278</f>
        <v>0.2574999672273538</v>
      </c>
      <c r="L278" s="11">
        <f>'Session Details'!M278</f>
        <v>0.38799989781711819</v>
      </c>
      <c r="M278" s="11">
        <f>'Session Details'!N278</f>
        <v>0.73729991257454564</v>
      </c>
      <c r="N278" s="11">
        <f>'Session Details'!O278</f>
        <v>0.83640008623647932</v>
      </c>
    </row>
    <row r="279" spans="2:14" x14ac:dyDescent="0.35">
      <c r="B279" s="3">
        <v>43742</v>
      </c>
      <c r="C279" s="4">
        <v>389368</v>
      </c>
      <c r="D279" s="5">
        <v>0.19</v>
      </c>
      <c r="E279" s="4">
        <v>34</v>
      </c>
      <c r="F279" s="4">
        <v>22</v>
      </c>
      <c r="G279" s="4">
        <v>29</v>
      </c>
      <c r="H279" s="4">
        <v>357</v>
      </c>
      <c r="I279" s="4">
        <v>40</v>
      </c>
      <c r="J279" s="5">
        <v>0.94</v>
      </c>
      <c r="K279" s="11">
        <f>'Session Details'!L279</f>
        <v>0.247499978638382</v>
      </c>
      <c r="L279" s="11">
        <f>'Session Details'!M279</f>
        <v>0.39600003068784895</v>
      </c>
      <c r="M279" s="11">
        <f>'Session Details'!N279</f>
        <v>0.69349980456840132</v>
      </c>
      <c r="N279" s="11">
        <f>'Session Details'!O279</f>
        <v>0.78719998435581584</v>
      </c>
    </row>
    <row r="280" spans="2:14" x14ac:dyDescent="0.35">
      <c r="B280" s="3">
        <v>43743</v>
      </c>
      <c r="C280" s="4">
        <v>409180</v>
      </c>
      <c r="D280" s="5">
        <v>0.19</v>
      </c>
      <c r="E280" s="4">
        <v>32</v>
      </c>
      <c r="F280" s="4">
        <v>21</v>
      </c>
      <c r="G280" s="4">
        <v>29</v>
      </c>
      <c r="H280" s="4">
        <v>382</v>
      </c>
      <c r="I280" s="4">
        <v>39</v>
      </c>
      <c r="J280" s="5">
        <v>0.95</v>
      </c>
      <c r="K280" s="11">
        <f>'Session Details'!L280</f>
        <v>0.20789998919250774</v>
      </c>
      <c r="L280" s="11">
        <f>'Session Details'!M280</f>
        <v>0.33659996363090111</v>
      </c>
      <c r="M280" s="11">
        <f>'Session Details'!N280</f>
        <v>0.67319984695198953</v>
      </c>
      <c r="N280" s="11">
        <f>'Session Details'!O280</f>
        <v>0.75659995702866045</v>
      </c>
    </row>
    <row r="281" spans="2:14" x14ac:dyDescent="0.35">
      <c r="B281" s="3">
        <v>43744</v>
      </c>
      <c r="C281" s="4">
        <v>382705</v>
      </c>
      <c r="D281" s="5">
        <v>0.17</v>
      </c>
      <c r="E281" s="4">
        <v>31</v>
      </c>
      <c r="F281" s="4">
        <v>19</v>
      </c>
      <c r="G281" s="4">
        <v>30</v>
      </c>
      <c r="H281" s="4">
        <v>372</v>
      </c>
      <c r="I281" s="4">
        <v>31</v>
      </c>
      <c r="J281" s="5">
        <v>0.94</v>
      </c>
      <c r="K281" s="11">
        <f>'Session Details'!L281</f>
        <v>0.2099999958661608</v>
      </c>
      <c r="L281" s="11">
        <f>'Session Details'!M281</f>
        <v>0.34339999750657313</v>
      </c>
      <c r="M281" s="11">
        <f>'Session Details'!N281</f>
        <v>0.67999983439827982</v>
      </c>
      <c r="N281" s="11">
        <f>'Session Details'!O281</f>
        <v>0.79559984507618098</v>
      </c>
    </row>
    <row r="282" spans="2:14" x14ac:dyDescent="0.35">
      <c r="B282" s="3">
        <v>43745</v>
      </c>
      <c r="C282" s="4">
        <v>402657</v>
      </c>
      <c r="D282" s="5">
        <v>0.18</v>
      </c>
      <c r="E282" s="4">
        <v>30</v>
      </c>
      <c r="F282" s="4">
        <v>19</v>
      </c>
      <c r="G282" s="4">
        <v>26</v>
      </c>
      <c r="H282" s="4">
        <v>388</v>
      </c>
      <c r="I282" s="4">
        <v>32</v>
      </c>
      <c r="J282" s="5">
        <v>0.91</v>
      </c>
      <c r="K282" s="11">
        <f>'Session Details'!L282</f>
        <v>0.26249996104681417</v>
      </c>
      <c r="L282" s="11">
        <f>'Session Details'!M282</f>
        <v>0.39599999503879751</v>
      </c>
      <c r="M282" s="11">
        <f>'Session Details'!N282</f>
        <v>0.72999970469032305</v>
      </c>
      <c r="N282" s="11">
        <f>'Session Details'!O282</f>
        <v>0.84460011510830169</v>
      </c>
    </row>
    <row r="283" spans="2:14" x14ac:dyDescent="0.35">
      <c r="B283" s="3">
        <v>43746</v>
      </c>
      <c r="C283" s="4">
        <v>386505</v>
      </c>
      <c r="D283" s="5">
        <v>0.19</v>
      </c>
      <c r="E283" s="4">
        <v>38</v>
      </c>
      <c r="F283" s="4">
        <v>18</v>
      </c>
      <c r="G283" s="4">
        <v>29</v>
      </c>
      <c r="H283" s="4">
        <v>387</v>
      </c>
      <c r="I283" s="4">
        <v>39</v>
      </c>
      <c r="J283" s="5">
        <v>0.95</v>
      </c>
      <c r="K283" s="11">
        <f>'Session Details'!L283</f>
        <v>0.24750000670575076</v>
      </c>
      <c r="L283" s="11">
        <f>'Session Details'!M283</f>
        <v>0.41599983960386488</v>
      </c>
      <c r="M283" s="11">
        <f>'Session Details'!N283</f>
        <v>0.70810000620903069</v>
      </c>
      <c r="N283" s="11">
        <f>'Session Details'!O283</f>
        <v>0.77899992825708242</v>
      </c>
    </row>
    <row r="284" spans="2:14" x14ac:dyDescent="0.35">
      <c r="B284" s="3">
        <v>43747</v>
      </c>
      <c r="C284" s="4">
        <v>382253</v>
      </c>
      <c r="D284" s="5">
        <v>0.19</v>
      </c>
      <c r="E284" s="4">
        <v>34</v>
      </c>
      <c r="F284" s="4">
        <v>19</v>
      </c>
      <c r="G284" s="4">
        <v>29</v>
      </c>
      <c r="H284" s="4">
        <v>366</v>
      </c>
      <c r="I284" s="4">
        <v>34</v>
      </c>
      <c r="J284" s="5">
        <v>0.91</v>
      </c>
      <c r="K284" s="11">
        <f>'Session Details'!L284</f>
        <v>0.2624999678888657</v>
      </c>
      <c r="L284" s="11">
        <f>'Session Details'!M284</f>
        <v>0.39999992614149699</v>
      </c>
      <c r="M284" s="11">
        <f>'Session Details'!N284</f>
        <v>0.76649999261414836</v>
      </c>
      <c r="N284" s="11">
        <f>'Session Details'!O284</f>
        <v>0.84460021006075381</v>
      </c>
    </row>
    <row r="285" spans="2:14" x14ac:dyDescent="0.35">
      <c r="B285" s="3">
        <v>43748</v>
      </c>
      <c r="C285" s="4">
        <v>408424</v>
      </c>
      <c r="D285" s="5">
        <v>0.17</v>
      </c>
      <c r="E285" s="4">
        <v>33</v>
      </c>
      <c r="F285" s="4">
        <v>22</v>
      </c>
      <c r="G285" s="4">
        <v>29</v>
      </c>
      <c r="H285" s="4">
        <v>368</v>
      </c>
      <c r="I285" s="4">
        <v>30</v>
      </c>
      <c r="J285" s="5">
        <v>0.93</v>
      </c>
      <c r="K285" s="11">
        <f>'Session Details'!L285</f>
        <v>0.2474999639383427</v>
      </c>
      <c r="L285" s="11">
        <f>'Session Details'!M285</f>
        <v>0.38399993165690244</v>
      </c>
      <c r="M285" s="11">
        <f>'Session Details'!N285</f>
        <v>0.69350013719048709</v>
      </c>
      <c r="N285" s="11">
        <f>'Session Details'!O285</f>
        <v>0.80359959993355989</v>
      </c>
    </row>
    <row r="286" spans="2:14" x14ac:dyDescent="0.35">
      <c r="B286" s="3">
        <v>43749</v>
      </c>
      <c r="C286" s="4">
        <v>388464</v>
      </c>
      <c r="D286" s="5">
        <v>0.18</v>
      </c>
      <c r="E286" s="4">
        <v>31</v>
      </c>
      <c r="F286" s="4">
        <v>19</v>
      </c>
      <c r="G286" s="4">
        <v>25</v>
      </c>
      <c r="H286" s="4">
        <v>384</v>
      </c>
      <c r="I286" s="4">
        <v>30</v>
      </c>
      <c r="J286" s="5">
        <v>0.95</v>
      </c>
      <c r="K286" s="11">
        <f>'Session Details'!L286</f>
        <v>0.2474999639383427</v>
      </c>
      <c r="L286" s="11">
        <f>'Session Details'!M286</f>
        <v>0.38799990128219247</v>
      </c>
      <c r="M286" s="11">
        <f>'Session Details'!N286</f>
        <v>0.75190001003031115</v>
      </c>
      <c r="N286" s="11">
        <f>'Session Details'!O286</f>
        <v>0.80360009552708112</v>
      </c>
    </row>
    <row r="287" spans="2:14" x14ac:dyDescent="0.35">
      <c r="B287" s="3">
        <v>43750</v>
      </c>
      <c r="C287" s="4">
        <v>387248</v>
      </c>
      <c r="D287" s="5">
        <v>0.17</v>
      </c>
      <c r="E287" s="4">
        <v>33</v>
      </c>
      <c r="F287" s="4">
        <v>17</v>
      </c>
      <c r="G287" s="4">
        <v>27</v>
      </c>
      <c r="H287" s="4">
        <v>360</v>
      </c>
      <c r="I287" s="4">
        <v>39</v>
      </c>
      <c r="J287" s="5">
        <v>0.95</v>
      </c>
      <c r="K287" s="11">
        <f>'Session Details'!L287</f>
        <v>0.19949999391247838</v>
      </c>
      <c r="L287" s="11">
        <f>'Session Details'!M287</f>
        <v>0.3297999128806221</v>
      </c>
      <c r="M287" s="11">
        <f>'Session Details'!N287</f>
        <v>0.68000006704524885</v>
      </c>
      <c r="N287" s="11">
        <f>'Session Details'!O287</f>
        <v>0.81120010490608485</v>
      </c>
    </row>
    <row r="288" spans="2:14" x14ac:dyDescent="0.35">
      <c r="B288" s="3">
        <v>43751</v>
      </c>
      <c r="C288" s="4">
        <v>404505</v>
      </c>
      <c r="D288" s="5">
        <v>0.19</v>
      </c>
      <c r="E288" s="4">
        <v>32</v>
      </c>
      <c r="F288" s="4">
        <v>21</v>
      </c>
      <c r="G288" s="4">
        <v>27</v>
      </c>
      <c r="H288" s="4">
        <v>387</v>
      </c>
      <c r="I288" s="4">
        <v>36</v>
      </c>
      <c r="J288" s="5">
        <v>0.95</v>
      </c>
      <c r="K288" s="11">
        <f>'Session Details'!L288</f>
        <v>0.21839998008408137</v>
      </c>
      <c r="L288" s="11">
        <f>'Session Details'!M288</f>
        <v>0.32640003163051851</v>
      </c>
      <c r="M288" s="11">
        <f>'Session Details'!N288</f>
        <v>0.67319974226804125</v>
      </c>
      <c r="N288" s="11">
        <f>'Session Details'!O288</f>
        <v>0.80339986562098609</v>
      </c>
    </row>
    <row r="289" spans="2:14" x14ac:dyDescent="0.35">
      <c r="B289" s="3">
        <v>43752</v>
      </c>
      <c r="C289" s="4">
        <v>401477</v>
      </c>
      <c r="D289" s="5">
        <v>0.18</v>
      </c>
      <c r="E289" s="4">
        <v>31</v>
      </c>
      <c r="F289" s="4">
        <v>21</v>
      </c>
      <c r="G289" s="4">
        <v>25</v>
      </c>
      <c r="H289" s="4">
        <v>362</v>
      </c>
      <c r="I289" s="4">
        <v>36</v>
      </c>
      <c r="J289" s="5">
        <v>0.93</v>
      </c>
      <c r="K289" s="11">
        <f>'Session Details'!L289</f>
        <v>0.2449999870495187</v>
      </c>
      <c r="L289" s="11">
        <f>'Session Details'!M289</f>
        <v>0.38799996397749531</v>
      </c>
      <c r="M289" s="11">
        <f>'Session Details'!N289</f>
        <v>0.70809971582423081</v>
      </c>
      <c r="N289" s="11">
        <f>'Session Details'!O289</f>
        <v>0.78720046060783988</v>
      </c>
    </row>
    <row r="290" spans="2:14" x14ac:dyDescent="0.35">
      <c r="B290" s="3">
        <v>43753</v>
      </c>
      <c r="C290" s="4">
        <v>402669</v>
      </c>
      <c r="D290" s="5">
        <v>0.19</v>
      </c>
      <c r="E290" s="4">
        <v>35</v>
      </c>
      <c r="F290" s="4">
        <v>17</v>
      </c>
      <c r="G290" s="4">
        <v>25</v>
      </c>
      <c r="H290" s="4">
        <v>394</v>
      </c>
      <c r="I290" s="4">
        <v>32</v>
      </c>
      <c r="J290" s="5">
        <v>0.91</v>
      </c>
      <c r="K290" s="11">
        <f>'Session Details'!L290</f>
        <v>0.23750000740841615</v>
      </c>
      <c r="L290" s="11">
        <f>'Session Details'!M290</f>
        <v>0.38399987561059745</v>
      </c>
      <c r="M290" s="11">
        <f>'Session Details'!N290</f>
        <v>0.70809982068828303</v>
      </c>
      <c r="N290" s="11">
        <f>'Session Details'!O290</f>
        <v>0.79540021828419583</v>
      </c>
    </row>
    <row r="291" spans="2:14" x14ac:dyDescent="0.35">
      <c r="B291" s="3">
        <v>43754</v>
      </c>
      <c r="C291" s="4">
        <v>401441</v>
      </c>
      <c r="D291" s="5">
        <v>0.19</v>
      </c>
      <c r="E291" s="4">
        <v>38</v>
      </c>
      <c r="F291" s="4">
        <v>22</v>
      </c>
      <c r="G291" s="4">
        <v>26</v>
      </c>
      <c r="H291" s="4">
        <v>371</v>
      </c>
      <c r="I291" s="4">
        <v>31</v>
      </c>
      <c r="J291" s="5">
        <v>0.95</v>
      </c>
      <c r="K291" s="11">
        <f>'Session Details'!L291</f>
        <v>0.26000000096939274</v>
      </c>
      <c r="L291" s="11">
        <f>'Session Details'!M291</f>
        <v>0.41999983967735627</v>
      </c>
      <c r="M291" s="11">
        <f>'Session Details'!N291</f>
        <v>0.73000005326335715</v>
      </c>
      <c r="N291" s="11">
        <f>'Session Details'!O291</f>
        <v>0.79540001629518109</v>
      </c>
    </row>
    <row r="292" spans="2:14" x14ac:dyDescent="0.35">
      <c r="B292" s="3">
        <v>43755</v>
      </c>
      <c r="C292" s="4">
        <v>404247</v>
      </c>
      <c r="D292" s="5">
        <v>0.17</v>
      </c>
      <c r="E292" s="4">
        <v>37</v>
      </c>
      <c r="F292" s="4">
        <v>18</v>
      </c>
      <c r="G292" s="4">
        <v>27</v>
      </c>
      <c r="H292" s="4">
        <v>365</v>
      </c>
      <c r="I292" s="4">
        <v>34</v>
      </c>
      <c r="J292" s="5">
        <v>0.92</v>
      </c>
      <c r="K292" s="11">
        <f>'Session Details'!L292</f>
        <v>0.25499999164849158</v>
      </c>
      <c r="L292" s="11">
        <f>'Session Details'!M292</f>
        <v>0.37999992918699588</v>
      </c>
      <c r="M292" s="11">
        <f>'Session Details'!N292</f>
        <v>0.70080009392042297</v>
      </c>
      <c r="N292" s="11">
        <f>'Session Details'!O292</f>
        <v>0.79539988273350593</v>
      </c>
    </row>
    <row r="293" spans="2:14" x14ac:dyDescent="0.35">
      <c r="B293" s="3">
        <v>43756</v>
      </c>
      <c r="C293" s="4">
        <v>384464</v>
      </c>
      <c r="D293" s="5">
        <v>0.18</v>
      </c>
      <c r="E293" s="4">
        <v>35</v>
      </c>
      <c r="F293" s="4">
        <v>20</v>
      </c>
      <c r="G293" s="4">
        <v>30</v>
      </c>
      <c r="H293" s="4">
        <v>383</v>
      </c>
      <c r="I293" s="4">
        <v>39</v>
      </c>
      <c r="J293" s="5">
        <v>0.94</v>
      </c>
      <c r="K293" s="11">
        <f>'Session Details'!L293</f>
        <v>0.25499996498573574</v>
      </c>
      <c r="L293" s="11">
        <f>'Session Details'!M293</f>
        <v>0.41199991573251393</v>
      </c>
      <c r="M293" s="11">
        <f>'Session Details'!N293</f>
        <v>0.7153999483189506</v>
      </c>
      <c r="N293" s="11">
        <f>'Session Details'!O293</f>
        <v>0.84460000178687433</v>
      </c>
    </row>
    <row r="294" spans="2:14" x14ac:dyDescent="0.35">
      <c r="B294" s="3">
        <v>43757</v>
      </c>
      <c r="C294" s="4">
        <v>383538</v>
      </c>
      <c r="D294" s="5">
        <v>0.19</v>
      </c>
      <c r="E294" s="4">
        <v>34</v>
      </c>
      <c r="F294" s="4">
        <v>19</v>
      </c>
      <c r="G294" s="4">
        <v>27</v>
      </c>
      <c r="H294" s="4">
        <v>386</v>
      </c>
      <c r="I294" s="4">
        <v>35</v>
      </c>
      <c r="J294" s="5">
        <v>0.92</v>
      </c>
      <c r="K294" s="11">
        <f>'Session Details'!L294</f>
        <v>0.2036999905031622</v>
      </c>
      <c r="L294" s="11">
        <f>'Session Details'!M294</f>
        <v>0.33999995540626327</v>
      </c>
      <c r="M294" s="11">
        <f>'Session Details'!N294</f>
        <v>0.69360007969413939</v>
      </c>
      <c r="N294" s="11">
        <f>'Session Details'!O294</f>
        <v>0.76439977740518561</v>
      </c>
    </row>
    <row r="295" spans="2:14" x14ac:dyDescent="0.35">
      <c r="B295" s="3">
        <v>43758</v>
      </c>
      <c r="C295" s="4">
        <v>392178</v>
      </c>
      <c r="D295" s="5">
        <v>0.19</v>
      </c>
      <c r="E295" s="4">
        <v>38</v>
      </c>
      <c r="F295" s="4">
        <v>22</v>
      </c>
      <c r="G295" s="4">
        <v>25</v>
      </c>
      <c r="H295" s="4">
        <v>361</v>
      </c>
      <c r="I295" s="4">
        <v>33</v>
      </c>
      <c r="J295" s="5">
        <v>0.94</v>
      </c>
      <c r="K295" s="11">
        <f>'Session Details'!L295</f>
        <v>0.21209999220311987</v>
      </c>
      <c r="L295" s="11">
        <f>'Session Details'!M295</f>
        <v>0.34680000188178228</v>
      </c>
      <c r="M295" s="11">
        <f>'Session Details'!N295</f>
        <v>0.65279985210637992</v>
      </c>
      <c r="N295" s="11">
        <f>'Session Details'!O295</f>
        <v>0.81899989126626471</v>
      </c>
    </row>
    <row r="296" spans="2:14" x14ac:dyDescent="0.35">
      <c r="B296" s="3">
        <v>43759</v>
      </c>
      <c r="C296" s="4">
        <v>383369</v>
      </c>
      <c r="D296" s="5">
        <v>0.19</v>
      </c>
      <c r="E296" s="4">
        <v>31</v>
      </c>
      <c r="F296" s="4">
        <v>22</v>
      </c>
      <c r="G296" s="4">
        <v>30</v>
      </c>
      <c r="H296" s="4">
        <v>368</v>
      </c>
      <c r="I296" s="4">
        <v>36</v>
      </c>
      <c r="J296" s="5">
        <v>0.92</v>
      </c>
      <c r="K296" s="11">
        <f>'Session Details'!L296</f>
        <v>0.24999996710988942</v>
      </c>
      <c r="L296" s="11">
        <f>'Session Details'!M296</f>
        <v>0.4159999621105876</v>
      </c>
      <c r="M296" s="11">
        <f>'Session Details'!N296</f>
        <v>0.73729988155340875</v>
      </c>
      <c r="N296" s="11">
        <f>'Session Details'!O296</f>
        <v>0.83639981218519999</v>
      </c>
    </row>
    <row r="297" spans="2:14" x14ac:dyDescent="0.35">
      <c r="B297" s="3">
        <v>43760</v>
      </c>
      <c r="C297" s="4">
        <v>399709</v>
      </c>
      <c r="D297" s="5">
        <v>0.18</v>
      </c>
      <c r="E297" s="4">
        <v>37</v>
      </c>
      <c r="F297" s="4">
        <v>19</v>
      </c>
      <c r="G297" s="4">
        <v>29</v>
      </c>
      <c r="H297" s="4">
        <v>376</v>
      </c>
      <c r="I297" s="4">
        <v>32</v>
      </c>
      <c r="J297" s="5">
        <v>0.94</v>
      </c>
      <c r="K297" s="11">
        <f>'Session Details'!L297</f>
        <v>0.25</v>
      </c>
      <c r="L297" s="11">
        <f>'Session Details'!M297</f>
        <v>0.38800000368369236</v>
      </c>
      <c r="M297" s="11">
        <f>'Session Details'!N297</f>
        <v>0.74459954561464969</v>
      </c>
      <c r="N297" s="11">
        <f>'Session Details'!O297</f>
        <v>0.86100053552302747</v>
      </c>
    </row>
    <row r="298" spans="2:14" x14ac:dyDescent="0.35">
      <c r="B298" s="3">
        <v>43761</v>
      </c>
      <c r="C298" s="4">
        <v>394443</v>
      </c>
      <c r="D298" s="5">
        <v>0.18</v>
      </c>
      <c r="E298" s="4">
        <v>37</v>
      </c>
      <c r="F298" s="4">
        <v>18</v>
      </c>
      <c r="G298" s="4">
        <v>30</v>
      </c>
      <c r="H298" s="4">
        <v>369</v>
      </c>
      <c r="I298" s="4">
        <v>33</v>
      </c>
      <c r="J298" s="5">
        <v>0.95</v>
      </c>
      <c r="K298" s="11">
        <f>'Session Details'!L298</f>
        <v>0.24499998618615354</v>
      </c>
      <c r="L298" s="11">
        <f>'Session Details'!M298</f>
        <v>0.39199995940420407</v>
      </c>
      <c r="M298" s="11">
        <f>'Session Details'!N298</f>
        <v>0.75189969185892924</v>
      </c>
      <c r="N298" s="11">
        <f>'Session Details'!O298</f>
        <v>0.84459994567234298</v>
      </c>
    </row>
    <row r="299" spans="2:14" x14ac:dyDescent="0.35">
      <c r="B299" s="3">
        <v>43762</v>
      </c>
      <c r="C299" s="4">
        <v>389066</v>
      </c>
      <c r="D299" s="5">
        <v>0.18</v>
      </c>
      <c r="E299" s="4">
        <v>38</v>
      </c>
      <c r="F299" s="4">
        <v>21</v>
      </c>
      <c r="G299" s="4">
        <v>27</v>
      </c>
      <c r="H299" s="4">
        <v>398</v>
      </c>
      <c r="I299" s="4">
        <v>31</v>
      </c>
      <c r="J299" s="5">
        <v>0.91</v>
      </c>
      <c r="K299" s="11">
        <f>'Session Details'!L299</f>
        <v>0.25249997389135576</v>
      </c>
      <c r="L299" s="11">
        <f>'Session Details'!M299</f>
        <v>0.42000000376002117</v>
      </c>
      <c r="M299" s="11">
        <f>'Session Details'!N299</f>
        <v>0.74459966965528668</v>
      </c>
      <c r="N299" s="11">
        <f>'Session Details'!O299</f>
        <v>0.7871999172807489</v>
      </c>
    </row>
    <row r="300" spans="2:14" x14ac:dyDescent="0.35">
      <c r="B300" s="3">
        <v>43763</v>
      </c>
      <c r="C300" s="4">
        <v>393573</v>
      </c>
      <c r="D300" s="5">
        <v>0.19</v>
      </c>
      <c r="E300" s="4">
        <v>37</v>
      </c>
      <c r="F300" s="4">
        <v>20</v>
      </c>
      <c r="G300" s="4">
        <v>28</v>
      </c>
      <c r="H300" s="4">
        <v>375</v>
      </c>
      <c r="I300" s="4">
        <v>39</v>
      </c>
      <c r="J300" s="5">
        <v>0.93</v>
      </c>
      <c r="K300" s="11">
        <f>'Session Details'!L300</f>
        <v>0.24749998453500385</v>
      </c>
      <c r="L300" s="11">
        <f>'Session Details'!M300</f>
        <v>0.39599995564986018</v>
      </c>
      <c r="M300" s="11">
        <f>'Session Details'!N300</f>
        <v>0.71539997276046152</v>
      </c>
      <c r="N300" s="11">
        <f>'Session Details'!O300</f>
        <v>0.78719984504279561</v>
      </c>
    </row>
    <row r="301" spans="2:14" x14ac:dyDescent="0.35">
      <c r="B301" s="3">
        <v>43764</v>
      </c>
      <c r="C301" s="4">
        <v>382825</v>
      </c>
      <c r="D301" s="5">
        <v>0.17</v>
      </c>
      <c r="E301" s="4">
        <v>36</v>
      </c>
      <c r="F301" s="4">
        <v>20</v>
      </c>
      <c r="G301" s="4">
        <v>28</v>
      </c>
      <c r="H301" s="4">
        <v>359</v>
      </c>
      <c r="I301" s="4">
        <v>40</v>
      </c>
      <c r="J301" s="5">
        <v>0.92</v>
      </c>
      <c r="K301" s="11">
        <f>'Session Details'!L301</f>
        <v>0.2120999850995483</v>
      </c>
      <c r="L301" s="11">
        <f>'Session Details'!M301</f>
        <v>0.34340000255072156</v>
      </c>
      <c r="M301" s="11">
        <f>'Session Details'!N301</f>
        <v>0.64599988764606009</v>
      </c>
      <c r="N301" s="11">
        <f>'Session Details'!O301</f>
        <v>0.76440018223217021</v>
      </c>
    </row>
    <row r="302" spans="2:14" x14ac:dyDescent="0.35">
      <c r="B302" s="3">
        <v>43765</v>
      </c>
      <c r="C302" s="4">
        <v>382944</v>
      </c>
      <c r="D302" s="5">
        <v>0.18</v>
      </c>
      <c r="E302" s="4">
        <v>33</v>
      </c>
      <c r="F302" s="4">
        <v>17</v>
      </c>
      <c r="G302" s="4">
        <v>27</v>
      </c>
      <c r="H302" s="4">
        <v>366</v>
      </c>
      <c r="I302" s="4">
        <v>35</v>
      </c>
      <c r="J302" s="5">
        <v>0.95</v>
      </c>
      <c r="K302" s="11">
        <f>'Session Details'!L302</f>
        <v>0.21629998125035968</v>
      </c>
      <c r="L302" s="11">
        <f>'Session Details'!M302</f>
        <v>0.33659998545261982</v>
      </c>
      <c r="M302" s="11">
        <f>'Session Details'!N302</f>
        <v>0.68679996863782999</v>
      </c>
      <c r="N302" s="11">
        <f>'Session Details'!O302</f>
        <v>0.74880003861037903</v>
      </c>
    </row>
    <row r="303" spans="2:14" x14ac:dyDescent="0.35">
      <c r="B303" s="3">
        <v>43766</v>
      </c>
      <c r="C303" s="4">
        <v>403354</v>
      </c>
      <c r="D303" s="5">
        <v>0.19</v>
      </c>
      <c r="E303" s="4">
        <v>31</v>
      </c>
      <c r="F303" s="4">
        <v>20</v>
      </c>
      <c r="G303" s="4">
        <v>28</v>
      </c>
      <c r="H303" s="4">
        <v>395</v>
      </c>
      <c r="I303" s="4">
        <v>31</v>
      </c>
      <c r="J303" s="5">
        <v>0.94</v>
      </c>
      <c r="K303" s="11">
        <f>'Session Details'!L303</f>
        <v>0.25749996914432954</v>
      </c>
      <c r="L303" s="11">
        <f>'Session Details'!M303</f>
        <v>0.3880000324456977</v>
      </c>
      <c r="M303" s="11">
        <f>'Session Details'!N303</f>
        <v>0.70809992559460178</v>
      </c>
      <c r="N303" s="11">
        <f>'Session Details'!O303</f>
        <v>0.82000002683972928</v>
      </c>
    </row>
    <row r="304" spans="2:14" x14ac:dyDescent="0.35">
      <c r="B304" s="3">
        <v>43767</v>
      </c>
      <c r="C304" s="4">
        <v>396314</v>
      </c>
      <c r="D304" s="5">
        <v>0.18</v>
      </c>
      <c r="E304" s="4">
        <v>32</v>
      </c>
      <c r="F304" s="4">
        <v>22</v>
      </c>
      <c r="G304" s="4">
        <v>26</v>
      </c>
      <c r="H304" s="4">
        <v>382</v>
      </c>
      <c r="I304" s="4">
        <v>30</v>
      </c>
      <c r="J304" s="5">
        <v>0.93</v>
      </c>
      <c r="K304" s="11">
        <f>'Session Details'!L304</f>
        <v>0.23749997009257129</v>
      </c>
      <c r="L304" s="11">
        <f>'Session Details'!M304</f>
        <v>0.38399988595378276</v>
      </c>
      <c r="M304" s="11">
        <f>'Session Details'!N304</f>
        <v>0.70810000628640357</v>
      </c>
      <c r="N304" s="11">
        <f>'Session Details'!O304</f>
        <v>0.81999990213396878</v>
      </c>
    </row>
    <row r="305" spans="2:14" x14ac:dyDescent="0.35">
      <c r="B305" s="3">
        <v>43768</v>
      </c>
      <c r="C305" s="4">
        <v>396097</v>
      </c>
      <c r="D305" s="5">
        <v>0.17</v>
      </c>
      <c r="E305" s="4">
        <v>34</v>
      </c>
      <c r="F305" s="4">
        <v>21</v>
      </c>
      <c r="G305" s="4">
        <v>30</v>
      </c>
      <c r="H305" s="4">
        <v>394</v>
      </c>
      <c r="I305" s="4">
        <v>37</v>
      </c>
      <c r="J305" s="5">
        <v>0.91</v>
      </c>
      <c r="K305" s="11">
        <f>'Session Details'!L305</f>
        <v>0.26249996104681417</v>
      </c>
      <c r="L305" s="11">
        <f>'Session Details'!M305</f>
        <v>0.41200005032076831</v>
      </c>
      <c r="M305" s="11">
        <f>'Session Details'!N305</f>
        <v>0.70079987338957694</v>
      </c>
      <c r="N305" s="11">
        <f>'Session Details'!O305</f>
        <v>0.84459997668039255</v>
      </c>
    </row>
    <row r="306" spans="2:14" x14ac:dyDescent="0.35">
      <c r="B306" s="3">
        <v>43769</v>
      </c>
      <c r="C306" s="4">
        <v>392878</v>
      </c>
      <c r="D306" s="5">
        <v>0.17</v>
      </c>
      <c r="E306" s="4">
        <v>40</v>
      </c>
      <c r="F306" s="4">
        <v>22</v>
      </c>
      <c r="G306" s="4">
        <v>29</v>
      </c>
      <c r="H306" s="4">
        <v>363</v>
      </c>
      <c r="I306" s="4">
        <v>34</v>
      </c>
      <c r="J306" s="5">
        <v>0.95</v>
      </c>
      <c r="K306" s="11">
        <f>'Session Details'!L306</f>
        <v>0.24249999018489857</v>
      </c>
      <c r="L306" s="11">
        <f>'Session Details'!M306</f>
        <v>0.38399986248613871</v>
      </c>
      <c r="M306" s="11">
        <f>'Session Details'!N306</f>
        <v>0.6935002149695868</v>
      </c>
      <c r="N306" s="11">
        <f>'Session Details'!O306</f>
        <v>0.80359949382821683</v>
      </c>
    </row>
    <row r="307" spans="2:14" x14ac:dyDescent="0.35">
      <c r="B307" s="3">
        <v>43770</v>
      </c>
      <c r="C307" s="4">
        <v>404865</v>
      </c>
      <c r="D307" s="5">
        <v>0.19</v>
      </c>
      <c r="E307" s="4">
        <v>33</v>
      </c>
      <c r="F307" s="4">
        <v>20</v>
      </c>
      <c r="G307" s="4">
        <v>26</v>
      </c>
      <c r="H307" s="4">
        <v>355</v>
      </c>
      <c r="I307" s="4">
        <v>31</v>
      </c>
      <c r="J307" s="5">
        <v>0.91</v>
      </c>
      <c r="K307" s="11">
        <f>'Session Details'!L307</f>
        <v>0.2399999620237902</v>
      </c>
      <c r="L307" s="11">
        <f>'Session Details'!M307</f>
        <v>0.41599997310018044</v>
      </c>
      <c r="M307" s="11">
        <f>'Session Details'!N307</f>
        <v>0.75189983315986841</v>
      </c>
      <c r="N307" s="11">
        <f>'Session Details'!O307</f>
        <v>0.80359983913029187</v>
      </c>
    </row>
    <row r="308" spans="2:14" x14ac:dyDescent="0.35">
      <c r="B308" s="3">
        <v>43771</v>
      </c>
      <c r="C308" s="4">
        <v>404425</v>
      </c>
      <c r="D308" s="5">
        <v>0.18</v>
      </c>
      <c r="E308" s="4">
        <v>33</v>
      </c>
      <c r="F308" s="4">
        <v>19</v>
      </c>
      <c r="G308" s="4">
        <v>30</v>
      </c>
      <c r="H308" s="4">
        <v>399</v>
      </c>
      <c r="I308" s="4">
        <v>36</v>
      </c>
      <c r="J308" s="5">
        <v>0.91</v>
      </c>
      <c r="K308" s="11">
        <f>'Session Details'!L308</f>
        <v>0.2141999921538765</v>
      </c>
      <c r="L308" s="11">
        <f>'Session Details'!M308</f>
        <v>0.32639996321684056</v>
      </c>
      <c r="M308" s="11">
        <f>'Session Details'!N308</f>
        <v>0.64599981620224189</v>
      </c>
      <c r="N308" s="11">
        <f>'Session Details'!O308</f>
        <v>0.75660008732794659</v>
      </c>
    </row>
    <row r="309" spans="2:14" x14ac:dyDescent="0.35">
      <c r="B309" s="3">
        <v>43772</v>
      </c>
      <c r="C309" s="4">
        <v>404029</v>
      </c>
      <c r="D309" s="5">
        <v>0.19</v>
      </c>
      <c r="E309" s="4">
        <v>32</v>
      </c>
      <c r="F309" s="4">
        <v>19</v>
      </c>
      <c r="G309" s="4">
        <v>26</v>
      </c>
      <c r="H309" s="4">
        <v>390</v>
      </c>
      <c r="I309" s="4">
        <v>37</v>
      </c>
      <c r="J309" s="5">
        <v>0.94</v>
      </c>
      <c r="K309" s="11">
        <f>'Session Details'!L309</f>
        <v>0.2120999935681199</v>
      </c>
      <c r="L309" s="11">
        <f>'Session Details'!M309</f>
        <v>0.33659992886811541</v>
      </c>
      <c r="M309" s="11">
        <f>'Session Details'!N309</f>
        <v>0.65959987188362579</v>
      </c>
      <c r="N309" s="11">
        <f>'Session Details'!O309</f>
        <v>0.76440008385246416</v>
      </c>
    </row>
    <row r="310" spans="2:14" x14ac:dyDescent="0.35">
      <c r="B310" s="3">
        <v>43773</v>
      </c>
      <c r="C310" s="4">
        <v>382779</v>
      </c>
      <c r="D310" s="5">
        <v>0.19</v>
      </c>
      <c r="E310" s="4">
        <v>34</v>
      </c>
      <c r="F310" s="4">
        <v>22</v>
      </c>
      <c r="G310" s="4">
        <v>27</v>
      </c>
      <c r="H310" s="4">
        <v>396</v>
      </c>
      <c r="I310" s="4">
        <v>34</v>
      </c>
      <c r="J310" s="5">
        <v>0.92</v>
      </c>
      <c r="K310" s="11">
        <f>'Session Details'!L310</f>
        <v>0.23999998496452074</v>
      </c>
      <c r="L310" s="11">
        <f>'Session Details'!M310</f>
        <v>0.38000003132391708</v>
      </c>
      <c r="M310" s="11">
        <f>'Session Details'!N310</f>
        <v>0.70079994477099283</v>
      </c>
      <c r="N310" s="11">
        <f>'Session Details'!O310</f>
        <v>0.78719934953563986</v>
      </c>
    </row>
    <row r="311" spans="2:14" x14ac:dyDescent="0.35">
      <c r="B311" s="3">
        <v>43774</v>
      </c>
      <c r="C311" s="4">
        <v>394015</v>
      </c>
      <c r="D311" s="5">
        <v>0.17</v>
      </c>
      <c r="E311" s="4">
        <v>31</v>
      </c>
      <c r="F311" s="4">
        <v>22</v>
      </c>
      <c r="G311" s="4">
        <v>25</v>
      </c>
      <c r="H311" s="4">
        <v>398</v>
      </c>
      <c r="I311" s="4">
        <v>39</v>
      </c>
      <c r="J311" s="5">
        <v>0.91</v>
      </c>
      <c r="K311" s="11">
        <f>'Session Details'!L311</f>
        <v>0.2600000019185898</v>
      </c>
      <c r="L311" s="11">
        <f>'Session Details'!M311</f>
        <v>0.39999996310404218</v>
      </c>
      <c r="M311" s="11">
        <f>'Session Details'!N311</f>
        <v>0.7226996405872177</v>
      </c>
      <c r="N311" s="11">
        <f>'Session Details'!O311</f>
        <v>0.80359987236758135</v>
      </c>
    </row>
    <row r="312" spans="2:14" x14ac:dyDescent="0.35">
      <c r="B312" s="3">
        <v>43775</v>
      </c>
      <c r="C312" s="4">
        <v>384987</v>
      </c>
      <c r="D312" s="5">
        <v>0.18</v>
      </c>
      <c r="E312" s="4">
        <v>34</v>
      </c>
      <c r="F312" s="4">
        <v>19</v>
      </c>
      <c r="G312" s="4">
        <v>25</v>
      </c>
      <c r="H312" s="4">
        <v>394</v>
      </c>
      <c r="I312" s="4">
        <v>33</v>
      </c>
      <c r="J312" s="5">
        <v>0.94</v>
      </c>
      <c r="K312" s="11">
        <f>'Session Details'!L312</f>
        <v>0.23749996918628585</v>
      </c>
      <c r="L312" s="11">
        <f>'Session Details'!M312</f>
        <v>0.39599991304839971</v>
      </c>
      <c r="M312" s="11">
        <f>'Session Details'!N312</f>
        <v>0.72269978091974141</v>
      </c>
      <c r="N312" s="11">
        <f>'Session Details'!O312</f>
        <v>0.79540005091134036</v>
      </c>
    </row>
    <row r="313" spans="2:14" x14ac:dyDescent="0.35">
      <c r="B313" s="3">
        <v>43776</v>
      </c>
      <c r="C313" s="4">
        <v>405410</v>
      </c>
      <c r="D313" s="5">
        <v>0.18</v>
      </c>
      <c r="E313" s="4">
        <v>36</v>
      </c>
      <c r="F313" s="4">
        <v>21</v>
      </c>
      <c r="G313" s="4">
        <v>30</v>
      </c>
      <c r="H313" s="4">
        <v>361</v>
      </c>
      <c r="I313" s="4">
        <v>37</v>
      </c>
      <c r="J313" s="5">
        <v>0.93</v>
      </c>
      <c r="K313" s="11">
        <f>'Session Details'!L313</f>
        <v>0.25249999448405425</v>
      </c>
      <c r="L313" s="11">
        <f>'Session Details'!M313</f>
        <v>0.37999989742192813</v>
      </c>
      <c r="M313" s="11">
        <f>'Session Details'!N313</f>
        <v>0.74460002789404467</v>
      </c>
      <c r="N313" s="11">
        <f>'Session Details'!O313</f>
        <v>0.81180019308259455</v>
      </c>
    </row>
    <row r="314" spans="2:14" x14ac:dyDescent="0.35">
      <c r="B314" s="3">
        <v>43777</v>
      </c>
      <c r="C314" s="4">
        <v>403572</v>
      </c>
      <c r="D314" s="5">
        <v>0.19</v>
      </c>
      <c r="E314" s="4">
        <v>31</v>
      </c>
      <c r="F314" s="4">
        <v>17</v>
      </c>
      <c r="G314" s="4">
        <v>26</v>
      </c>
      <c r="H314" s="4">
        <v>352</v>
      </c>
      <c r="I314" s="4">
        <v>34</v>
      </c>
      <c r="J314" s="5">
        <v>0.94</v>
      </c>
      <c r="K314" s="11">
        <f>'Session Details'!L314</f>
        <v>0.24249998338540821</v>
      </c>
      <c r="L314" s="11">
        <f>'Session Details'!M314</f>
        <v>0.40799998277367683</v>
      </c>
      <c r="M314" s="11">
        <f>'Session Details'!N314</f>
        <v>0.69349963440121443</v>
      </c>
      <c r="N314" s="11">
        <f>'Session Details'!O314</f>
        <v>0.85280000110693854</v>
      </c>
    </row>
    <row r="315" spans="2:14" x14ac:dyDescent="0.35">
      <c r="B315" s="3">
        <v>43778</v>
      </c>
      <c r="C315" s="4">
        <v>380487</v>
      </c>
      <c r="D315" s="5">
        <v>0.19</v>
      </c>
      <c r="E315" s="4">
        <v>40</v>
      </c>
      <c r="F315" s="4">
        <v>21</v>
      </c>
      <c r="G315" s="4">
        <v>27</v>
      </c>
      <c r="H315" s="4">
        <v>368</v>
      </c>
      <c r="I315" s="4">
        <v>32</v>
      </c>
      <c r="J315" s="5">
        <v>0.93</v>
      </c>
      <c r="K315" s="11">
        <f>'Session Details'!L315</f>
        <v>0.2120999935681199</v>
      </c>
      <c r="L315" s="11">
        <f>'Session Details'!M315</f>
        <v>0.34679996103603777</v>
      </c>
      <c r="M315" s="11">
        <f>'Session Details'!N315</f>
        <v>0.67999985748053493</v>
      </c>
      <c r="N315" s="11">
        <f>'Session Details'!O315</f>
        <v>0.80339994576923635</v>
      </c>
    </row>
    <row r="316" spans="2:14" x14ac:dyDescent="0.35">
      <c r="B316" s="3">
        <v>43779</v>
      </c>
      <c r="C316" s="4">
        <v>397106</v>
      </c>
      <c r="D316" s="5">
        <v>0.19</v>
      </c>
      <c r="E316" s="4">
        <v>34</v>
      </c>
      <c r="F316" s="4">
        <v>20</v>
      </c>
      <c r="G316" s="4">
        <v>30</v>
      </c>
      <c r="H316" s="4">
        <v>358</v>
      </c>
      <c r="I316" s="4">
        <v>37</v>
      </c>
      <c r="J316" s="5">
        <v>0.92</v>
      </c>
      <c r="K316" s="11">
        <f>'Session Details'!L316</f>
        <v>0.21419998346000629</v>
      </c>
      <c r="L316" s="11">
        <f>'Session Details'!M316</f>
        <v>0.32299995849904412</v>
      </c>
      <c r="M316" s="11">
        <f>'Session Details'!N316</f>
        <v>0.66639988200144917</v>
      </c>
      <c r="N316" s="11">
        <f>'Session Details'!O316</f>
        <v>0.74879990870471125</v>
      </c>
    </row>
    <row r="317" spans="2:14" x14ac:dyDescent="0.35">
      <c r="B317" s="3">
        <v>43780</v>
      </c>
      <c r="C317" s="4">
        <v>387858</v>
      </c>
      <c r="D317" s="5">
        <v>0.17</v>
      </c>
      <c r="E317" s="4">
        <v>38</v>
      </c>
      <c r="F317" s="4">
        <v>17</v>
      </c>
      <c r="G317" s="4">
        <v>25</v>
      </c>
      <c r="H317" s="4">
        <v>381</v>
      </c>
      <c r="I317" s="4">
        <v>31</v>
      </c>
      <c r="J317" s="5">
        <v>0.94</v>
      </c>
      <c r="K317" s="11">
        <f>'Session Details'!L317</f>
        <v>0.25499997279090902</v>
      </c>
      <c r="L317" s="11">
        <f>'Session Details'!M317</f>
        <v>0.38000000729588573</v>
      </c>
      <c r="M317" s="11">
        <f>'Session Details'!N317</f>
        <v>0.75190005020721273</v>
      </c>
      <c r="N317" s="11">
        <f>'Session Details'!O317</f>
        <v>0.79539963089289833</v>
      </c>
    </row>
    <row r="318" spans="2:14" x14ac:dyDescent="0.35">
      <c r="B318" s="3">
        <v>43781</v>
      </c>
      <c r="C318" s="4">
        <v>403207</v>
      </c>
      <c r="D318" s="5">
        <v>0.18</v>
      </c>
      <c r="E318" s="4">
        <v>32</v>
      </c>
      <c r="F318" s="4">
        <v>19</v>
      </c>
      <c r="G318" s="4">
        <v>30</v>
      </c>
      <c r="H318" s="4">
        <v>387</v>
      </c>
      <c r="I318" s="4">
        <v>39</v>
      </c>
      <c r="J318" s="5">
        <v>0.93</v>
      </c>
      <c r="K318" s="11">
        <f>'Session Details'!L318</f>
        <v>0.23749995940667931</v>
      </c>
      <c r="L318" s="11">
        <f>'Session Details'!M318</f>
        <v>0.41199994122417793</v>
      </c>
      <c r="M318" s="11">
        <f>'Session Details'!N318</f>
        <v>0.76650011467270729</v>
      </c>
      <c r="N318" s="11">
        <f>'Session Details'!O318</f>
        <v>0.79539964404854069</v>
      </c>
    </row>
    <row r="319" spans="2:14" x14ac:dyDescent="0.35">
      <c r="B319" s="3">
        <v>43782</v>
      </c>
      <c r="C319" s="4">
        <v>380788</v>
      </c>
      <c r="D319" s="5">
        <v>0.19</v>
      </c>
      <c r="E319" s="4">
        <v>36</v>
      </c>
      <c r="F319" s="4">
        <v>21</v>
      </c>
      <c r="G319" s="4">
        <v>25</v>
      </c>
      <c r="H319" s="4">
        <v>394</v>
      </c>
      <c r="I319" s="4">
        <v>34</v>
      </c>
      <c r="J319" s="5">
        <v>0.95</v>
      </c>
      <c r="K319" s="11">
        <f>'Session Details'!L319</f>
        <v>0.26249996104681417</v>
      </c>
      <c r="L319" s="11">
        <f>'Session Details'!M319</f>
        <v>0.40799990361092264</v>
      </c>
      <c r="M319" s="11">
        <f>'Session Details'!N319</f>
        <v>0.75920009276200162</v>
      </c>
      <c r="N319" s="11">
        <f>'Session Details'!O319</f>
        <v>0.77899993421748848</v>
      </c>
    </row>
    <row r="320" spans="2:14" x14ac:dyDescent="0.35">
      <c r="B320" s="3">
        <v>43783</v>
      </c>
      <c r="C320" s="4">
        <v>383044</v>
      </c>
      <c r="D320" s="5">
        <v>0.19</v>
      </c>
      <c r="E320" s="4">
        <v>34</v>
      </c>
      <c r="F320" s="4">
        <v>20</v>
      </c>
      <c r="G320" s="4">
        <v>25</v>
      </c>
      <c r="H320" s="4">
        <v>378</v>
      </c>
      <c r="I320" s="4">
        <v>33</v>
      </c>
      <c r="J320" s="5">
        <v>0.92</v>
      </c>
      <c r="K320" s="11">
        <f>'Session Details'!L320</f>
        <v>0.24750000551594573</v>
      </c>
      <c r="L320" s="11">
        <f>'Session Details'!M320</f>
        <v>0.4119999069774653</v>
      </c>
      <c r="M320" s="11">
        <f>'Session Details'!N320</f>
        <v>0.76650002634133863</v>
      </c>
      <c r="N320" s="11">
        <f>'Session Details'!O320</f>
        <v>0.82820015587316587</v>
      </c>
    </row>
    <row r="321" spans="2:14" x14ac:dyDescent="0.35">
      <c r="B321" s="3">
        <v>43784</v>
      </c>
      <c r="C321" s="4">
        <v>396628</v>
      </c>
      <c r="D321" s="5">
        <v>0.19</v>
      </c>
      <c r="E321" s="4">
        <v>30</v>
      </c>
      <c r="F321" s="4">
        <v>18</v>
      </c>
      <c r="G321" s="4">
        <v>27</v>
      </c>
      <c r="H321" s="4">
        <v>365</v>
      </c>
      <c r="I321" s="4">
        <v>40</v>
      </c>
      <c r="J321" s="5">
        <v>0.91</v>
      </c>
      <c r="K321" s="11">
        <f>'Session Details'!L321</f>
        <v>0.23999997237230711</v>
      </c>
      <c r="L321" s="11">
        <f>'Session Details'!M321</f>
        <v>0.40799986800100763</v>
      </c>
      <c r="M321" s="11">
        <f>'Session Details'!N321</f>
        <v>0.73730027024853739</v>
      </c>
      <c r="N321" s="11">
        <f>'Session Details'!O321</f>
        <v>0.84459989514731038</v>
      </c>
    </row>
    <row r="322" spans="2:14" x14ac:dyDescent="0.35">
      <c r="B322" s="3">
        <v>43785</v>
      </c>
      <c r="C322" s="4">
        <v>404564</v>
      </c>
      <c r="D322" s="5">
        <v>0.18</v>
      </c>
      <c r="E322" s="4">
        <v>40</v>
      </c>
      <c r="F322" s="4">
        <v>21</v>
      </c>
      <c r="G322" s="4">
        <v>30</v>
      </c>
      <c r="H322" s="4">
        <v>392</v>
      </c>
      <c r="I322" s="4">
        <v>39</v>
      </c>
      <c r="J322" s="5">
        <v>0.92</v>
      </c>
      <c r="K322" s="11">
        <f>'Session Details'!L322</f>
        <v>0.19949998979510394</v>
      </c>
      <c r="L322" s="11">
        <f>'Session Details'!M322</f>
        <v>0.32299995320781683</v>
      </c>
      <c r="M322" s="11">
        <f>'Session Details'!N322</f>
        <v>0.65959998801551001</v>
      </c>
      <c r="N322" s="11">
        <f>'Session Details'!O322</f>
        <v>0.77220002635551188</v>
      </c>
    </row>
    <row r="323" spans="2:14" x14ac:dyDescent="0.35">
      <c r="B323" s="3">
        <v>43786</v>
      </c>
      <c r="C323" s="4">
        <v>380987</v>
      </c>
      <c r="D323" s="5">
        <v>0.19</v>
      </c>
      <c r="E323" s="4">
        <v>112</v>
      </c>
      <c r="F323" s="4">
        <v>22</v>
      </c>
      <c r="G323" s="4">
        <v>27</v>
      </c>
      <c r="H323" s="4">
        <v>353</v>
      </c>
      <c r="I323" s="4">
        <v>38</v>
      </c>
      <c r="J323" s="5">
        <v>0.95</v>
      </c>
      <c r="K323" s="11">
        <f>'Session Details'!L323</f>
        <v>0.2120999850995483</v>
      </c>
      <c r="L323" s="11">
        <f>'Session Details'!M323</f>
        <v>0.13599997342105244</v>
      </c>
      <c r="M323" s="11">
        <f>'Session Details'!N323</f>
        <v>0.71399965641534024</v>
      </c>
      <c r="N323" s="11">
        <f>'Session Details'!O323</f>
        <v>0.77220055913214214</v>
      </c>
    </row>
    <row r="324" spans="2:14" x14ac:dyDescent="0.35">
      <c r="B324" s="3">
        <v>43787</v>
      </c>
      <c r="C324" s="4">
        <v>398199</v>
      </c>
      <c r="D324" s="5">
        <v>0.18</v>
      </c>
      <c r="E324" s="4">
        <v>37</v>
      </c>
      <c r="F324" s="4">
        <v>22</v>
      </c>
      <c r="G324" s="4">
        <v>26</v>
      </c>
      <c r="H324" s="4">
        <v>385</v>
      </c>
      <c r="I324" s="4">
        <v>34</v>
      </c>
      <c r="J324" s="5">
        <v>0.94</v>
      </c>
      <c r="K324" s="11">
        <f>'Session Details'!L324</f>
        <v>0.26249996327270986</v>
      </c>
      <c r="L324" s="11">
        <f>'Session Details'!M324</f>
        <v>0.38400000935541057</v>
      </c>
      <c r="M324" s="11">
        <f>'Session Details'!N324</f>
        <v>0.76649976528813868</v>
      </c>
      <c r="N324" s="11">
        <f>'Session Details'!O324</f>
        <v>0.8282002760737589</v>
      </c>
    </row>
    <row r="325" spans="2:14" x14ac:dyDescent="0.35">
      <c r="B325" s="3">
        <v>43788</v>
      </c>
      <c r="C325" s="4">
        <v>384779</v>
      </c>
      <c r="D325" s="5">
        <v>0.19</v>
      </c>
      <c r="E325" s="4">
        <v>33</v>
      </c>
      <c r="F325" s="4">
        <v>22</v>
      </c>
      <c r="G325" s="4">
        <v>27</v>
      </c>
      <c r="H325" s="4">
        <v>369</v>
      </c>
      <c r="I325" s="4">
        <v>33</v>
      </c>
      <c r="J325" s="5">
        <v>0.92</v>
      </c>
      <c r="K325" s="11">
        <f>'Session Details'!L325</f>
        <v>0.25249996558284826</v>
      </c>
      <c r="L325" s="11">
        <f>'Session Details'!M325</f>
        <v>0.4</v>
      </c>
      <c r="M325" s="11">
        <f>'Session Details'!N325</f>
        <v>0.71540001730569014</v>
      </c>
      <c r="N325" s="11">
        <f>'Session Details'!O325</f>
        <v>0.778999499938549</v>
      </c>
    </row>
    <row r="326" spans="2:14" x14ac:dyDescent="0.35">
      <c r="B326" s="3">
        <v>43789</v>
      </c>
      <c r="C326" s="4">
        <v>410182</v>
      </c>
      <c r="D326" s="5">
        <v>0.19</v>
      </c>
      <c r="E326" s="4">
        <v>40</v>
      </c>
      <c r="F326" s="4">
        <v>19</v>
      </c>
      <c r="G326" s="4">
        <v>29</v>
      </c>
      <c r="H326" s="4">
        <v>389</v>
      </c>
      <c r="I326" s="4">
        <v>32</v>
      </c>
      <c r="J326" s="5">
        <v>0.92</v>
      </c>
      <c r="K326" s="11">
        <f>'Session Details'!L326</f>
        <v>0.25249999329424921</v>
      </c>
      <c r="L326" s="11">
        <f>'Session Details'!M326</f>
        <v>0.40399993838676362</v>
      </c>
      <c r="M326" s="11">
        <f>'Session Details'!N326</f>
        <v>0.72270007585959972</v>
      </c>
      <c r="N326" s="11">
        <f>'Session Details'!O326</f>
        <v>0.81179995524807302</v>
      </c>
    </row>
    <row r="327" spans="2:14" x14ac:dyDescent="0.35">
      <c r="B327" s="3">
        <v>43790</v>
      </c>
      <c r="C327" s="4">
        <v>393181</v>
      </c>
      <c r="D327" s="5">
        <v>0.18</v>
      </c>
      <c r="E327" s="4">
        <v>38</v>
      </c>
      <c r="F327" s="4">
        <v>21</v>
      </c>
      <c r="G327" s="4">
        <v>27</v>
      </c>
      <c r="H327" s="4">
        <v>395</v>
      </c>
      <c r="I327" s="4">
        <v>35</v>
      </c>
      <c r="J327" s="5">
        <v>0.92</v>
      </c>
      <c r="K327" s="11">
        <f>'Session Details'!L327</f>
        <v>0.2374999606493316</v>
      </c>
      <c r="L327" s="11">
        <f>'Session Details'!M327</f>
        <v>0.41599992877929692</v>
      </c>
      <c r="M327" s="11">
        <f>'Session Details'!N327</f>
        <v>0.73729989979831256</v>
      </c>
      <c r="N327" s="11">
        <f>'Session Details'!O327</f>
        <v>0.78720029618850795</v>
      </c>
    </row>
    <row r="328" spans="2:14" x14ac:dyDescent="0.35">
      <c r="B328" s="3">
        <v>43791</v>
      </c>
      <c r="C328" s="4">
        <v>409499</v>
      </c>
      <c r="D328" s="5">
        <v>0.18</v>
      </c>
      <c r="E328" s="4">
        <v>35</v>
      </c>
      <c r="F328" s="4">
        <v>19</v>
      </c>
      <c r="G328" s="4">
        <v>25</v>
      </c>
      <c r="H328" s="4">
        <v>360</v>
      </c>
      <c r="I328" s="4">
        <v>37</v>
      </c>
      <c r="J328" s="5">
        <v>0.95</v>
      </c>
      <c r="K328" s="11">
        <f>'Session Details'!L328</f>
        <v>0.24249996941219715</v>
      </c>
      <c r="L328" s="11">
        <f>'Session Details'!M328</f>
        <v>0.41599995804532441</v>
      </c>
      <c r="M328" s="11">
        <f>'Session Details'!N328</f>
        <v>0.76650015845159969</v>
      </c>
      <c r="N328" s="11">
        <f>'Session Details'!O328</f>
        <v>0.86099962172060973</v>
      </c>
    </row>
    <row r="329" spans="2:14" x14ac:dyDescent="0.35">
      <c r="B329" s="3">
        <v>43792</v>
      </c>
      <c r="C329" s="4">
        <v>401426</v>
      </c>
      <c r="D329" s="5">
        <v>0.18</v>
      </c>
      <c r="E329" s="4">
        <v>37</v>
      </c>
      <c r="F329" s="4">
        <v>18</v>
      </c>
      <c r="G329" s="4">
        <v>28</v>
      </c>
      <c r="H329" s="4">
        <v>393</v>
      </c>
      <c r="I329" s="4">
        <v>39</v>
      </c>
      <c r="J329" s="5">
        <v>0.95</v>
      </c>
      <c r="K329" s="11">
        <f>'Session Details'!L329</f>
        <v>0.20789998677587979</v>
      </c>
      <c r="L329" s="11">
        <f>'Session Details'!M329</f>
        <v>0.34339993886060111</v>
      </c>
      <c r="M329" s="11">
        <f>'Session Details'!N329</f>
        <v>0.65280003719902369</v>
      </c>
      <c r="N329" s="11">
        <f>'Session Details'!O329</f>
        <v>0.76440012371481858</v>
      </c>
    </row>
    <row r="330" spans="2:14" x14ac:dyDescent="0.35">
      <c r="B330" s="3">
        <v>43793</v>
      </c>
      <c r="C330" s="4">
        <v>388049</v>
      </c>
      <c r="D330" s="5">
        <v>0.19</v>
      </c>
      <c r="E330" s="4">
        <v>34</v>
      </c>
      <c r="F330" s="4">
        <v>22</v>
      </c>
      <c r="G330" s="4">
        <v>27</v>
      </c>
      <c r="H330" s="4">
        <v>354</v>
      </c>
      <c r="I330" s="4">
        <v>37</v>
      </c>
      <c r="J330" s="5">
        <v>0.95</v>
      </c>
      <c r="K330" s="11">
        <f>'Session Details'!L330</f>
        <v>0.20999999935116115</v>
      </c>
      <c r="L330" s="11">
        <f>'Session Details'!M330</f>
        <v>0.33999999794019414</v>
      </c>
      <c r="M330" s="11">
        <f>'Session Details'!N330</f>
        <v>0.65959981607145346</v>
      </c>
      <c r="N330" s="11">
        <f>'Session Details'!O330</f>
        <v>0.75659980941665428</v>
      </c>
    </row>
    <row r="331" spans="2:14" x14ac:dyDescent="0.35">
      <c r="B331" s="3">
        <v>43794</v>
      </c>
      <c r="C331" s="4">
        <v>408801</v>
      </c>
      <c r="D331" s="5">
        <v>0.19</v>
      </c>
      <c r="E331" s="4">
        <v>34</v>
      </c>
      <c r="F331" s="4">
        <v>22</v>
      </c>
      <c r="G331" s="4">
        <v>26</v>
      </c>
      <c r="H331" s="4">
        <v>392</v>
      </c>
      <c r="I331" s="4">
        <v>39</v>
      </c>
      <c r="J331" s="5">
        <v>0.94</v>
      </c>
      <c r="K331" s="11">
        <f>'Session Details'!L331</f>
        <v>0.2525000014671569</v>
      </c>
      <c r="L331" s="11">
        <f>'Session Details'!M331</f>
        <v>0.39999992848587979</v>
      </c>
      <c r="M331" s="11">
        <f>'Session Details'!N331</f>
        <v>0.75919984624461412</v>
      </c>
      <c r="N331" s="11">
        <f>'Session Details'!O331</f>
        <v>0.80359984528189254</v>
      </c>
    </row>
    <row r="332" spans="2:14" x14ac:dyDescent="0.35">
      <c r="B332" s="3">
        <v>43795</v>
      </c>
      <c r="C332" s="4">
        <v>396857</v>
      </c>
      <c r="D332" s="5">
        <v>0.17</v>
      </c>
      <c r="E332" s="4">
        <v>35</v>
      </c>
      <c r="F332" s="4">
        <v>17</v>
      </c>
      <c r="G332" s="4">
        <v>25</v>
      </c>
      <c r="H332" s="4">
        <v>368</v>
      </c>
      <c r="I332" s="4">
        <v>39</v>
      </c>
      <c r="J332" s="5">
        <v>0.95</v>
      </c>
      <c r="K332" s="11">
        <f>'Session Details'!L332</f>
        <v>0.25749996914432954</v>
      </c>
      <c r="L332" s="11">
        <f>'Session Details'!M332</f>
        <v>0.40400000147480442</v>
      </c>
      <c r="M332" s="11">
        <f>'Session Details'!N332</f>
        <v>0.69349986333418057</v>
      </c>
      <c r="N332" s="11">
        <f>'Session Details'!O332</f>
        <v>0.82819983563507826</v>
      </c>
    </row>
    <row r="333" spans="2:14" x14ac:dyDescent="0.35">
      <c r="B333" s="3">
        <v>43796</v>
      </c>
      <c r="C333" s="4">
        <v>396457</v>
      </c>
      <c r="D333" s="5">
        <v>0.19</v>
      </c>
      <c r="E333" s="4">
        <v>35</v>
      </c>
      <c r="F333" s="4">
        <v>22</v>
      </c>
      <c r="G333" s="4">
        <v>28</v>
      </c>
      <c r="H333" s="4">
        <v>369</v>
      </c>
      <c r="I333" s="4">
        <v>34</v>
      </c>
      <c r="J333" s="5">
        <v>0.91</v>
      </c>
      <c r="K333" s="11">
        <f>'Session Details'!L333</f>
        <v>0.26249996327270986</v>
      </c>
      <c r="L333" s="11">
        <f>'Session Details'!M333</f>
        <v>0.40799997861620446</v>
      </c>
      <c r="M333" s="11">
        <f>'Session Details'!N333</f>
        <v>0.70809995647408119</v>
      </c>
      <c r="N333" s="11">
        <f>'Session Details'!O333</f>
        <v>0.77899982536670098</v>
      </c>
    </row>
    <row r="334" spans="2:14" x14ac:dyDescent="0.35">
      <c r="B334" s="3">
        <v>43797</v>
      </c>
      <c r="C334" s="4">
        <v>403521</v>
      </c>
      <c r="D334" s="5">
        <v>0.18</v>
      </c>
      <c r="E334" s="4">
        <v>33</v>
      </c>
      <c r="F334" s="4">
        <v>21</v>
      </c>
      <c r="G334" s="4">
        <v>28</v>
      </c>
      <c r="H334" s="4">
        <v>380</v>
      </c>
      <c r="I334" s="4">
        <v>32</v>
      </c>
      <c r="J334" s="5">
        <v>0.94</v>
      </c>
      <c r="K334" s="11">
        <f>'Session Details'!L334</f>
        <v>0.23999997017963307</v>
      </c>
      <c r="L334" s="11">
        <f>'Session Details'!M334</f>
        <v>0.38799993202709632</v>
      </c>
      <c r="M334" s="11">
        <f>'Session Details'!N334</f>
        <v>0.71540014900392479</v>
      </c>
      <c r="N334" s="11">
        <f>'Session Details'!O334</f>
        <v>0.8527995102379361</v>
      </c>
    </row>
    <row r="335" spans="2:14" x14ac:dyDescent="0.35">
      <c r="B335" s="3">
        <v>43798</v>
      </c>
      <c r="C335" s="4">
        <v>403130</v>
      </c>
      <c r="D335" s="5">
        <v>0.17</v>
      </c>
      <c r="E335" s="4">
        <v>39</v>
      </c>
      <c r="F335" s="4">
        <v>17</v>
      </c>
      <c r="G335" s="4">
        <v>28</v>
      </c>
      <c r="H335" s="4">
        <v>352</v>
      </c>
      <c r="I335" s="4">
        <v>32</v>
      </c>
      <c r="J335" s="5">
        <v>0.94</v>
      </c>
      <c r="K335" s="11">
        <f>'Session Details'!L335</f>
        <v>0.25499996776769163</v>
      </c>
      <c r="L335" s="11">
        <f>'Session Details'!M335</f>
        <v>0.39199999422165827</v>
      </c>
      <c r="M335" s="11">
        <f>'Session Details'!N335</f>
        <v>0.72999979270935778</v>
      </c>
      <c r="N335" s="11">
        <f>'Session Details'!O335</f>
        <v>0.86100038429234993</v>
      </c>
    </row>
    <row r="336" spans="2:14" x14ac:dyDescent="0.35">
      <c r="B336" s="3">
        <v>43799</v>
      </c>
      <c r="C336" s="4">
        <v>381333</v>
      </c>
      <c r="D336" s="5">
        <v>0.19</v>
      </c>
      <c r="E336" s="4">
        <v>40</v>
      </c>
      <c r="F336" s="4">
        <v>18</v>
      </c>
      <c r="G336" s="4">
        <v>29</v>
      </c>
      <c r="H336" s="4">
        <v>369</v>
      </c>
      <c r="I336" s="4">
        <v>36</v>
      </c>
      <c r="J336" s="5">
        <v>0.93</v>
      </c>
      <c r="K336" s="11">
        <f>'Session Details'!L336</f>
        <v>0.21629998558584951</v>
      </c>
      <c r="L336" s="11">
        <f>'Session Details'!M336</f>
        <v>0.32639999372249606</v>
      </c>
      <c r="M336" s="11">
        <f>'Session Details'!N336</f>
        <v>0.69359994855293094</v>
      </c>
      <c r="N336" s="11">
        <f>'Session Details'!O336</f>
        <v>0.74879976361376321</v>
      </c>
    </row>
    <row r="337" spans="2:14" x14ac:dyDescent="0.35">
      <c r="B337" s="3">
        <v>43800</v>
      </c>
      <c r="C337" s="4">
        <v>397690</v>
      </c>
      <c r="D337" s="5">
        <v>0.18</v>
      </c>
      <c r="E337" s="4">
        <v>40</v>
      </c>
      <c r="F337" s="4">
        <v>18</v>
      </c>
      <c r="G337" s="4">
        <v>27</v>
      </c>
      <c r="H337" s="4">
        <v>388</v>
      </c>
      <c r="I337" s="4">
        <v>39</v>
      </c>
      <c r="J337" s="5">
        <v>0.92</v>
      </c>
      <c r="K337" s="11">
        <f>'Session Details'!L337</f>
        <v>0.2183999945164799</v>
      </c>
      <c r="L337" s="11">
        <f>'Session Details'!M337</f>
        <v>0.34339998183615306</v>
      </c>
      <c r="M337" s="11">
        <f>'Session Details'!N337</f>
        <v>0.7003998191545906</v>
      </c>
      <c r="N337" s="11">
        <f>'Session Details'!O337</f>
        <v>0.81120019181734293</v>
      </c>
    </row>
    <row r="338" spans="2:14" x14ac:dyDescent="0.35">
      <c r="B338" s="3">
        <v>43801</v>
      </c>
      <c r="C338" s="4">
        <v>400613</v>
      </c>
      <c r="D338" s="5">
        <v>0.17</v>
      </c>
      <c r="E338" s="4">
        <v>37</v>
      </c>
      <c r="F338" s="4">
        <v>22</v>
      </c>
      <c r="G338" s="4">
        <v>26</v>
      </c>
      <c r="H338" s="4">
        <v>394</v>
      </c>
      <c r="I338" s="4">
        <v>37</v>
      </c>
      <c r="J338" s="5">
        <v>0.91</v>
      </c>
      <c r="K338" s="11">
        <f>'Session Details'!L338</f>
        <v>0.26249996104681417</v>
      </c>
      <c r="L338" s="11">
        <f>'Session Details'!M338</f>
        <v>0.39200002551475577</v>
      </c>
      <c r="M338" s="11">
        <f>'Session Details'!N338</f>
        <v>0.71539984098479137</v>
      </c>
      <c r="N338" s="11">
        <f>'Session Details'!O338</f>
        <v>0.82819968320499993</v>
      </c>
    </row>
    <row r="339" spans="2:14" x14ac:dyDescent="0.35">
      <c r="B339" s="3">
        <v>43802</v>
      </c>
      <c r="C339" s="4">
        <v>393251</v>
      </c>
      <c r="D339" s="5">
        <v>0.19</v>
      </c>
      <c r="E339" s="4">
        <v>36</v>
      </c>
      <c r="F339" s="4">
        <v>20</v>
      </c>
      <c r="G339" s="4">
        <v>30</v>
      </c>
      <c r="H339" s="4">
        <v>360</v>
      </c>
      <c r="I339" s="4">
        <v>39</v>
      </c>
      <c r="J339" s="5">
        <v>0.94</v>
      </c>
      <c r="K339" s="11">
        <f>'Session Details'!L339</f>
        <v>0.2600000019185898</v>
      </c>
      <c r="L339" s="11">
        <f>'Session Details'!M339</f>
        <v>0.41599989521547975</v>
      </c>
      <c r="M339" s="11">
        <f>'Session Details'!N339</f>
        <v>0.7007998708641151</v>
      </c>
      <c r="N339" s="11">
        <f>'Session Details'!O339</f>
        <v>0.81179981471825535</v>
      </c>
    </row>
    <row r="340" spans="2:14" x14ac:dyDescent="0.35">
      <c r="B340" s="3">
        <v>43803</v>
      </c>
      <c r="C340" s="4">
        <v>385988</v>
      </c>
      <c r="D340" s="5">
        <v>0.19</v>
      </c>
      <c r="E340" s="4">
        <v>37</v>
      </c>
      <c r="F340" s="4">
        <v>18</v>
      </c>
      <c r="G340" s="4">
        <v>28</v>
      </c>
      <c r="H340" s="4">
        <v>397</v>
      </c>
      <c r="I340" s="4">
        <v>38</v>
      </c>
      <c r="J340" s="5">
        <v>0.92</v>
      </c>
      <c r="K340" s="11">
        <f>'Session Details'!L340</f>
        <v>0.2574999798827477</v>
      </c>
      <c r="L340" s="11">
        <f>'Session Details'!M340</f>
        <v>0.3959999173608385</v>
      </c>
      <c r="M340" s="11">
        <f>'Session Details'!N340</f>
        <v>0.69349990705635189</v>
      </c>
      <c r="N340" s="11">
        <f>'Session Details'!O340</f>
        <v>0.84459995954078793</v>
      </c>
    </row>
    <row r="341" spans="2:14" x14ac:dyDescent="0.35">
      <c r="B341" s="3">
        <v>43804</v>
      </c>
      <c r="C341" s="4">
        <v>404457</v>
      </c>
      <c r="D341" s="5">
        <v>0.18</v>
      </c>
      <c r="E341" s="4">
        <v>30</v>
      </c>
      <c r="F341" s="4">
        <v>22</v>
      </c>
      <c r="G341" s="4">
        <v>30</v>
      </c>
      <c r="H341" s="4">
        <v>370</v>
      </c>
      <c r="I341" s="4">
        <v>39</v>
      </c>
      <c r="J341" s="5">
        <v>0.91</v>
      </c>
      <c r="K341" s="11">
        <f>'Session Details'!L341</f>
        <v>0.25749996657226321</v>
      </c>
      <c r="L341" s="11">
        <f>'Session Details'!M341</f>
        <v>0.41599988858136044</v>
      </c>
      <c r="M341" s="11">
        <f>'Session Details'!N341</f>
        <v>0.73730013247003923</v>
      </c>
      <c r="N341" s="11">
        <f>'Session Details'!O341</f>
        <v>0.79539979874820266</v>
      </c>
    </row>
    <row r="342" spans="2:14" x14ac:dyDescent="0.35">
      <c r="B342" s="3">
        <v>43805</v>
      </c>
      <c r="C342" s="4">
        <v>386475</v>
      </c>
      <c r="D342" s="5">
        <v>0.19</v>
      </c>
      <c r="E342" s="4">
        <v>34</v>
      </c>
      <c r="F342" s="4">
        <v>21</v>
      </c>
      <c r="G342" s="4">
        <v>26</v>
      </c>
      <c r="H342" s="4">
        <v>356</v>
      </c>
      <c r="I342" s="4">
        <v>32</v>
      </c>
      <c r="J342" s="5">
        <v>0.91</v>
      </c>
      <c r="K342" s="11">
        <f>'Session Details'!L342</f>
        <v>0.24249998338540821</v>
      </c>
      <c r="L342" s="11">
        <f>'Session Details'!M342</f>
        <v>0.41599984809515039</v>
      </c>
      <c r="M342" s="11">
        <f>'Session Details'!N342</f>
        <v>0.74460018474259559</v>
      </c>
      <c r="N342" s="11">
        <f>'Session Details'!O342</f>
        <v>0.8445995990808689</v>
      </c>
    </row>
    <row r="343" spans="2:14" x14ac:dyDescent="0.35">
      <c r="B343" s="3">
        <v>43806</v>
      </c>
      <c r="C343" s="4">
        <v>401987</v>
      </c>
      <c r="D343" s="5">
        <v>0.17</v>
      </c>
      <c r="E343" s="4">
        <v>38</v>
      </c>
      <c r="F343" s="4">
        <v>20</v>
      </c>
      <c r="G343" s="4">
        <v>30</v>
      </c>
      <c r="H343" s="4">
        <v>370</v>
      </c>
      <c r="I343" s="4">
        <v>36</v>
      </c>
      <c r="J343" s="5">
        <v>0.95</v>
      </c>
      <c r="K343" s="11">
        <f>'Session Details'!L343</f>
        <v>0.20789998989587982</v>
      </c>
      <c r="L343" s="11">
        <f>'Session Details'!M343</f>
        <v>0.34339996372155607</v>
      </c>
      <c r="M343" s="11">
        <f>'Session Details'!N343</f>
        <v>0.68679989976791878</v>
      </c>
      <c r="N343" s="11">
        <f>'Session Details'!O343</f>
        <v>0.77219986648369987</v>
      </c>
    </row>
    <row r="344" spans="2:14" x14ac:dyDescent="0.35">
      <c r="B344" s="3">
        <v>43807</v>
      </c>
      <c r="C344" s="4">
        <v>392420</v>
      </c>
      <c r="D344" s="5">
        <v>0.19</v>
      </c>
      <c r="E344" s="4">
        <v>30</v>
      </c>
      <c r="F344" s="4">
        <v>18</v>
      </c>
      <c r="G344" s="4">
        <v>25</v>
      </c>
      <c r="H344" s="4">
        <v>394</v>
      </c>
      <c r="I344" s="4">
        <v>36</v>
      </c>
      <c r="J344" s="5">
        <v>0.93</v>
      </c>
      <c r="K344" s="11">
        <f>'Session Details'!L344</f>
        <v>0.20999998749771406</v>
      </c>
      <c r="L344" s="11">
        <f>'Session Details'!M344</f>
        <v>0.33320001169044988</v>
      </c>
      <c r="M344" s="11">
        <f>'Session Details'!N344</f>
        <v>0.67999987005413864</v>
      </c>
      <c r="N344" s="11">
        <f>'Session Details'!O344</f>
        <v>0.78000018154204676</v>
      </c>
    </row>
    <row r="345" spans="2:14" x14ac:dyDescent="0.35">
      <c r="B345" s="3">
        <v>43808</v>
      </c>
      <c r="C345" s="4">
        <v>397135</v>
      </c>
      <c r="D345" s="5">
        <v>0.17</v>
      </c>
      <c r="E345" s="4">
        <v>36</v>
      </c>
      <c r="F345" s="4">
        <v>22</v>
      </c>
      <c r="G345" s="4">
        <v>25</v>
      </c>
      <c r="H345" s="4">
        <v>363</v>
      </c>
      <c r="I345" s="4">
        <v>38</v>
      </c>
      <c r="J345" s="5">
        <v>0.92</v>
      </c>
      <c r="K345" s="11">
        <f>'Session Details'!L345</f>
        <v>0.24499998538920112</v>
      </c>
      <c r="L345" s="11">
        <f>'Session Details'!M345</f>
        <v>0.40799985109092163</v>
      </c>
      <c r="M345" s="11">
        <f>'Session Details'!N345</f>
        <v>0.70080023953591686</v>
      </c>
      <c r="N345" s="11">
        <f>'Session Details'!O345</f>
        <v>0.78719956313882733</v>
      </c>
    </row>
    <row r="346" spans="2:14" x14ac:dyDescent="0.35">
      <c r="B346" s="3">
        <v>43809</v>
      </c>
      <c r="C346" s="4">
        <v>408697</v>
      </c>
      <c r="D346" s="5">
        <v>0.18</v>
      </c>
      <c r="E346" s="4">
        <v>31</v>
      </c>
      <c r="F346" s="4">
        <v>19</v>
      </c>
      <c r="G346" s="4">
        <v>29</v>
      </c>
      <c r="H346" s="4">
        <v>370</v>
      </c>
      <c r="I346" s="4">
        <v>35</v>
      </c>
      <c r="J346" s="5">
        <v>0.94</v>
      </c>
      <c r="K346" s="11">
        <f>'Session Details'!L346</f>
        <v>0.24249997686064484</v>
      </c>
      <c r="L346" s="11">
        <f>'Session Details'!M346</f>
        <v>0.40399996931215104</v>
      </c>
      <c r="M346" s="11">
        <f>'Session Details'!N346</f>
        <v>0.72269984727286884</v>
      </c>
      <c r="N346" s="11">
        <f>'Session Details'!O346</f>
        <v>0.81179997819052285</v>
      </c>
    </row>
    <row r="347" spans="2:14" x14ac:dyDescent="0.35">
      <c r="B347" s="3">
        <v>43810</v>
      </c>
      <c r="C347" s="4">
        <v>384623</v>
      </c>
      <c r="D347" s="5">
        <v>0.18</v>
      </c>
      <c r="E347" s="4">
        <v>36</v>
      </c>
      <c r="F347" s="4">
        <v>20</v>
      </c>
      <c r="G347" s="4">
        <v>27</v>
      </c>
      <c r="H347" s="4">
        <v>397</v>
      </c>
      <c r="I347" s="4">
        <v>37</v>
      </c>
      <c r="J347" s="5">
        <v>0.94</v>
      </c>
      <c r="K347" s="11">
        <f>'Session Details'!L347</f>
        <v>0.24249998915258872</v>
      </c>
      <c r="L347" s="11">
        <f>'Session Details'!M347</f>
        <v>0.40399988095918415</v>
      </c>
      <c r="M347" s="11">
        <f>'Session Details'!N347</f>
        <v>0.70809981954605872</v>
      </c>
      <c r="N347" s="11">
        <f>'Session Details'!O347</f>
        <v>0.79540032549382522</v>
      </c>
    </row>
    <row r="348" spans="2:14" x14ac:dyDescent="0.35">
      <c r="B348" s="3">
        <v>43811</v>
      </c>
      <c r="C348" s="4">
        <v>385929</v>
      </c>
      <c r="D348" s="5">
        <v>0.18</v>
      </c>
      <c r="E348" s="4">
        <v>36</v>
      </c>
      <c r="F348" s="4">
        <v>21</v>
      </c>
      <c r="G348" s="4">
        <v>27</v>
      </c>
      <c r="H348" s="4">
        <v>386</v>
      </c>
      <c r="I348" s="4">
        <v>33</v>
      </c>
      <c r="J348" s="5">
        <v>0.92</v>
      </c>
      <c r="K348" s="11">
        <f>'Session Details'!L348</f>
        <v>0.25749999555495034</v>
      </c>
      <c r="L348" s="11">
        <f>'Session Details'!M348</f>
        <v>0.39999985836037616</v>
      </c>
      <c r="M348" s="11">
        <f>'Session Details'!N348</f>
        <v>0.74460020874146948</v>
      </c>
      <c r="N348" s="11">
        <f>'Session Details'!O348</f>
        <v>0.81999963144400834</v>
      </c>
    </row>
    <row r="349" spans="2:14" x14ac:dyDescent="0.35">
      <c r="B349" s="3">
        <v>43812</v>
      </c>
      <c r="C349" s="4">
        <v>410246</v>
      </c>
      <c r="D349" s="5">
        <v>0.17</v>
      </c>
      <c r="E349" s="4">
        <v>32</v>
      </c>
      <c r="F349" s="4">
        <v>20</v>
      </c>
      <c r="G349" s="4">
        <v>25</v>
      </c>
      <c r="H349" s="4">
        <v>371</v>
      </c>
      <c r="I349" s="4">
        <v>33</v>
      </c>
      <c r="J349" s="5">
        <v>0.92</v>
      </c>
      <c r="K349" s="11">
        <f>'Session Details'!L349</f>
        <v>0.25999996404014575</v>
      </c>
      <c r="L349" s="11">
        <f>'Session Details'!M349</f>
        <v>0.38400002158940894</v>
      </c>
      <c r="M349" s="11">
        <f>'Session Details'!N349</f>
        <v>0.72999975402693051</v>
      </c>
      <c r="N349" s="11">
        <f>'Session Details'!O349</f>
        <v>0.78720012996624489</v>
      </c>
    </row>
    <row r="350" spans="2:14" x14ac:dyDescent="0.35">
      <c r="B350" s="3">
        <v>43813</v>
      </c>
      <c r="C350" s="4">
        <v>386399</v>
      </c>
      <c r="D350" s="5">
        <v>0.17</v>
      </c>
      <c r="E350" s="4">
        <v>38</v>
      </c>
      <c r="F350" s="4">
        <v>19</v>
      </c>
      <c r="G350" s="4">
        <v>26</v>
      </c>
      <c r="H350" s="4">
        <v>391</v>
      </c>
      <c r="I350" s="4">
        <v>40</v>
      </c>
      <c r="J350" s="5">
        <v>0.92</v>
      </c>
      <c r="K350" s="11">
        <f>'Session Details'!L350</f>
        <v>0.20159999842751997</v>
      </c>
      <c r="L350" s="11">
        <f>'Session Details'!M350</f>
        <v>0.35019996708833251</v>
      </c>
      <c r="M350" s="11">
        <f>'Session Details'!N350</f>
        <v>0.68680000556824738</v>
      </c>
      <c r="N350" s="11">
        <f>'Session Details'!O350</f>
        <v>0.80339975497261462</v>
      </c>
    </row>
    <row r="351" spans="2:14" x14ac:dyDescent="0.35">
      <c r="B351" s="3">
        <v>43814</v>
      </c>
      <c r="C351" s="4">
        <v>410008</v>
      </c>
      <c r="D351" s="5">
        <v>0.18</v>
      </c>
      <c r="E351" s="4">
        <v>30</v>
      </c>
      <c r="F351" s="4">
        <v>21</v>
      </c>
      <c r="G351" s="4">
        <v>27</v>
      </c>
      <c r="H351" s="4">
        <v>355</v>
      </c>
      <c r="I351" s="4">
        <v>32</v>
      </c>
      <c r="J351" s="5">
        <v>0.91</v>
      </c>
      <c r="K351" s="11">
        <f>'Session Details'!L351</f>
        <v>0.20159998477751973</v>
      </c>
      <c r="L351" s="11">
        <f>'Session Details'!M351</f>
        <v>0.3229999325489521</v>
      </c>
      <c r="M351" s="11">
        <f>'Session Details'!N351</f>
        <v>0.64600005773028057</v>
      </c>
      <c r="N351" s="11">
        <f>'Session Details'!O351</f>
        <v>0.76439988415550741</v>
      </c>
    </row>
    <row r="352" spans="2:14" x14ac:dyDescent="0.35">
      <c r="B352" s="3">
        <v>43815</v>
      </c>
      <c r="C352" s="4">
        <v>390197</v>
      </c>
      <c r="D352" s="5">
        <v>0.19</v>
      </c>
      <c r="E352" s="4">
        <v>40</v>
      </c>
      <c r="F352" s="4">
        <v>19</v>
      </c>
      <c r="G352" s="4">
        <v>27</v>
      </c>
      <c r="H352" s="4">
        <v>386</v>
      </c>
      <c r="I352" s="4">
        <v>31</v>
      </c>
      <c r="J352" s="5">
        <v>0.95</v>
      </c>
      <c r="K352" s="11">
        <f>'Session Details'!L352</f>
        <v>0.25499998989803735</v>
      </c>
      <c r="L352" s="11">
        <f>'Session Details'!M352</f>
        <v>0.40799990713380085</v>
      </c>
      <c r="M352" s="11">
        <f>'Session Details'!N352</f>
        <v>0.71539984518683708</v>
      </c>
      <c r="N352" s="11">
        <f>'Session Details'!O352</f>
        <v>0.83640016993908828</v>
      </c>
    </row>
    <row r="353" spans="2:14" x14ac:dyDescent="0.35">
      <c r="B353" s="3">
        <v>43816</v>
      </c>
      <c r="C353" s="4">
        <v>393364</v>
      </c>
      <c r="D353" s="5">
        <v>0.17</v>
      </c>
      <c r="E353" s="4">
        <v>40</v>
      </c>
      <c r="F353" s="4">
        <v>20</v>
      </c>
      <c r="G353" s="4">
        <v>27</v>
      </c>
      <c r="H353" s="4">
        <v>356</v>
      </c>
      <c r="I353" s="4">
        <v>33</v>
      </c>
      <c r="J353" s="5">
        <v>0.92</v>
      </c>
      <c r="K353" s="11">
        <f>'Session Details'!L353</f>
        <v>0.24249998338540821</v>
      </c>
      <c r="L353" s="11">
        <f>'Session Details'!M353</f>
        <v>0.39599989116095824</v>
      </c>
      <c r="M353" s="11">
        <f>'Session Details'!N353</f>
        <v>0.69350008650732842</v>
      </c>
      <c r="N353" s="11">
        <f>'Session Details'!O353</f>
        <v>0.7871996612769403</v>
      </c>
    </row>
    <row r="354" spans="2:14" x14ac:dyDescent="0.35">
      <c r="B354" s="3">
        <v>43817</v>
      </c>
      <c r="C354" s="4">
        <v>396256</v>
      </c>
      <c r="D354" s="5">
        <v>0.19</v>
      </c>
      <c r="E354" s="4">
        <v>40</v>
      </c>
      <c r="F354" s="4">
        <v>22</v>
      </c>
      <c r="G354" s="4">
        <v>27</v>
      </c>
      <c r="H354" s="4">
        <v>362</v>
      </c>
      <c r="I354" s="4">
        <v>38</v>
      </c>
      <c r="J354" s="5">
        <v>0.93</v>
      </c>
      <c r="K354" s="11">
        <f>'Session Details'!L354</f>
        <v>0.24249997541224722</v>
      </c>
      <c r="L354" s="11">
        <f>'Session Details'!M354</f>
        <v>0.3880000324456977</v>
      </c>
      <c r="M354" s="11">
        <f>'Session Details'!N354</f>
        <v>0.75919970960038696</v>
      </c>
      <c r="N354" s="11">
        <f>'Session Details'!O354</f>
        <v>0.8036000267855411</v>
      </c>
    </row>
    <row r="355" spans="2:14" x14ac:dyDescent="0.35">
      <c r="B355" s="3">
        <v>43818</v>
      </c>
      <c r="C355" s="4">
        <v>395679</v>
      </c>
      <c r="D355" s="5">
        <v>0.17</v>
      </c>
      <c r="E355" s="4">
        <v>34</v>
      </c>
      <c r="F355" s="4">
        <v>19</v>
      </c>
      <c r="G355" s="4">
        <v>30</v>
      </c>
      <c r="H355" s="4">
        <v>354</v>
      </c>
      <c r="I355" s="4">
        <v>32</v>
      </c>
      <c r="J355" s="5">
        <v>0.92</v>
      </c>
      <c r="K355" s="11">
        <f>'Session Details'!L355</f>
        <v>0.247499978638382</v>
      </c>
      <c r="L355" s="11">
        <f>'Session Details'!M355</f>
        <v>0.39600003068784895</v>
      </c>
      <c r="M355" s="11">
        <f>'Session Details'!N355</f>
        <v>0.7299997432992632</v>
      </c>
      <c r="N355" s="11">
        <f>'Session Details'!O355</f>
        <v>0.80359965021277835</v>
      </c>
    </row>
    <row r="356" spans="2:14" x14ac:dyDescent="0.35">
      <c r="B356" s="3">
        <v>43819</v>
      </c>
      <c r="C356" s="4">
        <v>388480</v>
      </c>
      <c r="D356" s="5">
        <v>0.18</v>
      </c>
      <c r="E356" s="4">
        <v>34</v>
      </c>
      <c r="F356" s="4">
        <v>20</v>
      </c>
      <c r="G356" s="4">
        <v>27</v>
      </c>
      <c r="H356" s="4">
        <v>362</v>
      </c>
      <c r="I356" s="4">
        <v>39</v>
      </c>
      <c r="J356" s="5">
        <v>0.95</v>
      </c>
      <c r="K356" s="11">
        <f>'Session Details'!L356</f>
        <v>0.23749997009257129</v>
      </c>
      <c r="L356" s="11">
        <f>'Session Details'!M356</f>
        <v>0.39200003801540573</v>
      </c>
      <c r="M356" s="11">
        <f>'Session Details'!N356</f>
        <v>0.69349985113866797</v>
      </c>
      <c r="N356" s="11">
        <f>'Session Details'!O356</f>
        <v>0.8609997063388849</v>
      </c>
    </row>
    <row r="357" spans="2:14" x14ac:dyDescent="0.35">
      <c r="B357" s="3">
        <v>43820</v>
      </c>
      <c r="C357" s="4">
        <v>399659</v>
      </c>
      <c r="D357" s="5">
        <v>0.17</v>
      </c>
      <c r="E357" s="4">
        <v>39</v>
      </c>
      <c r="F357" s="4">
        <v>17</v>
      </c>
      <c r="G357" s="4">
        <v>29</v>
      </c>
      <c r="H357" s="4">
        <v>350</v>
      </c>
      <c r="I357" s="4">
        <v>31</v>
      </c>
      <c r="J357" s="5">
        <v>0.91</v>
      </c>
      <c r="K357" s="11">
        <f>'Session Details'!L357</f>
        <v>0.20159998034450877</v>
      </c>
      <c r="L357" s="11">
        <f>'Session Details'!M357</f>
        <v>0.32639997614058003</v>
      </c>
      <c r="M357" s="11">
        <f>'Session Details'!N357</f>
        <v>0.64600006376416985</v>
      </c>
      <c r="N357" s="11">
        <f>'Session Details'!O357</f>
        <v>0.7643996479141969</v>
      </c>
    </row>
    <row r="358" spans="2:14" x14ac:dyDescent="0.35">
      <c r="B358" s="3">
        <v>43821</v>
      </c>
      <c r="C358" s="4">
        <v>391668</v>
      </c>
      <c r="D358" s="5">
        <v>0.18</v>
      </c>
      <c r="E358" s="4">
        <v>30</v>
      </c>
      <c r="F358" s="4">
        <v>18</v>
      </c>
      <c r="G358" s="4">
        <v>25</v>
      </c>
      <c r="H358" s="4">
        <v>397</v>
      </c>
      <c r="I358" s="4">
        <v>39</v>
      </c>
      <c r="J358" s="5">
        <v>0.92</v>
      </c>
      <c r="K358" s="11">
        <f>'Session Details'!L358</f>
        <v>0.21209999220311987</v>
      </c>
      <c r="L358" s="11">
        <f>'Session Details'!M358</f>
        <v>0.35699991827375799</v>
      </c>
      <c r="M358" s="11">
        <f>'Session Details'!N358</f>
        <v>0.64599997057990677</v>
      </c>
      <c r="N358" s="11">
        <f>'Session Details'!O358</f>
        <v>0.79560017400817007</v>
      </c>
    </row>
    <row r="359" spans="2:14" x14ac:dyDescent="0.35">
      <c r="B359" s="3">
        <v>43822</v>
      </c>
      <c r="C359" s="4">
        <v>387294</v>
      </c>
      <c r="D359" s="5">
        <v>0.17</v>
      </c>
      <c r="E359" s="4">
        <v>34</v>
      </c>
      <c r="F359" s="4">
        <v>18</v>
      </c>
      <c r="G359" s="4">
        <v>29</v>
      </c>
      <c r="H359" s="4">
        <v>357</v>
      </c>
      <c r="I359" s="4">
        <v>30</v>
      </c>
      <c r="J359" s="5">
        <v>0.92</v>
      </c>
      <c r="K359" s="11">
        <f>'Session Details'!L359</f>
        <v>0.23749996918628585</v>
      </c>
      <c r="L359" s="11">
        <f>'Session Details'!M359</f>
        <v>0.38000003525064874</v>
      </c>
      <c r="M359" s="11">
        <f>'Session Details'!N359</f>
        <v>0.73729971809790817</v>
      </c>
      <c r="N359" s="11">
        <f>'Session Details'!O359</f>
        <v>0.83640012330068381</v>
      </c>
    </row>
    <row r="360" spans="2:14" x14ac:dyDescent="0.35">
      <c r="B360" s="3">
        <v>43823</v>
      </c>
      <c r="C360" s="4">
        <v>385346</v>
      </c>
      <c r="D360" s="5">
        <v>0.17</v>
      </c>
      <c r="E360" s="4">
        <v>40</v>
      </c>
      <c r="F360" s="4">
        <v>17</v>
      </c>
      <c r="G360" s="4">
        <v>26</v>
      </c>
      <c r="H360" s="4">
        <v>394</v>
      </c>
      <c r="I360" s="4">
        <v>40</v>
      </c>
      <c r="J360" s="5">
        <v>0.93</v>
      </c>
      <c r="K360" s="11">
        <f>'Session Details'!L360</f>
        <v>0.24999998825353181</v>
      </c>
      <c r="L360" s="11">
        <f>'Session Details'!M360</f>
        <v>0.39599996090775208</v>
      </c>
      <c r="M360" s="11">
        <f>'Session Details'!N360</f>
        <v>0.74459994608488977</v>
      </c>
      <c r="N360" s="11">
        <f>'Session Details'!O360</f>
        <v>0.83639963184021249</v>
      </c>
    </row>
    <row r="361" spans="2:14" x14ac:dyDescent="0.35">
      <c r="B361" s="3">
        <v>43824</v>
      </c>
      <c r="C361" s="4">
        <v>403674</v>
      </c>
      <c r="D361" s="5">
        <v>0.19</v>
      </c>
      <c r="E361" s="4">
        <v>38</v>
      </c>
      <c r="F361" s="4">
        <v>20</v>
      </c>
      <c r="G361" s="4">
        <v>27</v>
      </c>
      <c r="H361" s="4">
        <v>366</v>
      </c>
      <c r="I361" s="4">
        <v>35</v>
      </c>
      <c r="J361" s="5">
        <v>0.93</v>
      </c>
      <c r="K361" s="11">
        <f>'Session Details'!L361</f>
        <v>0.25499997019117343</v>
      </c>
      <c r="L361" s="11">
        <f>'Session Details'!M361</f>
        <v>0.41199994297689141</v>
      </c>
      <c r="M361" s="11">
        <f>'Session Details'!N361</f>
        <v>0.73000015685970565</v>
      </c>
      <c r="N361" s="11">
        <f>'Session Details'!O361</f>
        <v>0.79539987840531479</v>
      </c>
    </row>
    <row r="362" spans="2:14" x14ac:dyDescent="0.35">
      <c r="B362" s="3">
        <v>43825</v>
      </c>
      <c r="C362" s="4">
        <v>381035</v>
      </c>
      <c r="D362" s="5">
        <v>0.18</v>
      </c>
      <c r="E362" s="4">
        <v>39</v>
      </c>
      <c r="F362" s="4">
        <v>21</v>
      </c>
      <c r="G362" s="4">
        <v>29</v>
      </c>
      <c r="H362" s="4">
        <v>380</v>
      </c>
      <c r="I362" s="4">
        <v>36</v>
      </c>
      <c r="J362" s="5">
        <v>0.95</v>
      </c>
      <c r="K362" s="11">
        <f>'Session Details'!L362</f>
        <v>0.25250000327170047</v>
      </c>
      <c r="L362" s="11">
        <f>'Session Details'!M362</f>
        <v>0.41199996851873144</v>
      </c>
      <c r="M362" s="11">
        <f>'Session Details'!N362</f>
        <v>0.76649961887758045</v>
      </c>
      <c r="N362" s="11">
        <f>'Session Details'!O362</f>
        <v>0.78720005446371477</v>
      </c>
    </row>
    <row r="363" spans="2:14" x14ac:dyDescent="0.35">
      <c r="B363" s="3">
        <v>43826</v>
      </c>
      <c r="C363" s="4">
        <v>409390</v>
      </c>
      <c r="D363" s="5">
        <v>0.19</v>
      </c>
      <c r="E363" s="4">
        <v>30</v>
      </c>
      <c r="F363" s="4">
        <v>18</v>
      </c>
      <c r="G363" s="4">
        <v>27</v>
      </c>
      <c r="H363" s="4">
        <v>387</v>
      </c>
      <c r="I363" s="4">
        <v>33</v>
      </c>
      <c r="J363" s="5">
        <v>0.91</v>
      </c>
      <c r="K363" s="11">
        <f>'Session Details'!L363</f>
        <v>0.25249999329424921</v>
      </c>
      <c r="L363" s="11">
        <f>'Session Details'!M363</f>
        <v>0.41600000141639626</v>
      </c>
      <c r="M363" s="11">
        <f>'Session Details'!N363</f>
        <v>0.69350002659998933</v>
      </c>
      <c r="N363" s="11">
        <f>'Session Details'!O363</f>
        <v>0.80359995458632127</v>
      </c>
    </row>
    <row r="364" spans="2:14" x14ac:dyDescent="0.35">
      <c r="B364" s="3">
        <v>43827</v>
      </c>
      <c r="C364" s="4">
        <v>383323</v>
      </c>
      <c r="D364" s="5">
        <v>0.19</v>
      </c>
      <c r="E364" s="4">
        <v>30</v>
      </c>
      <c r="F364" s="4">
        <v>18</v>
      </c>
      <c r="G364" s="4">
        <v>27</v>
      </c>
      <c r="H364" s="4">
        <v>388</v>
      </c>
      <c r="I364" s="4">
        <v>37</v>
      </c>
      <c r="J364" s="5">
        <v>0.91</v>
      </c>
      <c r="K364" s="11">
        <f>'Session Details'!L364</f>
        <v>0.20999999823550097</v>
      </c>
      <c r="L364" s="11">
        <f>'Session Details'!M364</f>
        <v>0.34339997538103728</v>
      </c>
      <c r="M364" s="11">
        <f>'Session Details'!N364</f>
        <v>0.6731997757490249</v>
      </c>
      <c r="N364" s="11">
        <f>'Session Details'!O364</f>
        <v>0.80340026923379226</v>
      </c>
    </row>
    <row r="365" spans="2:14" x14ac:dyDescent="0.35">
      <c r="B365" s="3">
        <v>43828</v>
      </c>
      <c r="C365" s="4">
        <v>385433</v>
      </c>
      <c r="D365" s="5">
        <v>0.17</v>
      </c>
      <c r="E365" s="4">
        <v>38</v>
      </c>
      <c r="F365" s="4">
        <v>17</v>
      </c>
      <c r="G365" s="4">
        <v>25</v>
      </c>
      <c r="H365" s="4">
        <v>350</v>
      </c>
      <c r="I365" s="4">
        <v>31</v>
      </c>
      <c r="J365" s="5">
        <v>0.94</v>
      </c>
      <c r="K365" s="11">
        <f>'Session Details'!L365</f>
        <v>0.2015999886824669</v>
      </c>
      <c r="L365" s="11">
        <f>'Session Details'!M365</f>
        <v>0.35700000455670133</v>
      </c>
      <c r="M365" s="11">
        <f>'Session Details'!N365</f>
        <v>0.67319995941089639</v>
      </c>
      <c r="N365" s="11">
        <f>'Session Details'!O365</f>
        <v>0.75659961937806475</v>
      </c>
    </row>
    <row r="366" spans="2:14" x14ac:dyDescent="0.35">
      <c r="B366" s="3">
        <v>43829</v>
      </c>
      <c r="C366" s="4">
        <v>382858</v>
      </c>
      <c r="D366" s="5">
        <v>0.18</v>
      </c>
      <c r="E366" s="4">
        <v>38</v>
      </c>
      <c r="F366" s="4">
        <v>17</v>
      </c>
      <c r="G366" s="4">
        <v>26</v>
      </c>
      <c r="H366" s="4">
        <v>385</v>
      </c>
      <c r="I366" s="4">
        <v>30</v>
      </c>
      <c r="J366" s="5">
        <v>0.95</v>
      </c>
      <c r="K366" s="11">
        <f>'Session Details'!L366</f>
        <v>0.23999996027390599</v>
      </c>
      <c r="L366" s="11">
        <f>'Session Details'!M366</f>
        <v>0.38399997441879885</v>
      </c>
      <c r="M366" s="11">
        <f>'Session Details'!N366</f>
        <v>0.69349972740618537</v>
      </c>
      <c r="N366" s="11">
        <f>'Session Details'!O366</f>
        <v>0.82819988147867707</v>
      </c>
    </row>
    <row r="367" spans="2:14" x14ac:dyDescent="0.35">
      <c r="B367" s="3">
        <v>43830</v>
      </c>
      <c r="C367" s="4">
        <v>384453</v>
      </c>
      <c r="D367" s="5">
        <v>0.19</v>
      </c>
      <c r="E367" s="4">
        <v>33</v>
      </c>
      <c r="F367" s="4">
        <v>18</v>
      </c>
      <c r="G367" s="4">
        <v>26</v>
      </c>
      <c r="H367" s="4">
        <v>357</v>
      </c>
      <c r="I367" s="4">
        <v>36</v>
      </c>
      <c r="J367" s="5">
        <v>0.91</v>
      </c>
      <c r="K367" s="11">
        <f>'Session Details'!L367</f>
        <v>0.24249998164992312</v>
      </c>
      <c r="L367" s="11">
        <f>'Session Details'!M367</f>
        <v>0.39599997668786879</v>
      </c>
      <c r="M367" s="11">
        <f>'Session Details'!N367</f>
        <v>0.70809985515372176</v>
      </c>
      <c r="N367" s="11">
        <f>'Session Details'!O367</f>
        <v>0.86100028092128778</v>
      </c>
    </row>
    <row r="368" spans="2:14" x14ac:dyDescent="0.35">
      <c r="B368" s="3">
        <v>43831</v>
      </c>
      <c r="C368" s="4">
        <v>385535</v>
      </c>
      <c r="D368" s="5">
        <v>0.17</v>
      </c>
      <c r="E368" s="4">
        <v>31</v>
      </c>
      <c r="F368" s="4">
        <v>20</v>
      </c>
      <c r="G368" s="4">
        <v>28</v>
      </c>
      <c r="H368" s="4">
        <v>397</v>
      </c>
      <c r="I368" s="4">
        <v>33</v>
      </c>
      <c r="J368" s="5">
        <v>0.93</v>
      </c>
      <c r="K368" s="11">
        <f>'Session Details'!L368</f>
        <v>0.24749997006999935</v>
      </c>
      <c r="L368" s="11">
        <f>'Session Details'!M368</f>
        <v>0.37999989209384638</v>
      </c>
      <c r="M368" s="11">
        <f>'Session Details'!N368</f>
        <v>0.74460016205511348</v>
      </c>
      <c r="N368" s="11">
        <f>'Session Details'!O368</f>
        <v>0.84460011690776982</v>
      </c>
    </row>
    <row r="369" spans="12:12" x14ac:dyDescent="0.35">
      <c r="L369" s="11"/>
    </row>
    <row r="370" spans="12:12" x14ac:dyDescent="0.35">
      <c r="L370" s="11"/>
    </row>
    <row r="371" spans="12:12" x14ac:dyDescent="0.35">
      <c r="L371" s="11"/>
    </row>
    <row r="372" spans="12:12" x14ac:dyDescent="0.35">
      <c r="L372" s="11"/>
    </row>
    <row r="373" spans="12:12" x14ac:dyDescent="0.35">
      <c r="L373" s="11"/>
    </row>
    <row r="374" spans="12:12" x14ac:dyDescent="0.35">
      <c r="L374" s="11"/>
    </row>
    <row r="375" spans="12:12" x14ac:dyDescent="0.35">
      <c r="L375" s="11"/>
    </row>
    <row r="376" spans="12:12" x14ac:dyDescent="0.35">
      <c r="L376" s="11"/>
    </row>
    <row r="377" spans="12:12" x14ac:dyDescent="0.35">
      <c r="L377" s="11"/>
    </row>
  </sheetData>
  <mergeCells count="4">
    <mergeCell ref="O1:R1"/>
    <mergeCell ref="S1:V1"/>
    <mergeCell ref="W1:Z1"/>
    <mergeCell ref="K1:N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 Details</vt:lpstr>
      <vt:lpstr>Channel wise traffic</vt:lpstr>
      <vt:lpstr>Sheet1</vt:lpstr>
      <vt:lpstr>Supporting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alok kumar patel</cp:lastModifiedBy>
  <dcterms:created xsi:type="dcterms:W3CDTF">2022-09-19T07:36:05Z</dcterms:created>
  <dcterms:modified xsi:type="dcterms:W3CDTF">2024-10-27T15:51:09Z</dcterms:modified>
</cp:coreProperties>
</file>